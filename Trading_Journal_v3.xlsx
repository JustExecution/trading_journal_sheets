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🟡 Real Account" sheetId="1" state="visible" r:id="rId3"/>
    <sheet name="🔵 Phase 1" sheetId="2" state="visible" r:id="rId4"/>
    <sheet name="🟢 Phase 2" sheetId="3" state="visible" r:id="rId5"/>
    <sheet name="📊 Analyt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<sst xmlns="http://schemas.openxmlformats.org/spreadsheetml/2006/main" count="228" uniqueCount="121">
  <si>
    <t xml:space="preserve">₿  BTC TRADING JOURNAL  —  REAL / COMPOUNDING ACCOUNT</t>
  </si>
  <si>
    <t xml:space="preserve">📊  ANALYTICS</t>
  </si>
  <si>
    <t xml:space="preserve">Initial Balance (USD):</t>
  </si>
  <si>
    <t xml:space="preserve">← Set your starting balance here. All % growth figures auto-update.</t>
  </si>
  <si>
    <t xml:space="preserve">Balance Ref →</t>
  </si>
  <si>
    <t xml:space="preserve">#</t>
  </si>
  <si>
    <t xml:space="preserve">Date</t>
  </si>
  <si>
    <t xml:space="preserve">Asset</t>
  </si>
  <si>
    <t xml:space="preserve">Session</t>
  </si>
  <si>
    <t xml:space="preserve">Entry Time</t>
  </si>
  <si>
    <t xml:space="preserve">Entry Price</t>
  </si>
  <si>
    <t xml:space="preserve">Exit Price</t>
  </si>
  <si>
    <t xml:space="preserve">RR</t>
  </si>
  <si>
    <t xml:space="preserve">Risk ($)</t>
  </si>
  <si>
    <t xml:space="preserve">W/L/P</t>
  </si>
  <si>
    <t xml:space="preserve">Profit/Loss ($)</t>
  </si>
  <si>
    <t xml:space="preserve">% Growth</t>
  </si>
  <si>
    <t xml:space="preserve">Result</t>
  </si>
  <si>
    <t xml:space="preserve">Notes</t>
  </si>
  <si>
    <t xml:space="preserve">Chart Link</t>
  </si>
  <si>
    <t xml:space="preserve">Running Bal</t>
  </si>
  <si>
    <t xml:space="preserve">Max DD</t>
  </si>
  <si>
    <t xml:space="preserve">📅 Session Breakdown</t>
  </si>
  <si>
    <t xml:space="preserve">Total Trades</t>
  </si>
  <si>
    <t xml:space="preserve">Trades</t>
  </si>
  <si>
    <t xml:space="preserve">Win Rate</t>
  </si>
  <si>
    <t xml:space="preserve">Total Wins</t>
  </si>
  <si>
    <t xml:space="preserve">London</t>
  </si>
  <si>
    <t xml:space="preserve">Total Losses</t>
  </si>
  <si>
    <t xml:space="preserve">New York</t>
  </si>
  <si>
    <t xml:space="preserve">Partial Wins</t>
  </si>
  <si>
    <t xml:space="preserve">Asia</t>
  </si>
  <si>
    <t xml:space="preserve">London/NY Overlap</t>
  </si>
  <si>
    <t xml:space="preserve">Net P&amp;L ($)</t>
  </si>
  <si>
    <t xml:space="preserve">📈 Equity Curve Data</t>
  </si>
  <si>
    <t xml:space="preserve">Trade #</t>
  </si>
  <si>
    <t xml:space="preserve">% from Start</t>
  </si>
  <si>
    <t xml:space="preserve">₿  BTC TRADING JOURNAL  —  PROP FIRM — PHASE 1</t>
  </si>
  <si>
    <t xml:space="preserve">₿  BTC TRADING JOURNAL  —  PROP FIRM — PHASE 2</t>
  </si>
  <si>
    <t xml:space="preserve">₿  BTC TRADING ANALYTICS DASHBOARD</t>
  </si>
  <si>
    <t xml:space="preserve">📂 Account:</t>
  </si>
  <si>
    <t xml:space="preserve">🟡 Real Account</t>
  </si>
  <si>
    <t xml:space="preserve">← Select account. All metrics update automatically.</t>
  </si>
  <si>
    <t xml:space="preserve">💰 Initial Bal:</t>
  </si>
  <si>
    <t xml:space="preserve">All formulas pull live from the selected account sheet via INDIRECT</t>
  </si>
  <si>
    <t xml:space="preserve">  📊  CORE PERFORMANCE METRICS</t>
  </si>
  <si>
    <t xml:space="preserve">TOTAL TRADES</t>
  </si>
  <si>
    <t xml:space="preserve">WINS</t>
  </si>
  <si>
    <t xml:space="preserve">LOSSES</t>
  </si>
  <si>
    <t xml:space="preserve">PARTIALS</t>
  </si>
  <si>
    <t xml:space="preserve">WIN RATE</t>
  </si>
  <si>
    <t xml:space="preserve">NET P&amp;L</t>
  </si>
  <si>
    <t xml:space="preserve">TOTAL GROWTH</t>
  </si>
  <si>
    <t xml:space="preserve">INITIAL BALANCE</t>
  </si>
  <si>
    <t xml:space="preserve">CURRENT BALANCE</t>
  </si>
  <si>
    <t xml:space="preserve">AVG P&amp;L / TRADE</t>
  </si>
  <si>
    <t xml:space="preserve">BEST TRADE</t>
  </si>
  <si>
    <t xml:space="preserve">WORST TRADE</t>
  </si>
  <si>
    <t xml:space="preserve">MAX DRAWDOWN</t>
  </si>
  <si>
    <t xml:space="preserve">NO TRADE DAYS</t>
  </si>
  <si>
    <t xml:space="preserve">  🔍  FILTER CONTROLS  — Set any filter; FILTERED STATS below update instantly. Use ALL to include everything.</t>
  </si>
  <si>
    <t xml:space="preserve">RESULT</t>
  </si>
  <si>
    <t xml:space="preserve">SESSION</t>
  </si>
  <si>
    <t xml:space="preserve">ASSET</t>
  </si>
  <si>
    <t xml:space="preserve">RR MIN</t>
  </si>
  <si>
    <t xml:space="preserve">RR MAX</t>
  </si>
  <si>
    <t xml:space="preserve">ALL</t>
  </si>
  <si>
    <t xml:space="preserve">0</t>
  </si>
  <si>
    <t xml:space="preserve">99</t>
  </si>
  <si>
    <t xml:space="preserve">  📊  FILTERED RESULTS  (updates as you change filters above)</t>
  </si>
  <si>
    <t xml:space="preserve">MATCHING TRADES</t>
  </si>
  <si>
    <t xml:space="preserve">AVG P&amp;L</t>
  </si>
  <si>
    <t xml:space="preserve">BEST TRADE ($)</t>
  </si>
  <si>
    <t xml:space="preserve">WORST TRADE ($)</t>
  </si>
  <si>
    <t xml:space="preserve">FILTERED GROWTH</t>
  </si>
  <si>
    <t xml:space="preserve">  📅  PERFORMANCE BREAKDOWNS</t>
  </si>
  <si>
    <t xml:space="preserve">📡  BY SESSION</t>
  </si>
  <si>
    <t xml:space="preserve">🏆  BY RESULT</t>
  </si>
  <si>
    <t xml:space="preserve">📌  BY W/L/P</t>
  </si>
  <si>
    <t xml:space="preserve">₿  BY ASSET</t>
  </si>
  <si>
    <t xml:space="preserve">Net P&amp;L</t>
  </si>
  <si>
    <t xml:space="preserve">Win%</t>
  </si>
  <si>
    <t xml:space="preserve">Win</t>
  </si>
  <si>
    <t xml:space="preserve">W</t>
  </si>
  <si>
    <t xml:space="preserve">BTC</t>
  </si>
  <si>
    <t xml:space="preserve">Loss</t>
  </si>
  <si>
    <t xml:space="preserve">L</t>
  </si>
  <si>
    <t xml:space="preserve">ETH</t>
  </si>
  <si>
    <t xml:space="preserve">Partial</t>
  </si>
  <si>
    <t xml:space="preserve">P</t>
  </si>
  <si>
    <t xml:space="preserve">BTC/USD</t>
  </si>
  <si>
    <t xml:space="preserve">ETH/USD</t>
  </si>
  <si>
    <t xml:space="preserve">Other</t>
  </si>
  <si>
    <t xml:space="preserve">  📅  MONTHLY BREAKDOWN</t>
  </si>
  <si>
    <t xml:space="preserve">Month</t>
  </si>
  <si>
    <t xml:space="preserve">Wins</t>
  </si>
  <si>
    <t xml:space="preserve">Losses</t>
  </si>
  <si>
    <t xml:space="preserve">Avg P&amp;L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</si>
  <si>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</si>
  <si>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</si>
  <si>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</si>
  <si>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</si>
  <si>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</si>
  <si>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</si>
  <si>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</si>
  <si>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</si>
  <si>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</si>
  <si>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</si>
  <si>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</si>
  <si>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</si>
  <si>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  📈  EQUITY CURVE  —  Running Balance vs Trade Number</t>
  </si>
  <si>
    <t xml:space="preserve">Running Bal ($)</t>
  </si>
  <si>
    <t xml:space="preserve">P&amp;L ($)</t>
  </si>
  <si>
    <t xml:space="preserve">  ⚡  STREAK &amp; RISK ANALYTICS</t>
  </si>
  <si>
    <t xml:space="preserve">TOTAL RISK DEPLOYED</t>
  </si>
  <si>
    <t xml:space="preserve">AVG RISK / TRADE</t>
  </si>
  <si>
    <t xml:space="preserve">AVG RR (Wins Only)</t>
  </si>
  <si>
    <t xml:space="preserve">MAX DRAWDOWN ($)</t>
  </si>
  <si>
    <t xml:space="preserve">PROFIT FACTOR</t>
  </si>
  <si>
    <t xml:space="preserve">EXPECTANCY ($)</t>
  </si>
  <si>
    <t xml:space="preserve">RECOVERY FACTOR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</si>
</sst>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"/>
    <numFmt numFmtId="166" formatCode="\$#,##0.00;&quot;($&quot;#,##0.00\);\-"/>
    <numFmt numFmtId="167" formatCode="0.00%;\(0.00%\);\-"/>
    <numFmt numFmtId="168" formatCode="General"/>
    <numFmt numFmtId="169" formatCode="0.0%"/>
    <numFmt numFmtId="170" formatCode="0.00%"/>
    <numFmt numFmtId="171" formatCode="\$#,##0.00;&quot;($&quot;#,##0.00\)"/>
    <numFmt numFmtId="172" formatCode="\$#,##0.00"/>
    <numFmt numFmtId="173" formatCode="0"/>
    <numFmt numFmtId="174" formatCode="\$#,##0.00;&quot;($&quot;#,##0.00\)"/>
    <numFmt numFmtId="175" formatCode="dd\-mmm\-yy"/>
    <numFmt numFmtId="176" formatCode="0.00\x"/>
    <numFmt numFmtId="177" formatCode="\$#,##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5A623"/>
      <name val="Calibri"/>
      <family val="0"/>
      <charset val="1"/>
    </font>
    <font>
      <b val="true"/>
      <sz val="14"/>
      <color rgb="FFF5A62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5A623"/>
      <name val="Calibri"/>
      <family val="0"/>
      <charset val="1"/>
    </font>
    <font>
      <i val="true"/>
      <sz val="9"/>
      <color rgb="FFBDC3C7"/>
      <name val="Calibri"/>
      <family val="0"/>
      <charset val="1"/>
    </font>
    <font>
      <b val="true"/>
      <sz val="9"/>
      <color rgb="FFBDC3C7"/>
      <name val="Calibri"/>
      <family val="0"/>
      <charset val="1"/>
    </font>
    <font>
      <b val="true"/>
      <sz val="10"/>
      <color rgb="FFF5A623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F5A623"/>
      <name val="Calibri"/>
      <family val="0"/>
      <charset val="1"/>
    </font>
    <font>
      <sz val="9"/>
      <color rgb="FFBDC3C7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2"/>
      <color rgb="FFF5C842"/>
      <name val="Calibri"/>
      <family val="0"/>
      <charset val="1"/>
    </font>
    <font>
      <b val="true"/>
      <sz val="10"/>
      <color rgb="FFB0B8C8"/>
      <name val="Calibri"/>
      <family val="0"/>
      <charset val="1"/>
    </font>
    <font>
      <b val="true"/>
      <sz val="11"/>
      <color rgb="FFF5C842"/>
      <name val="Calibri"/>
      <family val="0"/>
      <charset val="1"/>
    </font>
    <font>
      <i val="true"/>
      <sz val="9"/>
      <color rgb="FF606880"/>
      <name val="Calibri"/>
      <family val="0"/>
      <charset val="1"/>
    </font>
    <font>
      <b val="true"/>
      <sz val="9"/>
      <color rgb="FFB0B8C8"/>
      <name val="Calibri"/>
      <family val="0"/>
      <charset val="1"/>
    </font>
    <font>
      <b val="true"/>
      <sz val="10"/>
      <color rgb="FFF5C842"/>
      <name val="Calibri"/>
      <family val="0"/>
      <charset val="1"/>
    </font>
    <font>
      <b val="true"/>
      <sz val="8"/>
      <color rgb="FFB0B8C8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8"/>
      <color rgb="FF2ECC71"/>
      <name val="Calibri"/>
      <family val="0"/>
      <charset val="1"/>
    </font>
    <font>
      <b val="true"/>
      <sz val="18"/>
      <color rgb="FFE74C3C"/>
      <name val="Calibri"/>
      <family val="0"/>
      <charset val="1"/>
    </font>
    <font>
      <b val="true"/>
      <sz val="18"/>
      <color rgb="FFF39C12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6"/>
      <color rgb="FFF5C842"/>
      <name val="Calibri"/>
      <family val="0"/>
      <charset val="1"/>
    </font>
    <font>
      <b val="true"/>
      <sz val="13"/>
      <color rgb="FFF5C842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3"/>
      <color rgb="FF2ECC71"/>
      <name val="Calibri"/>
      <family val="0"/>
      <charset val="1"/>
    </font>
    <font>
      <b val="true"/>
      <sz val="13"/>
      <color rgb="FFE74C3C"/>
      <name val="Calibri"/>
      <family val="0"/>
      <charset val="1"/>
    </font>
    <font>
      <b val="true"/>
      <sz val="13"/>
      <color rgb="FFB0B8C8"/>
      <name val="Calibri"/>
      <family val="0"/>
      <charset val="1"/>
    </font>
    <font>
      <b val="true"/>
      <sz val="9"/>
      <color rgb="FFF5C842"/>
      <name val="Calibri"/>
      <family val="0"/>
      <charset val="1"/>
    </font>
    <font>
      <b val="true"/>
      <sz val="12"/>
      <color rgb="FFF5C842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5"/>
      <color rgb="FF2ECC71"/>
      <name val="Calibri"/>
      <family val="0"/>
      <charset val="1"/>
    </font>
    <font>
      <b val="true"/>
      <sz val="15"/>
      <color rgb="FFE74C3C"/>
      <name val="Calibri"/>
      <family val="0"/>
      <charset val="1"/>
    </font>
    <font>
      <b val="true"/>
      <sz val="15"/>
      <color rgb="FFF39C12"/>
      <name val="Calibri"/>
      <family val="0"/>
      <charset val="1"/>
    </font>
    <font>
      <b val="true"/>
      <sz val="15"/>
      <color rgb="FFF5C842"/>
      <name val="Calibri"/>
      <family val="0"/>
      <charset val="1"/>
    </font>
    <font>
      <sz val="9"/>
      <color rgb="FFFFFFFF"/>
      <name val="Calibri"/>
      <family val="0"/>
      <charset val="1"/>
    </font>
    <font>
      <sz val="9"/>
      <color rgb="FF2ECC71"/>
      <name val="Calibri"/>
      <family val="0"/>
      <charset val="1"/>
    </font>
    <font>
      <sz val="9"/>
      <color rgb="FFE74C3C"/>
      <name val="Calibri"/>
      <family val="0"/>
      <charset val="1"/>
    </font>
    <font>
      <sz val="8"/>
      <color rgb="FFFFFFFF"/>
      <name val="Calibri"/>
      <family val="0"/>
      <charset val="1"/>
    </font>
    <font>
      <sz val="8"/>
      <color rgb="FFB0B8C8"/>
      <name val="Calibri"/>
      <family val="0"/>
      <charset val="1"/>
    </font>
    <font>
      <sz val="8"/>
      <color rgb="FFF5C842"/>
      <name val="Calibr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D0D0D"/>
        <bgColor rgb="FF080818"/>
      </patternFill>
    </fill>
    <fill>
      <patternFill patternType="solid">
        <fgColor rgb="FF16213E"/>
        <bgColor rgb="FF1A1A3E"/>
      </patternFill>
    </fill>
    <fill>
      <patternFill patternType="solid">
        <fgColor rgb="FF0F3460"/>
        <bgColor rgb="FF2A2A5A"/>
      </patternFill>
    </fill>
    <fill>
      <patternFill patternType="solid">
        <fgColor rgb="FF0D0D2B"/>
        <bgColor rgb="FF101030"/>
      </patternFill>
    </fill>
    <fill>
      <patternFill patternType="solid">
        <fgColor rgb="FFF2F2F2"/>
        <bgColor rgb="FFEAF4FB"/>
      </patternFill>
    </fill>
    <fill>
      <patternFill patternType="solid">
        <fgColor rgb="FFEEF7FF"/>
        <bgColor rgb="FFEAF4FB"/>
      </patternFill>
    </fill>
    <fill>
      <patternFill patternType="solid">
        <fgColor rgb="FFEAF4FB"/>
        <bgColor rgb="FFEEF7FF"/>
      </patternFill>
    </fill>
    <fill>
      <patternFill patternType="solid">
        <fgColor rgb="FFFFFFFF"/>
        <bgColor rgb="FFEEF7FF"/>
      </patternFill>
    </fill>
    <fill>
      <patternFill patternType="solid">
        <fgColor rgb="FF27AE60"/>
        <bgColor rgb="FF2ECC71"/>
      </patternFill>
    </fill>
    <fill>
      <patternFill patternType="solid">
        <fgColor rgb="FFE74C3C"/>
        <bgColor rgb="FF9C5700"/>
      </patternFill>
    </fill>
    <fill>
      <patternFill patternType="solid">
        <fgColor rgb="FF080818"/>
        <bgColor rgb="FF0D0D0D"/>
      </patternFill>
    </fill>
    <fill>
      <patternFill patternType="solid">
        <fgColor rgb="FF12122A"/>
        <bgColor rgb="FF101030"/>
      </patternFill>
    </fill>
    <fill>
      <patternFill patternType="solid">
        <fgColor rgb="FF1A1A3E"/>
        <bgColor rgb="FF16213E"/>
      </patternFill>
    </fill>
    <fill>
      <patternFill patternType="solid">
        <fgColor rgb="FFC8A020"/>
        <bgColor rgb="FFF39C12"/>
      </patternFill>
    </fill>
    <fill>
      <patternFill patternType="solid">
        <fgColor rgb="FF0D3320"/>
        <bgColor rgb="FF16213E"/>
      </patternFill>
    </fill>
    <fill>
      <patternFill patternType="solid">
        <fgColor rgb="FF3A0D0D"/>
        <bgColor rgb="FF3A2000"/>
      </patternFill>
    </fill>
    <fill>
      <patternFill patternType="solid">
        <fgColor rgb="FF3A2000"/>
        <bgColor rgb="FF3A0D0D"/>
      </patternFill>
    </fill>
    <fill>
      <patternFill patternType="solid">
        <fgColor rgb="FF101030"/>
        <bgColor rgb="FF12122A"/>
      </patternFill>
    </fill>
    <fill>
      <patternFill patternType="solid">
        <fgColor rgb="FF0A2040"/>
        <bgColor rgb="FF16213E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medium">
        <color rgb="FFC8A020"/>
      </bottom>
      <diagonal/>
    </border>
    <border diagonalUp="false" diagonalDown="false">
      <left style="medium">
        <color rgb="FFC8A020"/>
      </left>
      <right style="medium">
        <color rgb="FFC8A020"/>
      </right>
      <top style="medium">
        <color rgb="FFC8A020"/>
      </top>
      <bottom style="medium">
        <color rgb="FFC8A020"/>
      </bottom>
      <diagonal/>
    </border>
    <border diagonalUp="false" diagonalDown="false">
      <left style="medium">
        <color rgb="FF4A4A8A"/>
      </left>
      <right/>
      <top style="medium">
        <color rgb="FF4A4A8A"/>
      </top>
      <bottom/>
      <diagonal/>
    </border>
    <border diagonalUp="false" diagonalDown="false">
      <left style="medium">
        <color rgb="FF4A4A8A"/>
      </left>
      <right/>
      <top/>
      <bottom style="medium">
        <color rgb="FF4A4A8A"/>
      </bottom>
      <diagonal/>
    </border>
    <border diagonalUp="false" diagonalDown="false">
      <left style="thin">
        <color rgb="FF2A2A5A"/>
      </left>
      <right/>
      <top style="medium">
        <color rgb="FF4A4A8A"/>
      </top>
      <bottom/>
      <diagonal/>
    </border>
    <border diagonalUp="false" diagonalDown="false">
      <left style="medium">
        <color rgb="FFC8A020"/>
      </left>
      <right/>
      <top style="medium">
        <color rgb="FFC8A020"/>
      </top>
      <bottom style="medium">
        <color rgb="FFC8A020"/>
      </bottom>
      <diagonal/>
    </border>
    <border diagonalUp="false" diagonalDown="false">
      <left style="thin">
        <color rgb="FF2A2A5A"/>
      </left>
      <right/>
      <top style="thin">
        <color rgb="FF2A2A5A"/>
      </top>
      <bottom/>
      <diagonal/>
    </border>
    <border diagonalUp="false" diagonalDown="false">
      <left style="thin">
        <color rgb="FF2A2A5A"/>
      </left>
      <right/>
      <top/>
      <bottom style="thin">
        <color rgb="FF2A2A5A"/>
      </bottom>
      <diagonal/>
    </border>
    <border diagonalUp="false" diagonalDown="false">
      <left style="medium">
        <color rgb="FF4A4A8A"/>
      </left>
      <right/>
      <top style="medium">
        <color rgb="FF4A4A8A"/>
      </top>
      <bottom style="thin">
        <color rgb="FF2A2A5A"/>
      </bottom>
      <diagonal/>
    </border>
    <border diagonalUp="false" diagonalDown="false">
      <left style="thin">
        <color rgb="FF2A2A5A"/>
      </left>
      <right style="thin">
        <color rgb="FF2A2A5A"/>
      </right>
      <top style="thin">
        <color rgb="FF2A2A5A"/>
      </top>
      <bottom style="thin">
        <color rgb="FF2A2A5A"/>
      </bottom>
      <diagonal/>
    </border>
    <border diagonalUp="false" diagonalDown="false">
      <left style="thin">
        <color rgb="FF2A2A5A"/>
      </left>
      <right/>
      <top style="thin">
        <color rgb="FF2A2A5A"/>
      </top>
      <bottom style="thin">
        <color rgb="FF2A2A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1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14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27" fillId="1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28" fillId="17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29" fillId="18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27" fillId="1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30" fillId="14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31" fillId="19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1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19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33" fillId="14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33" fillId="14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34" fillId="1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35" fillId="17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36" fillId="13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9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0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1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2" fillId="1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9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1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3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4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4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5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5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4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8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7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7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8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9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47" fillId="1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5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2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color rgb="FF276221"/>
        <sz val="9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Calibri"/>
        <charset val="1"/>
        <family val="0"/>
        <color rgb="FF9C5700"/>
        <sz val="9"/>
      </font>
      <fill>
        <patternFill>
          <bgColor rgb="FFFFEB9C"/>
        </patternFill>
      </fill>
    </dxf>
    <dxf>
      <font>
        <name val="Calibri"/>
        <charset val="1"/>
        <family val="0"/>
        <color rgb="FF2ECC71"/>
        <sz val="8"/>
      </font>
      <fill>
        <patternFill>
          <bgColor rgb="FF0D3320"/>
        </patternFill>
      </fill>
    </dxf>
    <dxf>
      <font>
        <name val="Calibri"/>
        <charset val="1"/>
        <family val="0"/>
        <color rgb="FFE74C3C"/>
        <sz val="8"/>
      </font>
      <fill>
        <patternFill>
          <bgColor rgb="FF3A0D0D"/>
        </patternFill>
      </fill>
    </dxf>
  </dxfs>
  <colors>
    <indexedColors>
      <rgbColor rgb="FF000000"/>
      <rgbColor rgb="FFFFFFFF"/>
      <rgbColor rgb="FFFF0000"/>
      <rgbColor rgb="FF00FF00"/>
      <rgbColor rgb="FF0A2040"/>
      <rgbColor rgb="FFFFFF00"/>
      <rgbColor rgb="FFFF00FF"/>
      <rgbColor rgb="FF00FFFF"/>
      <rgbColor rgb="FF9C0006"/>
      <rgbColor rgb="FF276221"/>
      <rgbColor rgb="FF101030"/>
      <rgbColor rgb="FF808000"/>
      <rgbColor rgb="FF16213E"/>
      <rgbColor rgb="FF008080"/>
      <rgbColor rgb="FFC0C0C0"/>
      <rgbColor rgb="FF878787"/>
      <rgbColor rgb="FFBDC3C7"/>
      <rgbColor rgb="FF0D0D0D"/>
      <rgbColor rgb="FFF2F2F2"/>
      <rgbColor rgb="FFEAF4FB"/>
      <rgbColor rgb="FF3A0D0D"/>
      <rgbColor rgb="FFF5A623"/>
      <rgbColor rgb="FF0066CC"/>
      <rgbColor rgb="FFD9D9D9"/>
      <rgbColor rgb="FF0D0D2B"/>
      <rgbColor rgb="FFFF00FF"/>
      <rgbColor rgb="FFFFFF00"/>
      <rgbColor rgb="FF00FFFF"/>
      <rgbColor rgb="FF12122A"/>
      <rgbColor rgb="FF1A1A3E"/>
      <rgbColor rgb="FF008080"/>
      <rgbColor rgb="FF080818"/>
      <rgbColor rgb="FF00CCFF"/>
      <rgbColor rgb="FFEEF7FF"/>
      <rgbColor rgb="FFC6EFCE"/>
      <rgbColor rgb="FFFFEB9C"/>
      <rgbColor rgb="FFB0B8C8"/>
      <rgbColor rgb="FFFF99CC"/>
      <rgbColor rgb="FFB3B3B3"/>
      <rgbColor rgb="FFFFC7CE"/>
      <rgbColor rgb="FF3366FF"/>
      <rgbColor rgb="FF2ECC71"/>
      <rgbColor rgb="FFC8A020"/>
      <rgbColor rgb="FFF5C842"/>
      <rgbColor rgb="FFF39C12"/>
      <rgbColor rgb="FFE74C3C"/>
      <rgbColor rgb="FF606880"/>
      <rgbColor rgb="FF888888"/>
      <rgbColor rgb="FF0F3460"/>
      <rgbColor rgb="FF27AE60"/>
      <rgbColor rgb="FF0D3320"/>
      <rgbColor rgb="FF3A2000"/>
      <rgbColor rgb="FF9C5700"/>
      <rgbColor rgb="FF993366"/>
      <rgbColor rgb="FF4A4A8A"/>
      <rgbColor rgb="FF2A2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'🟡 Real Account'!R11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a623"/>
            </a:solidFill>
            <a:ln w="201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'🟡 Real Account'!$Q$12:$Q$61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'🟡 Real Account'!$R$12:$R$61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997654"/>
        <c:axId val="8375599"/>
      </c:lineChart>
      <c:catAx>
        <c:axId val="239976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5599"/>
        <c:crosses val="autoZero"/>
        <c:auto val="1"/>
        <c:lblAlgn val="ctr"/>
        <c:lblOffset val="100"/>
        <c:noMultiLvlLbl val="0"/>
      </c:catAx>
      <c:valAx>
        <c:axId val="83755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976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'🔵 Phase 1'!R11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a623"/>
            </a:solidFill>
            <a:ln w="201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'🔵 Phase 1'!$Q$12:$Q$61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'🔵 Phase 1'!$R$12:$R$61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033411"/>
        <c:axId val="43668336"/>
      </c:lineChart>
      <c:catAx>
        <c:axId val="98033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68336"/>
        <c:crosses val="autoZero"/>
        <c:auto val="1"/>
        <c:lblAlgn val="ctr"/>
        <c:lblOffset val="100"/>
        <c:noMultiLvlLbl val="0"/>
      </c:catAx>
      <c:valAx>
        <c:axId val="43668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33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'🟢 Phase 2'!R11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5a623"/>
            </a:solidFill>
            <a:ln w="2016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'🟢 Phase 2'!$Q$12:$Q$61</c:f>
              <c:strCache>
                <c:ptCount val="5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</c:strCache>
            </c:strRef>
          </c:cat>
          <c:val>
            <c:numRef>
              <c:f>'🟢 Phase 2'!$R$12:$R$61</c:f>
              <c:numCache>
                <c:formatCode>General</c:formatCode>
                <c:ptCount val="5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725381"/>
        <c:axId val="41594406"/>
      </c:lineChart>
      <c:catAx>
        <c:axId val="62725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94406"/>
        <c:crosses val="autoZero"/>
        <c:auto val="1"/>
        <c:lblAlgn val="ctr"/>
        <c:lblOffset val="100"/>
        <c:noMultiLvlLbl val="0"/>
      </c:catAx>
      <c:valAx>
        <c:axId val="41594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253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Equity Curve — Running 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'📊 Analytics'!D53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8a020"/>
            </a:solidFill>
            <a:ln w="24840">
              <a:solidFill>
                <a:srgbClr val="c8a0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Analytics'!$B$54:$B$153</c:f>
              <c:strCache>
                <c:ptCount val="10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  <c:pt idx="53">
                  <c:v/>
                </c:pt>
                <c:pt idx="54">
                  <c:v/>
                </c:pt>
                <c:pt idx="55">
                  <c:v/>
                </c:pt>
                <c:pt idx="56">
                  <c:v/>
                </c:pt>
                <c:pt idx="57">
                  <c:v/>
                </c:pt>
                <c:pt idx="58">
                  <c:v/>
                </c:pt>
                <c:pt idx="59">
                  <c:v/>
                </c:pt>
                <c:pt idx="60">
                  <c:v/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</c:strCache>
            </c:strRef>
          </c:cat>
          <c:val>
            <c:numRef>
              <c:f>'📊 Analytics'!$D$54:$D$153</c:f>
              <c:numCache>
                <c:formatCode>General</c:formatCode>
                <c:ptCount val="10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577360"/>
        <c:axId val="32987341"/>
      </c:lineChart>
      <c:catAx>
        <c:axId val="685773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Trade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87341"/>
        <c:crosses val="autoZero"/>
        <c:auto val="1"/>
        <c:lblAlgn val="ctr"/>
        <c:lblOffset val="100"/>
        <c:noMultiLvlLbl val="0"/>
      </c:catAx>
      <c:valAx>
        <c:axId val="329873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77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9</xdr:row>
      <xdr:rowOff>0</xdr:rowOff>
    </xdr:from>
    <xdr:to>
      <xdr:col>30</xdr:col>
      <xdr:colOff>333000</xdr:colOff>
      <xdr:row>27</xdr:row>
      <xdr:rowOff>169560</xdr:rowOff>
    </xdr:to>
    <xdr:graphicFrame>
      <xdr:nvGraphicFramePr>
        <xdr:cNvPr id="0" name="Chart 1"/>
        <xdr:cNvGraphicFramePr/>
      </xdr:nvGraphicFramePr>
      <xdr:xfrm>
        <a:off x="16893720" y="2152800"/>
        <a:ext cx="719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9</xdr:row>
      <xdr:rowOff>0</xdr:rowOff>
    </xdr:from>
    <xdr:to>
      <xdr:col>30</xdr:col>
      <xdr:colOff>333000</xdr:colOff>
      <xdr:row>27</xdr:row>
      <xdr:rowOff>169560</xdr:rowOff>
    </xdr:to>
    <xdr:graphicFrame>
      <xdr:nvGraphicFramePr>
        <xdr:cNvPr id="1" name="Chart 1"/>
        <xdr:cNvGraphicFramePr/>
      </xdr:nvGraphicFramePr>
      <xdr:xfrm>
        <a:off x="16893720" y="2152800"/>
        <a:ext cx="719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9</xdr:row>
      <xdr:rowOff>0</xdr:rowOff>
    </xdr:from>
    <xdr:to>
      <xdr:col>30</xdr:col>
      <xdr:colOff>333000</xdr:colOff>
      <xdr:row>27</xdr:row>
      <xdr:rowOff>169560</xdr:rowOff>
    </xdr:to>
    <xdr:graphicFrame>
      <xdr:nvGraphicFramePr>
        <xdr:cNvPr id="2" name="Chart 1"/>
        <xdr:cNvGraphicFramePr/>
      </xdr:nvGraphicFramePr>
      <xdr:xfrm>
        <a:off x="16893720" y="2152800"/>
        <a:ext cx="719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51</xdr:row>
      <xdr:rowOff>0</xdr:rowOff>
    </xdr:from>
    <xdr:to>
      <xdr:col>20</xdr:col>
      <xdr:colOff>634680</xdr:colOff>
      <xdr:row>73</xdr:row>
      <xdr:rowOff>119160</xdr:rowOff>
    </xdr:to>
    <xdr:graphicFrame>
      <xdr:nvGraphicFramePr>
        <xdr:cNvPr id="3" name="Chart 1"/>
        <xdr:cNvGraphicFramePr/>
      </xdr:nvGraphicFramePr>
      <xdr:xfrm>
        <a:off x="4722480" y="1155384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7"/>
    <col collapsed="false" customWidth="true" hidden="false" outlineLevel="0" max="9" min="9" style="1" width="13"/>
    <col collapsed="false" customWidth="true" hidden="false" outlineLevel="0" max="11" min="10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25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0"/>
    <col collapsed="false" customWidth="true" hidden="false" outlineLevel="0" max="18" min="18" style="1" width="16"/>
    <col collapsed="false" customWidth="true" hidden="false" outlineLevel="0" max="22" min="20" style="1" width="14"/>
  </cols>
  <sheetData>
    <row r="1" customFormat="false" ht="36" hidden="false" customHeight="true" outlineLevel="0" collapsed="false">
      <c r="A1" s="2" t="s">
        <v>0</v>
      </c>
      <c r="S1" s="3" t="s">
        <v>1</v>
      </c>
    </row>
    <row r="2" customFormat="false" ht="21.75" hidden="false" customHeight="true" outlineLevel="0" collapsed="false">
      <c r="A2" s="4" t="s">
        <v>2</v>
      </c>
      <c r="D2" s="5" t="n">
        <v>10000</v>
      </c>
      <c r="E2" s="6" t="s">
        <v>3</v>
      </c>
      <c r="S2" s="7" t="s">
        <v>4</v>
      </c>
      <c r="T2" s="8" t="n">
        <f aca="false">$D$2</f>
        <v>10000</v>
      </c>
    </row>
    <row r="3" customFormat="false" ht="21.75" hidden="false" customHeight="true" outlineLevel="0" collapsed="false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V3" s="10" t="s">
        <v>22</v>
      </c>
    </row>
    <row r="4" customFormat="false" ht="15" hidden="false" customHeight="true" outlineLevel="0" collapsed="false">
      <c r="A4" s="11" t="str">
        <f aca="false">IF(B4&lt;&gt;"",COUNTA($B$4:B4),"")</f>
        <v/>
      </c>
      <c r="B4" s="12"/>
      <c r="C4" s="12"/>
      <c r="D4" s="12"/>
      <c r="E4" s="12"/>
      <c r="F4" s="12"/>
      <c r="G4" s="12"/>
      <c r="H4" s="12"/>
      <c r="I4" s="13"/>
      <c r="J4" s="12"/>
      <c r="K4" s="14" t="str">
        <f aca="false">IF(AND(I4&lt;&gt;"",H4&lt;&gt;"",J4&lt;&gt;""),IF(J4="W",I4*H4,IF(J4="L",-I4,IF(J4="P",I4*H4*0.5,""))),"")</f>
        <v/>
      </c>
      <c r="L4" s="15" t="str">
        <f aca="false">IF(K4&lt;&gt;"",K4/$D$2,"")</f>
        <v/>
      </c>
      <c r="M4" s="12"/>
      <c r="N4" s="12"/>
      <c r="O4" s="12"/>
      <c r="P4" s="16" t="n">
        <f aca="false">IF(K4&lt;&gt;"",$D$2+K4,$D$2)</f>
        <v>10000</v>
      </c>
      <c r="Q4" s="17" t="n">
        <f aca="false">IF(P4&lt;&gt;"",MIN(0,P4-MAX($P$4:P4)),"")</f>
        <v>0</v>
      </c>
      <c r="S4" s="18" t="s">
        <v>23</v>
      </c>
      <c r="T4" s="19" t="n">
        <f aca="false">COUNTIF(M4:M503,"Win")+COUNTIF(M4:M503,"Loss")+COUNTIF(M4:M503,"Partial")</f>
        <v>0</v>
      </c>
      <c r="V4" s="9" t="s">
        <v>8</v>
      </c>
      <c r="W4" s="9" t="s">
        <v>24</v>
      </c>
      <c r="X4" s="9" t="s">
        <v>25</v>
      </c>
    </row>
    <row r="5" customFormat="false" ht="15" hidden="false" customHeight="true" outlineLevel="0" collapsed="false">
      <c r="A5" s="11" t="str">
        <f aca="false">IF(B5&lt;&gt;"",COUNTA($B$4:B5),"")</f>
        <v/>
      </c>
      <c r="B5" s="20"/>
      <c r="C5" s="20"/>
      <c r="D5" s="20"/>
      <c r="E5" s="20"/>
      <c r="F5" s="20"/>
      <c r="G5" s="20"/>
      <c r="H5" s="20"/>
      <c r="I5" s="21"/>
      <c r="J5" s="20"/>
      <c r="K5" s="14" t="str">
        <f aca="false">IF(AND(I5&lt;&gt;"",H5&lt;&gt;"",J5&lt;&gt;""),IF(J5="W",I5*H5,IF(J5="L",-I5,IF(J5="P",I5*H5*0.5,""))),"")</f>
        <v/>
      </c>
      <c r="L5" s="15" t="str">
        <f aca="false">IF(AND(K5&lt;&gt;"",P4&lt;&gt;""),K5/P4,IF(K5&lt;&gt;"",K5/$D$2,""))</f>
        <v/>
      </c>
      <c r="M5" s="20"/>
      <c r="N5" s="20"/>
      <c r="O5" s="20"/>
      <c r="P5" s="16" t="str">
        <f aca="false">IF(K5&lt;&gt;"",P4+K5,IF(B5&lt;&gt;"",P4,""))</f>
        <v/>
      </c>
      <c r="Q5" s="17" t="str">
        <f aca="false">IF(P5&lt;&gt;"",MIN(0,P5-MAX($P$4:P5)),"")</f>
        <v/>
      </c>
      <c r="S5" s="18" t="s">
        <v>26</v>
      </c>
      <c r="T5" s="22" t="n">
        <f aca="false">COUNTIF(M4:M503,"Win")</f>
        <v>0</v>
      </c>
      <c r="V5" s="23" t="s">
        <v>27</v>
      </c>
      <c r="W5" s="23" t="n">
        <f aca="false">COUNTIFS(D4:D503,"London",M4:M503,"Win")+COUNTIFS(D4:D503,"London",M4:M503,"Loss")+COUNTIFS(D4:D503,"London",M4:M503,"Partial")</f>
        <v>0</v>
      </c>
      <c r="X5" s="24" t="n">
        <f aca="false">IFERROR((COUNTIFS(D4:D503,"London",M4:M503,"Win")+COUNTIFS(D4:D503,"London",M4:M503,"Partial"))/(COUNTIFS(D4:D503,"London",M4:M503,"Win")+COUNTIFS(D4:D503,"London",M4:M503,"Loss")+COUNTIFS(D4:D503,"London",M4:M503,"Partial")),0)</f>
        <v>0</v>
      </c>
    </row>
    <row r="6" customFormat="false" ht="15" hidden="false" customHeight="true" outlineLevel="0" collapsed="false">
      <c r="A6" s="11" t="str">
        <f aca="false">IF(B6&lt;&gt;"",COUNTA($B$4:B6),"")</f>
        <v/>
      </c>
      <c r="B6" s="12"/>
      <c r="C6" s="12"/>
      <c r="D6" s="12"/>
      <c r="E6" s="12"/>
      <c r="F6" s="12"/>
      <c r="G6" s="12"/>
      <c r="H6" s="12"/>
      <c r="I6" s="13"/>
      <c r="J6" s="12"/>
      <c r="K6" s="14" t="str">
        <f aca="false">IF(AND(I6&lt;&gt;"",H6&lt;&gt;"",J6&lt;&gt;""),IF(J6="W",I6*H6,IF(J6="L",-I6,IF(J6="P",I6*H6*0.5,""))),"")</f>
        <v/>
      </c>
      <c r="L6" s="15" t="str">
        <f aca="false">IF(AND(K6&lt;&gt;"",P5&lt;&gt;""),K6/P5,IF(K6&lt;&gt;"",K6/$D$2,""))</f>
        <v/>
      </c>
      <c r="M6" s="12"/>
      <c r="N6" s="12"/>
      <c r="O6" s="12"/>
      <c r="P6" s="16" t="str">
        <f aca="false">IF(K6&lt;&gt;"",P5+K6,IF(B6&lt;&gt;"",P5,""))</f>
        <v/>
      </c>
      <c r="Q6" s="17" t="str">
        <f aca="false">IF(P6&lt;&gt;"",MIN(0,P6-MAX($P$4:P6)),"")</f>
        <v/>
      </c>
      <c r="S6" s="18" t="s">
        <v>28</v>
      </c>
      <c r="T6" s="25" t="n">
        <f aca="false">COUNTIF(M4:M503,"Loss")</f>
        <v>0</v>
      </c>
      <c r="V6" s="23" t="s">
        <v>29</v>
      </c>
      <c r="W6" s="23" t="n">
        <f aca="false">COUNTIFS(D4:D503,"New York",M4:M503,"Win")+COUNTIFS(D4:D503,"New York",M4:M503,"Loss")+COUNTIFS(D4:D503,"New York",M4:M503,"Partial")</f>
        <v>0</v>
      </c>
      <c r="X6" s="24" t="n">
        <f aca="false">IFERROR((COUNTIFS(D4:D503,"New York",M4:M503,"Win")+COUNTIFS(D4:D503,"New York",M4:M503,"Partial"))/(COUNTIFS(D4:D503,"New York",M4:M503,"Win")+COUNTIFS(D4:D503,"New York",M4:M503,"Loss")+COUNTIFS(D4:D503,"New York",M4:M503,"Partial")),0)</f>
        <v>0</v>
      </c>
    </row>
    <row r="7" customFormat="false" ht="15" hidden="false" customHeight="true" outlineLevel="0" collapsed="false">
      <c r="A7" s="11" t="str">
        <f aca="false">IF(B7&lt;&gt;"",COUNTA($B$4:B7),"")</f>
        <v/>
      </c>
      <c r="B7" s="20"/>
      <c r="C7" s="20"/>
      <c r="D7" s="20"/>
      <c r="E7" s="20"/>
      <c r="F7" s="20"/>
      <c r="G7" s="20"/>
      <c r="H7" s="20"/>
      <c r="I7" s="21"/>
      <c r="J7" s="20"/>
      <c r="K7" s="14" t="str">
        <f aca="false">IF(AND(I7&lt;&gt;"",H7&lt;&gt;"",J7&lt;&gt;""),IF(J7="W",I7*H7,IF(J7="L",-I7,IF(J7="P",I7*H7*0.5,""))),"")</f>
        <v/>
      </c>
      <c r="L7" s="15" t="str">
        <f aca="false">IF(AND(K7&lt;&gt;"",P6&lt;&gt;""),K7/P6,IF(K7&lt;&gt;"",K7/$D$2,""))</f>
        <v/>
      </c>
      <c r="M7" s="20"/>
      <c r="N7" s="20"/>
      <c r="O7" s="20"/>
      <c r="P7" s="16" t="str">
        <f aca="false">IF(K7&lt;&gt;"",P6+K7,IF(B7&lt;&gt;"",P6,""))</f>
        <v/>
      </c>
      <c r="Q7" s="17" t="str">
        <f aca="false">IF(P7&lt;&gt;"",MIN(0,P7-MAX($P$4:P7)),"")</f>
        <v/>
      </c>
      <c r="S7" s="18" t="s">
        <v>30</v>
      </c>
      <c r="T7" s="22" t="n">
        <f aca="false">COUNTIF(M4:M503,"Partial")</f>
        <v>0</v>
      </c>
      <c r="V7" s="23" t="s">
        <v>31</v>
      </c>
      <c r="W7" s="23" t="n">
        <f aca="false">COUNTIFS(D4:D503,"Asia",M4:M503,"Win")+COUNTIFS(D4:D503,"Asia",M4:M503,"Loss")+COUNTIFS(D4:D503,"Asia",M4:M503,"Partial")</f>
        <v>0</v>
      </c>
      <c r="X7" s="24" t="n">
        <f aca="false">IFERROR((COUNTIFS(D4:D503,"Asia",M4:M503,"Win")+COUNTIFS(D4:D503,"Asia",M4:M503,"Partial"))/(COUNTIFS(D4:D503,"Asia",M4:M503,"Win")+COUNTIFS(D4:D503,"Asia",M4:M503,"Loss")+COUNTIFS(D4:D503,"Asia",M4:M503,"Partial")),0)</f>
        <v>0</v>
      </c>
    </row>
    <row r="8" customFormat="false" ht="15" hidden="false" customHeight="true" outlineLevel="0" collapsed="false">
      <c r="A8" s="11" t="str">
        <f aca="false">IF(B8&lt;&gt;"",COUNTA($B$4:B8),"")</f>
        <v/>
      </c>
      <c r="B8" s="12"/>
      <c r="C8" s="12"/>
      <c r="D8" s="12"/>
      <c r="E8" s="12"/>
      <c r="F8" s="12"/>
      <c r="G8" s="12"/>
      <c r="H8" s="12"/>
      <c r="I8" s="13"/>
      <c r="J8" s="12"/>
      <c r="K8" s="14" t="str">
        <f aca="false">IF(AND(I8&lt;&gt;"",H8&lt;&gt;"",J8&lt;&gt;""),IF(J8="W",I8*H8,IF(J8="L",-I8,IF(J8="P",I8*H8*0.5,""))),"")</f>
        <v/>
      </c>
      <c r="L8" s="15" t="str">
        <f aca="false">IF(AND(K8&lt;&gt;"",P7&lt;&gt;""),K8/P7,IF(K8&lt;&gt;"",K8/$D$2,""))</f>
        <v/>
      </c>
      <c r="M8" s="12"/>
      <c r="N8" s="12"/>
      <c r="O8" s="12"/>
      <c r="P8" s="16" t="str">
        <f aca="false">IF(K8&lt;&gt;"",P7+K8,IF(B8&lt;&gt;"",P7,""))</f>
        <v/>
      </c>
      <c r="Q8" s="17" t="str">
        <f aca="false">IF(P8&lt;&gt;"",MIN(0,P8-MAX($P$4:P8)),"")</f>
        <v/>
      </c>
      <c r="S8" s="18" t="s">
        <v>25</v>
      </c>
      <c r="T8" s="26" t="n">
        <f aca="false">IFERROR((COUNTIF(M4:M503,"Win")+COUNTIF(M4:M503,"Partial"))/(COUNTIF(M4:M503,"Win")+COUNTIF(M4:M503,"Loss")+COUNTIF(M4:M503,"Partial")),0)</f>
        <v>0</v>
      </c>
      <c r="V8" s="23" t="s">
        <v>32</v>
      </c>
      <c r="W8" s="23" t="n">
        <f aca="false">COUNTIFS(D4:D503,"London/NY Overlap",M4:M503,"Win")+COUNTIFS(D4:D503,"London/NY Overlap",M4:M503,"Loss")+COUNTIFS(D4:D503,"London/NY Overlap",M4:M503,"Partial")</f>
        <v>0</v>
      </c>
      <c r="X8" s="24" t="n">
        <f aca="false">IFERROR((COUNTIFS(D4:D503,"London/NY Overlap",M4:M503,"Win")+COUNTIFS(D4:D503,"London/NY Overlap",M4:M503,"Partial"))/(COUNTIFS(D4:D503,"London/NY Overlap",M4:M503,"Win")+COUNTIFS(D4:D503,"London/NY Overlap",M4:M503,"Loss")+COUNTIFS(D4:D503,"London/NY Overlap",M4:M503,"Partial")),0)</f>
        <v>0</v>
      </c>
    </row>
    <row r="9" customFormat="false" ht="15" hidden="false" customHeight="true" outlineLevel="0" collapsed="false">
      <c r="A9" s="11" t="str">
        <f aca="false">IF(B9&lt;&gt;"",COUNTA($B$4:B9),"")</f>
        <v/>
      </c>
      <c r="B9" s="20"/>
      <c r="C9" s="20"/>
      <c r="D9" s="20"/>
      <c r="E9" s="20"/>
      <c r="F9" s="20"/>
      <c r="G9" s="20"/>
      <c r="H9" s="20"/>
      <c r="I9" s="21"/>
      <c r="J9" s="20"/>
      <c r="K9" s="14" t="str">
        <f aca="false">IF(AND(I9&lt;&gt;"",H9&lt;&gt;"",J9&lt;&gt;""),IF(J9="W",I9*H9,IF(J9="L",-I9,IF(J9="P",I9*H9*0.5,""))),"")</f>
        <v/>
      </c>
      <c r="L9" s="15" t="str">
        <f aca="false">IF(AND(K9&lt;&gt;"",P8&lt;&gt;""),K9/P8,IF(K9&lt;&gt;"",K9/$D$2,""))</f>
        <v/>
      </c>
      <c r="M9" s="20"/>
      <c r="N9" s="20"/>
      <c r="O9" s="20"/>
      <c r="P9" s="16" t="str">
        <f aca="false">IF(K9&lt;&gt;"",P8+K9,IF(B9&lt;&gt;"",P8,""))</f>
        <v/>
      </c>
      <c r="Q9" s="17" t="str">
        <f aca="false">IF(P9&lt;&gt;"",MIN(0,P9-MAX($P$4:P9)),"")</f>
        <v/>
      </c>
      <c r="S9" s="18" t="s">
        <v>33</v>
      </c>
      <c r="T9" s="27" t="n">
        <f aca="false">IFERROR(SUM(K4:K503),0)</f>
        <v>0</v>
      </c>
    </row>
    <row r="10" customFormat="false" ht="15" hidden="false" customHeight="true" outlineLevel="0" collapsed="false">
      <c r="A10" s="11" t="str">
        <f aca="false">IF(B10&lt;&gt;"",COUNTA($B$4:B10),"")</f>
        <v/>
      </c>
      <c r="B10" s="12"/>
      <c r="C10" s="12"/>
      <c r="D10" s="12"/>
      <c r="E10" s="12"/>
      <c r="F10" s="12"/>
      <c r="G10" s="12"/>
      <c r="H10" s="12"/>
      <c r="I10" s="13"/>
      <c r="J10" s="12"/>
      <c r="K10" s="14" t="str">
        <f aca="false">IF(AND(I10&lt;&gt;"",H10&lt;&gt;"",J10&lt;&gt;""),IF(J10="W",I10*H10,IF(J10="L",-I10,IF(J10="P",I10*H10*0.5,""))),"")</f>
        <v/>
      </c>
      <c r="L10" s="15" t="str">
        <f aca="false">IF(AND(K10&lt;&gt;"",P9&lt;&gt;""),K10/P9,IF(K10&lt;&gt;"",K10/$D$2,""))</f>
        <v/>
      </c>
      <c r="M10" s="12"/>
      <c r="N10" s="12"/>
      <c r="O10" s="12"/>
      <c r="P10" s="16" t="str">
        <f aca="false">IF(K10&lt;&gt;"",P9+K10,IF(B10&lt;&gt;"",P9,""))</f>
        <v/>
      </c>
      <c r="Q10" s="17" t="str">
        <f aca="false">IF(P10&lt;&gt;"",MIN(0,P10-MAX($P$4:P10)),"")</f>
        <v/>
      </c>
      <c r="S10" s="28" t="s">
        <v>34</v>
      </c>
      <c r="T10" s="29" t="n">
        <f aca="false">IFERROR(SUM(K4:K503)/$D$2,0)</f>
        <v>0</v>
      </c>
    </row>
    <row r="11" customFormat="false" ht="15" hidden="false" customHeight="true" outlineLevel="0" collapsed="false">
      <c r="A11" s="11" t="str">
        <f aca="false">IF(B11&lt;&gt;"",COUNTA($B$4:B11),"")</f>
        <v/>
      </c>
      <c r="B11" s="20"/>
      <c r="C11" s="20"/>
      <c r="D11" s="20"/>
      <c r="E11" s="20"/>
      <c r="F11" s="20"/>
      <c r="G11" s="20"/>
      <c r="H11" s="20"/>
      <c r="I11" s="21"/>
      <c r="J11" s="20"/>
      <c r="K11" s="14" t="str">
        <f aca="false">IF(AND(I11&lt;&gt;"",H11&lt;&gt;"",J11&lt;&gt;""),IF(J11="W",I11*H11,IF(J11="L",-I11,IF(J11="P",I11*H11*0.5,""))),"")</f>
        <v/>
      </c>
      <c r="L11" s="15" t="str">
        <f aca="false">IF(AND(K11&lt;&gt;"",P10&lt;&gt;""),K11/P10,IF(K11&lt;&gt;"",K11/$D$2,""))</f>
        <v/>
      </c>
      <c r="M11" s="20"/>
      <c r="N11" s="20"/>
      <c r="O11" s="20"/>
      <c r="P11" s="16" t="str">
        <f aca="false">IF(K11&lt;&gt;"",P10+K11,IF(B11&lt;&gt;"",P10,""))</f>
        <v/>
      </c>
      <c r="Q11" s="17" t="str">
        <f aca="false">IF(P11&lt;&gt;"",MIN(0,P11-MAX($P$4:P11)),"")</f>
        <v/>
      </c>
      <c r="S11" s="9" t="s">
        <v>35</v>
      </c>
      <c r="T11" s="30" t="n">
        <f aca="false">IFERROR(SUM(K4:K503)/(COUNTIF(M4:M503,"Win")+COUNTIF(M4:M503,"Loss")+COUNTIF(M4:M503,"Partial")),0)</f>
        <v>0</v>
      </c>
      <c r="U11" s="9" t="s">
        <v>36</v>
      </c>
    </row>
    <row r="12" customFormat="false" ht="15" hidden="false" customHeight="true" outlineLevel="0" collapsed="false">
      <c r="A12" s="11" t="str">
        <f aca="false">IF(B12&lt;&gt;"",COUNTA($B$4:B12),"")</f>
        <v/>
      </c>
      <c r="B12" s="12"/>
      <c r="C12" s="12"/>
      <c r="D12" s="12"/>
      <c r="E12" s="12"/>
      <c r="F12" s="12"/>
      <c r="G12" s="12"/>
      <c r="H12" s="12"/>
      <c r="I12" s="13"/>
      <c r="J12" s="12"/>
      <c r="K12" s="14" t="str">
        <f aca="false">IF(AND(I12&lt;&gt;"",H12&lt;&gt;"",J12&lt;&gt;""),IF(J12="W",I12*H12,IF(J12="L",-I12,IF(J12="P",I12*H12*0.5,""))),"")</f>
        <v/>
      </c>
      <c r="L12" s="15" t="str">
        <f aca="false">IF(AND(K12&lt;&gt;"",P11&lt;&gt;""),K12/P11,IF(K12&lt;&gt;"",K12/$D$2,""))</f>
        <v/>
      </c>
      <c r="M12" s="12"/>
      <c r="N12" s="12"/>
      <c r="O12" s="12"/>
      <c r="P12" s="16" t="str">
        <f aca="false">IF(K12&lt;&gt;"",P11+K12,IF(B12&lt;&gt;"",P11,""))</f>
        <v/>
      </c>
      <c r="Q12" s="17" t="str">
        <f aca="false">IF(P12&lt;&gt;"",MIN(0,P12-MAX($P$4:P12)),"")</f>
        <v/>
      </c>
      <c r="S12" s="31" t="str">
        <f aca="false">IF(A4&lt;&gt;"",A4,"")</f>
        <v/>
      </c>
      <c r="T12" s="32" t="n">
        <f aca="false">IF(P4&lt;&gt;"",P4,"")</f>
        <v>10000</v>
      </c>
      <c r="U12" s="33" t="n">
        <f aca="false">IF(P4&lt;&gt;"",(P4-$D$2)/$D$2,"")</f>
        <v>0</v>
      </c>
    </row>
    <row r="13" customFormat="false" ht="15" hidden="false" customHeight="true" outlineLevel="0" collapsed="false">
      <c r="A13" s="11" t="str">
        <f aca="false">IF(B13&lt;&gt;"",COUNTA($B$4:B13),"")</f>
        <v/>
      </c>
      <c r="B13" s="20"/>
      <c r="C13" s="20"/>
      <c r="D13" s="20"/>
      <c r="E13" s="20"/>
      <c r="F13" s="20"/>
      <c r="G13" s="20"/>
      <c r="H13" s="20"/>
      <c r="I13" s="21"/>
      <c r="J13" s="20"/>
      <c r="K13" s="14" t="str">
        <f aca="false">IF(AND(I13&lt;&gt;"",H13&lt;&gt;"",J13&lt;&gt;""),IF(J13="W",I13*H13,IF(J13="L",-I13,IF(J13="P",I13*H13*0.5,""))),"")</f>
        <v/>
      </c>
      <c r="L13" s="15" t="str">
        <f aca="false">IF(AND(K13&lt;&gt;"",P12&lt;&gt;""),K13/P12,IF(K13&lt;&gt;"",K13/$D$2,""))</f>
        <v/>
      </c>
      <c r="M13" s="20"/>
      <c r="N13" s="20"/>
      <c r="O13" s="20"/>
      <c r="P13" s="16" t="str">
        <f aca="false">IF(K13&lt;&gt;"",P12+K13,IF(B13&lt;&gt;"",P12,""))</f>
        <v/>
      </c>
      <c r="Q13" s="17" t="str">
        <f aca="false">IF(P13&lt;&gt;"",MIN(0,P13-MAX($P$4:P13)),"")</f>
        <v/>
      </c>
      <c r="S13" s="31" t="str">
        <f aca="false">IF(A5&lt;&gt;"",A5,"")</f>
        <v/>
      </c>
      <c r="T13" s="34" t="str">
        <f aca="false">IF(P5&lt;&gt;"",P5,"")</f>
        <v/>
      </c>
      <c r="U13" s="33" t="str">
        <f aca="false">IF(P5&lt;&gt;"",(P5-$D$2)/$D$2,"")</f>
        <v/>
      </c>
    </row>
    <row r="14" customFormat="false" ht="15" hidden="false" customHeight="true" outlineLevel="0" collapsed="false">
      <c r="A14" s="11" t="str">
        <f aca="false">IF(B14&lt;&gt;"",COUNTA($B$4:B14),"")</f>
        <v/>
      </c>
      <c r="B14" s="12"/>
      <c r="C14" s="12"/>
      <c r="D14" s="12"/>
      <c r="E14" s="12"/>
      <c r="F14" s="12"/>
      <c r="G14" s="12"/>
      <c r="H14" s="12"/>
      <c r="I14" s="13"/>
      <c r="J14" s="12"/>
      <c r="K14" s="14" t="str">
        <f aca="false">IF(AND(I14&lt;&gt;"",H14&lt;&gt;"",J14&lt;&gt;""),IF(J14="W",I14*H14,IF(J14="L",-I14,IF(J14="P",I14*H14*0.5,""))),"")</f>
        <v/>
      </c>
      <c r="L14" s="15" t="str">
        <f aca="false">IF(AND(K14&lt;&gt;"",P13&lt;&gt;""),K14/P13,IF(K14&lt;&gt;"",K14/$D$2,""))</f>
        <v/>
      </c>
      <c r="M14" s="12"/>
      <c r="N14" s="12"/>
      <c r="O14" s="12"/>
      <c r="P14" s="16" t="str">
        <f aca="false">IF(K14&lt;&gt;"",P13+K14,IF(B14&lt;&gt;"",P13,""))</f>
        <v/>
      </c>
      <c r="Q14" s="17" t="str">
        <f aca="false">IF(P14&lt;&gt;"",MIN(0,P14-MAX($P$4:P14)),"")</f>
        <v/>
      </c>
      <c r="S14" s="31" t="str">
        <f aca="false">IF(A6&lt;&gt;"",A6,"")</f>
        <v/>
      </c>
      <c r="T14" s="34" t="str">
        <f aca="false">IF(P6&lt;&gt;"",P6,"")</f>
        <v/>
      </c>
      <c r="U14" s="33" t="str">
        <f aca="false">IF(P6&lt;&gt;"",(P6-$D$2)/$D$2,"")</f>
        <v/>
      </c>
    </row>
    <row r="15" customFormat="false" ht="15" hidden="false" customHeight="true" outlineLevel="0" collapsed="false">
      <c r="A15" s="11" t="str">
        <f aca="false">IF(B15&lt;&gt;"",COUNTA($B$4:B15),"")</f>
        <v/>
      </c>
      <c r="B15" s="20"/>
      <c r="C15" s="20"/>
      <c r="D15" s="20"/>
      <c r="E15" s="20"/>
      <c r="F15" s="20"/>
      <c r="G15" s="20"/>
      <c r="H15" s="20"/>
      <c r="I15" s="21"/>
      <c r="J15" s="20"/>
      <c r="K15" s="14" t="str">
        <f aca="false">IF(AND(I15&lt;&gt;"",H15&lt;&gt;"",J15&lt;&gt;""),IF(J15="W",I15*H15,IF(J15="L",-I15,IF(J15="P",I15*H15*0.5,""))),"")</f>
        <v/>
      </c>
      <c r="L15" s="15" t="str">
        <f aca="false">IF(AND(K15&lt;&gt;"",P14&lt;&gt;""),K15/P14,IF(K15&lt;&gt;"",K15/$D$2,""))</f>
        <v/>
      </c>
      <c r="M15" s="20"/>
      <c r="N15" s="20"/>
      <c r="O15" s="20"/>
      <c r="P15" s="16" t="str">
        <f aca="false">IF(K15&lt;&gt;"",P14+K15,IF(B15&lt;&gt;"",P14,""))</f>
        <v/>
      </c>
      <c r="Q15" s="17" t="str">
        <f aca="false">IF(P15&lt;&gt;"",MIN(0,P15-MAX($P$4:P15)),"")</f>
        <v/>
      </c>
      <c r="S15" s="35" t="str">
        <f aca="false">IF(A7&lt;&gt;"",A7,"")</f>
        <v/>
      </c>
      <c r="T15" s="36" t="str">
        <f aca="false">IF(P7&lt;&gt;"",P7,"")</f>
        <v/>
      </c>
      <c r="U15" s="33" t="str">
        <f aca="false">IF(P7&lt;&gt;"",(P7-$D$2)/$D$2,"")</f>
        <v/>
      </c>
    </row>
    <row r="16" customFormat="false" ht="15" hidden="false" customHeight="true" outlineLevel="0" collapsed="false">
      <c r="A16" s="11" t="str">
        <f aca="false">IF(B16&lt;&gt;"",COUNTA($B$4:B16),"")</f>
        <v/>
      </c>
      <c r="B16" s="12"/>
      <c r="C16" s="12"/>
      <c r="D16" s="12"/>
      <c r="E16" s="12"/>
      <c r="F16" s="12"/>
      <c r="G16" s="12"/>
      <c r="H16" s="12"/>
      <c r="I16" s="13"/>
      <c r="J16" s="12"/>
      <c r="K16" s="14" t="str">
        <f aca="false">IF(AND(I16&lt;&gt;"",H16&lt;&gt;"",J16&lt;&gt;""),IF(J16="W",I16*H16,IF(J16="L",-I16,IF(J16="P",I16*H16*0.5,""))),"")</f>
        <v/>
      </c>
      <c r="L16" s="15" t="str">
        <f aca="false">IF(AND(K16&lt;&gt;"",P15&lt;&gt;""),K16/P15,IF(K16&lt;&gt;"",K16/$D$2,""))</f>
        <v/>
      </c>
      <c r="M16" s="12"/>
      <c r="N16" s="12"/>
      <c r="O16" s="12"/>
      <c r="P16" s="16" t="str">
        <f aca="false">IF(K16&lt;&gt;"",P15+K16,IF(B16&lt;&gt;"",P15,""))</f>
        <v/>
      </c>
      <c r="Q16" s="17" t="str">
        <f aca="false">IF(P16&lt;&gt;"",MIN(0,P16-MAX($P$4:P16)),"")</f>
        <v/>
      </c>
      <c r="S16" s="35" t="str">
        <f aca="false">IF(A8&lt;&gt;"",A8,"")</f>
        <v/>
      </c>
      <c r="T16" s="36" t="str">
        <f aca="false">IF(P8&lt;&gt;"",P8,"")</f>
        <v/>
      </c>
      <c r="U16" s="33" t="str">
        <f aca="false">IF(P8&lt;&gt;"",(P8-$D$2)/$D$2,"")</f>
        <v/>
      </c>
    </row>
    <row r="17" customFormat="false" ht="15" hidden="false" customHeight="true" outlineLevel="0" collapsed="false">
      <c r="A17" s="11" t="str">
        <f aca="false">IF(B17&lt;&gt;"",COUNTA($B$4:B17),"")</f>
        <v/>
      </c>
      <c r="B17" s="20"/>
      <c r="C17" s="20"/>
      <c r="D17" s="20"/>
      <c r="E17" s="20"/>
      <c r="F17" s="20"/>
      <c r="G17" s="20"/>
      <c r="H17" s="20"/>
      <c r="I17" s="21"/>
      <c r="J17" s="20"/>
      <c r="K17" s="14" t="str">
        <f aca="false">IF(AND(I17&lt;&gt;"",H17&lt;&gt;"",J17&lt;&gt;""),IF(J17="W",I17*H17,IF(J17="L",-I17,IF(J17="P",I17*H17*0.5,""))),"")</f>
        <v/>
      </c>
      <c r="L17" s="15" t="str">
        <f aca="false">IF(AND(K17&lt;&gt;"",P16&lt;&gt;""),K17/P16,IF(K17&lt;&gt;"",K17/$D$2,""))</f>
        <v/>
      </c>
      <c r="M17" s="20"/>
      <c r="N17" s="20"/>
      <c r="O17" s="20"/>
      <c r="P17" s="16" t="str">
        <f aca="false">IF(K17&lt;&gt;"",P16+K17,IF(B17&lt;&gt;"",P16,""))</f>
        <v/>
      </c>
      <c r="Q17" s="17" t="str">
        <f aca="false">IF(P17&lt;&gt;"",MIN(0,P17-MAX($P$4:P17)),"")</f>
        <v/>
      </c>
      <c r="S17" s="35" t="str">
        <f aca="false">IF(A9&lt;&gt;"",A9,"")</f>
        <v/>
      </c>
      <c r="T17" s="36" t="str">
        <f aca="false">IF(P9&lt;&gt;"",P9,"")</f>
        <v/>
      </c>
      <c r="U17" s="33" t="str">
        <f aca="false">IF(P9&lt;&gt;"",(P9-$D$2)/$D$2,"")</f>
        <v/>
      </c>
    </row>
    <row r="18" customFormat="false" ht="15" hidden="false" customHeight="true" outlineLevel="0" collapsed="false">
      <c r="A18" s="11" t="str">
        <f aca="false">IF(B18&lt;&gt;"",COUNTA($B$4:B18),"")</f>
        <v/>
      </c>
      <c r="B18" s="12"/>
      <c r="C18" s="12"/>
      <c r="D18" s="12"/>
      <c r="E18" s="12"/>
      <c r="F18" s="12"/>
      <c r="G18" s="12"/>
      <c r="H18" s="12"/>
      <c r="I18" s="13"/>
      <c r="J18" s="12"/>
      <c r="K18" s="14" t="str">
        <f aca="false">IF(AND(I18&lt;&gt;"",H18&lt;&gt;"",J18&lt;&gt;""),IF(J18="W",I18*H18,IF(J18="L",-I18,IF(J18="P",I18*H18*0.5,""))),"")</f>
        <v/>
      </c>
      <c r="L18" s="15" t="str">
        <f aca="false">IF(AND(K18&lt;&gt;"",P17&lt;&gt;""),K18/P17,IF(K18&lt;&gt;"",K18/$D$2,""))</f>
        <v/>
      </c>
      <c r="M18" s="12"/>
      <c r="N18" s="12"/>
      <c r="O18" s="12"/>
      <c r="P18" s="16" t="str">
        <f aca="false">IF(K18&lt;&gt;"",P17+K18,IF(B18&lt;&gt;"",P17,""))</f>
        <v/>
      </c>
      <c r="Q18" s="17" t="str">
        <f aca="false">IF(P18&lt;&gt;"",MIN(0,P18-MAX($P$4:P18)),"")</f>
        <v/>
      </c>
      <c r="S18" s="35" t="str">
        <f aca="false">IF(A10&lt;&gt;"",A10,"")</f>
        <v/>
      </c>
      <c r="T18" s="36" t="str">
        <f aca="false">IF(P10&lt;&gt;"",P10,"")</f>
        <v/>
      </c>
      <c r="U18" s="33" t="str">
        <f aca="false">IF(P10&lt;&gt;"",(P10-$D$2)/$D$2,"")</f>
        <v/>
      </c>
    </row>
    <row r="19" customFormat="false" ht="15" hidden="false" customHeight="true" outlineLevel="0" collapsed="false">
      <c r="A19" s="11" t="str">
        <f aca="false">IF(B19&lt;&gt;"",COUNTA($B$4:B19),"")</f>
        <v/>
      </c>
      <c r="B19" s="20"/>
      <c r="C19" s="20"/>
      <c r="D19" s="20"/>
      <c r="E19" s="20"/>
      <c r="F19" s="20"/>
      <c r="G19" s="20"/>
      <c r="H19" s="20"/>
      <c r="I19" s="21"/>
      <c r="J19" s="20"/>
      <c r="K19" s="14" t="str">
        <f aca="false">IF(AND(I19&lt;&gt;"",H19&lt;&gt;"",J19&lt;&gt;""),IF(J19="W",I19*H19,IF(J19="L",-I19,IF(J19="P",I19*H19*0.5,""))),"")</f>
        <v/>
      </c>
      <c r="L19" s="15" t="str">
        <f aca="false">IF(AND(K19&lt;&gt;"",P18&lt;&gt;""),K19/P18,IF(K19&lt;&gt;"",K19/$D$2,""))</f>
        <v/>
      </c>
      <c r="M19" s="20"/>
      <c r="N19" s="20"/>
      <c r="O19" s="20"/>
      <c r="P19" s="16" t="str">
        <f aca="false">IF(K19&lt;&gt;"",P18+K19,IF(B19&lt;&gt;"",P18,""))</f>
        <v/>
      </c>
      <c r="Q19" s="17" t="str">
        <f aca="false">IF(P19&lt;&gt;"",MIN(0,P19-MAX($P$4:P19)),"")</f>
        <v/>
      </c>
      <c r="S19" s="35" t="str">
        <f aca="false">IF(A11&lt;&gt;"",A11,"")</f>
        <v/>
      </c>
      <c r="T19" s="36" t="str">
        <f aca="false">IF(P11&lt;&gt;"",P11,"")</f>
        <v/>
      </c>
      <c r="U19" s="33" t="str">
        <f aca="false">IF(P11&lt;&gt;"",(P11-$D$2)/$D$2,"")</f>
        <v/>
      </c>
    </row>
    <row r="20" customFormat="false" ht="15" hidden="false" customHeight="true" outlineLevel="0" collapsed="false">
      <c r="A20" s="11" t="str">
        <f aca="false">IF(B20&lt;&gt;"",COUNTA($B$4:B20),"")</f>
        <v/>
      </c>
      <c r="B20" s="12"/>
      <c r="C20" s="12"/>
      <c r="D20" s="12"/>
      <c r="E20" s="12"/>
      <c r="F20" s="12"/>
      <c r="G20" s="12"/>
      <c r="H20" s="12"/>
      <c r="I20" s="13"/>
      <c r="J20" s="12"/>
      <c r="K20" s="14" t="str">
        <f aca="false">IF(AND(I20&lt;&gt;"",H20&lt;&gt;"",J20&lt;&gt;""),IF(J20="W",I20*H20,IF(J20="L",-I20,IF(J20="P",I20*H20*0.5,""))),"")</f>
        <v/>
      </c>
      <c r="L20" s="15" t="str">
        <f aca="false">IF(AND(K20&lt;&gt;"",P19&lt;&gt;""),K20/P19,IF(K20&lt;&gt;"",K20/$D$2,""))</f>
        <v/>
      </c>
      <c r="M20" s="12"/>
      <c r="N20" s="12"/>
      <c r="O20" s="12"/>
      <c r="P20" s="16" t="str">
        <f aca="false">IF(K20&lt;&gt;"",P19+K20,IF(B20&lt;&gt;"",P19,""))</f>
        <v/>
      </c>
      <c r="Q20" s="17" t="str">
        <f aca="false">IF(P20&lt;&gt;"",MIN(0,P20-MAX($P$4:P20)),"")</f>
        <v/>
      </c>
      <c r="S20" s="35" t="str">
        <f aca="false">IF(A12&lt;&gt;"",A12,"")</f>
        <v/>
      </c>
      <c r="T20" s="36" t="str">
        <f aca="false">IF(P12&lt;&gt;"",P12,"")</f>
        <v/>
      </c>
      <c r="U20" s="33" t="str">
        <f aca="false">IF(P12&lt;&gt;"",(P12-$D$2)/$D$2,"")</f>
        <v/>
      </c>
    </row>
    <row r="21" customFormat="false" ht="15" hidden="false" customHeight="true" outlineLevel="0" collapsed="false">
      <c r="A21" s="11" t="str">
        <f aca="false">IF(B21&lt;&gt;"",COUNTA($B$4:B21),"")</f>
        <v/>
      </c>
      <c r="B21" s="20"/>
      <c r="C21" s="20"/>
      <c r="D21" s="20"/>
      <c r="E21" s="20"/>
      <c r="F21" s="20"/>
      <c r="G21" s="20"/>
      <c r="H21" s="20"/>
      <c r="I21" s="21"/>
      <c r="J21" s="20"/>
      <c r="K21" s="14" t="str">
        <f aca="false">IF(AND(I21&lt;&gt;"",H21&lt;&gt;"",J21&lt;&gt;""),IF(J21="W",I21*H21,IF(J21="L",-I21,IF(J21="P",I21*H21*0.5,""))),"")</f>
        <v/>
      </c>
      <c r="L21" s="15" t="str">
        <f aca="false">IF(AND(K21&lt;&gt;"",P20&lt;&gt;""),K21/P20,IF(K21&lt;&gt;"",K21/$D$2,""))</f>
        <v/>
      </c>
      <c r="M21" s="20"/>
      <c r="N21" s="20"/>
      <c r="O21" s="20"/>
      <c r="P21" s="16" t="str">
        <f aca="false">IF(K21&lt;&gt;"",P20+K21,IF(B21&lt;&gt;"",P20,""))</f>
        <v/>
      </c>
      <c r="Q21" s="17" t="str">
        <f aca="false">IF(P21&lt;&gt;"",MIN(0,P21-MAX($P$4:P21)),"")</f>
        <v/>
      </c>
      <c r="S21" s="35" t="str">
        <f aca="false">IF(A13&lt;&gt;"",A13,"")</f>
        <v/>
      </c>
      <c r="T21" s="36" t="str">
        <f aca="false">IF(P13&lt;&gt;"",P13,"")</f>
        <v/>
      </c>
      <c r="U21" s="33" t="str">
        <f aca="false">IF(P13&lt;&gt;"",(P13-$D$2)/$D$2,"")</f>
        <v/>
      </c>
    </row>
    <row r="22" customFormat="false" ht="15" hidden="false" customHeight="true" outlineLevel="0" collapsed="false">
      <c r="A22" s="11" t="str">
        <f aca="false">IF(B22&lt;&gt;"",COUNTA($B$4:B22),"")</f>
        <v/>
      </c>
      <c r="B22" s="12"/>
      <c r="C22" s="12"/>
      <c r="D22" s="12"/>
      <c r="E22" s="12"/>
      <c r="F22" s="12"/>
      <c r="G22" s="12"/>
      <c r="H22" s="12"/>
      <c r="I22" s="13"/>
      <c r="J22" s="12"/>
      <c r="K22" s="14" t="str">
        <f aca="false">IF(AND(I22&lt;&gt;"",H22&lt;&gt;"",J22&lt;&gt;""),IF(J22="W",I22*H22,IF(J22="L",-I22,IF(J22="P",I22*H22*0.5,""))),"")</f>
        <v/>
      </c>
      <c r="L22" s="15" t="str">
        <f aca="false">IF(AND(K22&lt;&gt;"",P21&lt;&gt;""),K22/P21,IF(K22&lt;&gt;"",K22/$D$2,""))</f>
        <v/>
      </c>
      <c r="M22" s="12"/>
      <c r="N22" s="12"/>
      <c r="O22" s="12"/>
      <c r="P22" s="16" t="str">
        <f aca="false">IF(K22&lt;&gt;"",P21+K22,IF(B22&lt;&gt;"",P21,""))</f>
        <v/>
      </c>
      <c r="Q22" s="17" t="str">
        <f aca="false">IF(P22&lt;&gt;"",MIN(0,P22-MAX($P$4:P22)),"")</f>
        <v/>
      </c>
      <c r="S22" s="35" t="str">
        <f aca="false">IF(A14&lt;&gt;"",A14,"")</f>
        <v/>
      </c>
      <c r="T22" s="36" t="str">
        <f aca="false">IF(P14&lt;&gt;"",P14,"")</f>
        <v/>
      </c>
      <c r="U22" s="33" t="str">
        <f aca="false">IF(P14&lt;&gt;"",(P14-$D$2)/$D$2,"")</f>
        <v/>
      </c>
    </row>
    <row r="23" customFormat="false" ht="15" hidden="false" customHeight="true" outlineLevel="0" collapsed="false">
      <c r="A23" s="11" t="str">
        <f aca="false">IF(B23&lt;&gt;"",COUNTA($B$4:B23),"")</f>
        <v/>
      </c>
      <c r="B23" s="20"/>
      <c r="C23" s="20"/>
      <c r="D23" s="20"/>
      <c r="E23" s="20"/>
      <c r="F23" s="20"/>
      <c r="G23" s="20"/>
      <c r="H23" s="20"/>
      <c r="I23" s="21"/>
      <c r="J23" s="20"/>
      <c r="K23" s="14" t="str">
        <f aca="false">IF(AND(I23&lt;&gt;"",H23&lt;&gt;"",J23&lt;&gt;""),IF(J23="W",I23*H23,IF(J23="L",-I23,IF(J23="P",I23*H23*0.5,""))),"")</f>
        <v/>
      </c>
      <c r="L23" s="15" t="str">
        <f aca="false">IF(AND(K23&lt;&gt;"",P22&lt;&gt;""),K23/P22,IF(K23&lt;&gt;"",K23/$D$2,""))</f>
        <v/>
      </c>
      <c r="M23" s="20"/>
      <c r="N23" s="20"/>
      <c r="O23" s="20"/>
      <c r="P23" s="16" t="str">
        <f aca="false">IF(K23&lt;&gt;"",P22+K23,IF(B23&lt;&gt;"",P22,""))</f>
        <v/>
      </c>
      <c r="Q23" s="17" t="str">
        <f aca="false">IF(P23&lt;&gt;"",MIN(0,P23-MAX($P$4:P23)),"")</f>
        <v/>
      </c>
      <c r="S23" s="35" t="str">
        <f aca="false">IF(A15&lt;&gt;"",A15,"")</f>
        <v/>
      </c>
      <c r="T23" s="36" t="str">
        <f aca="false">IF(P15&lt;&gt;"",P15,"")</f>
        <v/>
      </c>
      <c r="U23" s="33" t="str">
        <f aca="false">IF(P15&lt;&gt;"",(P15-$D$2)/$D$2,"")</f>
        <v/>
      </c>
    </row>
    <row r="24" customFormat="false" ht="15" hidden="false" customHeight="true" outlineLevel="0" collapsed="false">
      <c r="A24" s="11" t="str">
        <f aca="false">IF(B24&lt;&gt;"",COUNTA($B$4:B24),"")</f>
        <v/>
      </c>
      <c r="B24" s="12"/>
      <c r="C24" s="12"/>
      <c r="D24" s="12"/>
      <c r="E24" s="12"/>
      <c r="F24" s="12"/>
      <c r="G24" s="12"/>
      <c r="H24" s="12"/>
      <c r="I24" s="13"/>
      <c r="J24" s="12"/>
      <c r="K24" s="14" t="str">
        <f aca="false">IF(AND(I24&lt;&gt;"",H24&lt;&gt;"",J24&lt;&gt;""),IF(J24="W",I24*H24,IF(J24="L",-I24,IF(J24="P",I24*H24*0.5,""))),"")</f>
        <v/>
      </c>
      <c r="L24" s="15" t="str">
        <f aca="false">IF(AND(K24&lt;&gt;"",P23&lt;&gt;""),K24/P23,IF(K24&lt;&gt;"",K24/$D$2,""))</f>
        <v/>
      </c>
      <c r="M24" s="12"/>
      <c r="N24" s="12"/>
      <c r="O24" s="12"/>
      <c r="P24" s="16" t="str">
        <f aca="false">IF(K24&lt;&gt;"",P23+K24,IF(B24&lt;&gt;"",P23,""))</f>
        <v/>
      </c>
      <c r="Q24" s="17" t="str">
        <f aca="false">IF(P24&lt;&gt;"",MIN(0,P24-MAX($P$4:P24)),"")</f>
        <v/>
      </c>
      <c r="S24" s="35" t="str">
        <f aca="false">IF(A16&lt;&gt;"",A16,"")</f>
        <v/>
      </c>
      <c r="T24" s="36" t="str">
        <f aca="false">IF(P16&lt;&gt;"",P16,"")</f>
        <v/>
      </c>
      <c r="U24" s="33" t="str">
        <f aca="false">IF(P16&lt;&gt;"",(P16-$D$2)/$D$2,"")</f>
        <v/>
      </c>
    </row>
    <row r="25" customFormat="false" ht="15" hidden="false" customHeight="true" outlineLevel="0" collapsed="false">
      <c r="A25" s="11" t="str">
        <f aca="false">IF(B25&lt;&gt;"",COUNTA($B$4:B25),"")</f>
        <v/>
      </c>
      <c r="B25" s="20"/>
      <c r="C25" s="20"/>
      <c r="D25" s="20"/>
      <c r="E25" s="20"/>
      <c r="F25" s="20"/>
      <c r="G25" s="20"/>
      <c r="H25" s="20"/>
      <c r="I25" s="21"/>
      <c r="J25" s="20"/>
      <c r="K25" s="14" t="str">
        <f aca="false">IF(AND(I25&lt;&gt;"",H25&lt;&gt;"",J25&lt;&gt;""),IF(J25="W",I25*H25,IF(J25="L",-I25,IF(J25="P",I25*H25*0.5,""))),"")</f>
        <v/>
      </c>
      <c r="L25" s="15" t="str">
        <f aca="false">IF(AND(K25&lt;&gt;"",P24&lt;&gt;""),K25/P24,IF(K25&lt;&gt;"",K25/$D$2,""))</f>
        <v/>
      </c>
      <c r="M25" s="20"/>
      <c r="N25" s="20"/>
      <c r="O25" s="20"/>
      <c r="P25" s="16" t="str">
        <f aca="false">IF(K25&lt;&gt;"",P24+K25,IF(B25&lt;&gt;"",P24,""))</f>
        <v/>
      </c>
      <c r="Q25" s="17" t="str">
        <f aca="false">IF(P25&lt;&gt;"",MIN(0,P25-MAX($P$4:P25)),"")</f>
        <v/>
      </c>
      <c r="S25" s="35" t="str">
        <f aca="false">IF(A17&lt;&gt;"",A17,"")</f>
        <v/>
      </c>
      <c r="T25" s="36" t="str">
        <f aca="false">IF(P17&lt;&gt;"",P17,"")</f>
        <v/>
      </c>
      <c r="U25" s="33" t="str">
        <f aca="false">IF(P17&lt;&gt;"",(P17-$D$2)/$D$2,"")</f>
        <v/>
      </c>
    </row>
    <row r="26" customFormat="false" ht="15" hidden="false" customHeight="true" outlineLevel="0" collapsed="false">
      <c r="A26" s="11" t="str">
        <f aca="false">IF(B26&lt;&gt;"",COUNTA($B$4:B26),"")</f>
        <v/>
      </c>
      <c r="B26" s="12"/>
      <c r="C26" s="12"/>
      <c r="D26" s="12"/>
      <c r="E26" s="12"/>
      <c r="F26" s="12"/>
      <c r="G26" s="12"/>
      <c r="H26" s="12"/>
      <c r="I26" s="13"/>
      <c r="J26" s="12"/>
      <c r="K26" s="14" t="str">
        <f aca="false">IF(AND(I26&lt;&gt;"",H26&lt;&gt;"",J26&lt;&gt;""),IF(J26="W",I26*H26,IF(J26="L",-I26,IF(J26="P",I26*H26*0.5,""))),"")</f>
        <v/>
      </c>
      <c r="L26" s="15" t="str">
        <f aca="false">IF(AND(K26&lt;&gt;"",P25&lt;&gt;""),K26/P25,IF(K26&lt;&gt;"",K26/$D$2,""))</f>
        <v/>
      </c>
      <c r="M26" s="12"/>
      <c r="N26" s="12"/>
      <c r="O26" s="12"/>
      <c r="P26" s="16" t="str">
        <f aca="false">IF(K26&lt;&gt;"",P25+K26,IF(B26&lt;&gt;"",P25,""))</f>
        <v/>
      </c>
      <c r="Q26" s="17" t="str">
        <f aca="false">IF(P26&lt;&gt;"",MIN(0,P26-MAX($P$4:P26)),"")</f>
        <v/>
      </c>
      <c r="S26" s="35" t="str">
        <f aca="false">IF(A18&lt;&gt;"",A18,"")</f>
        <v/>
      </c>
      <c r="T26" s="36" t="str">
        <f aca="false">IF(P18&lt;&gt;"",P18,"")</f>
        <v/>
      </c>
      <c r="U26" s="33" t="str">
        <f aca="false">IF(P18&lt;&gt;"",(P18-$D$2)/$D$2,"")</f>
        <v/>
      </c>
    </row>
    <row r="27" customFormat="false" ht="15" hidden="false" customHeight="true" outlineLevel="0" collapsed="false">
      <c r="A27" s="11" t="str">
        <f aca="false">IF(B27&lt;&gt;"",COUNTA($B$4:B27),"")</f>
        <v/>
      </c>
      <c r="B27" s="20"/>
      <c r="C27" s="20"/>
      <c r="D27" s="20"/>
      <c r="E27" s="20"/>
      <c r="F27" s="20"/>
      <c r="G27" s="20"/>
      <c r="H27" s="20"/>
      <c r="I27" s="21"/>
      <c r="J27" s="20"/>
      <c r="K27" s="14" t="str">
        <f aca="false">IF(AND(I27&lt;&gt;"",H27&lt;&gt;"",J27&lt;&gt;""),IF(J27="W",I27*H27,IF(J27="L",-I27,IF(J27="P",I27*H27*0.5,""))),"")</f>
        <v/>
      </c>
      <c r="L27" s="15" t="str">
        <f aca="false">IF(AND(K27&lt;&gt;"",P26&lt;&gt;""),K27/P26,IF(K27&lt;&gt;"",K27/$D$2,""))</f>
        <v/>
      </c>
      <c r="M27" s="20"/>
      <c r="N27" s="20"/>
      <c r="O27" s="20"/>
      <c r="P27" s="16" t="str">
        <f aca="false">IF(K27&lt;&gt;"",P26+K27,IF(B27&lt;&gt;"",P26,""))</f>
        <v/>
      </c>
      <c r="Q27" s="17" t="str">
        <f aca="false">IF(P27&lt;&gt;"",MIN(0,P27-MAX($P$4:P27)),"")</f>
        <v/>
      </c>
      <c r="S27" s="35" t="str">
        <f aca="false">IF(A19&lt;&gt;"",A19,"")</f>
        <v/>
      </c>
      <c r="T27" s="36" t="str">
        <f aca="false">IF(P19&lt;&gt;"",P19,"")</f>
        <v/>
      </c>
      <c r="U27" s="33" t="str">
        <f aca="false">IF(P19&lt;&gt;"",(P19-$D$2)/$D$2,"")</f>
        <v/>
      </c>
    </row>
    <row r="28" customFormat="false" ht="15" hidden="false" customHeight="true" outlineLevel="0" collapsed="false">
      <c r="A28" s="11" t="str">
        <f aca="false">IF(B28&lt;&gt;"",COUNTA($B$4:B28),"")</f>
        <v/>
      </c>
      <c r="B28" s="12"/>
      <c r="C28" s="12"/>
      <c r="D28" s="12"/>
      <c r="E28" s="12"/>
      <c r="F28" s="12"/>
      <c r="G28" s="12"/>
      <c r="H28" s="12"/>
      <c r="I28" s="13"/>
      <c r="J28" s="12"/>
      <c r="K28" s="14" t="str">
        <f aca="false">IF(AND(I28&lt;&gt;"",H28&lt;&gt;"",J28&lt;&gt;""),IF(J28="W",I28*H28,IF(J28="L",-I28,IF(J28="P",I28*H28*0.5,""))),"")</f>
        <v/>
      </c>
      <c r="L28" s="15" t="str">
        <f aca="false">IF(AND(K28&lt;&gt;"",P27&lt;&gt;""),K28/P27,IF(K28&lt;&gt;"",K28/$D$2,""))</f>
        <v/>
      </c>
      <c r="M28" s="12"/>
      <c r="N28" s="12"/>
      <c r="O28" s="12"/>
      <c r="P28" s="16" t="str">
        <f aca="false">IF(K28&lt;&gt;"",P27+K28,IF(B28&lt;&gt;"",P27,""))</f>
        <v/>
      </c>
      <c r="Q28" s="17" t="str">
        <f aca="false">IF(P28&lt;&gt;"",MIN(0,P28-MAX($P$4:P28)),"")</f>
        <v/>
      </c>
      <c r="S28" s="35" t="str">
        <f aca="false">IF(A20&lt;&gt;"",A20,"")</f>
        <v/>
      </c>
      <c r="T28" s="36" t="str">
        <f aca="false">IF(P20&lt;&gt;"",P20,"")</f>
        <v/>
      </c>
      <c r="U28" s="33" t="str">
        <f aca="false">IF(P20&lt;&gt;"",(P20-$D$2)/$D$2,"")</f>
        <v/>
      </c>
    </row>
    <row r="29" customFormat="false" ht="15" hidden="false" customHeight="true" outlineLevel="0" collapsed="false">
      <c r="A29" s="11" t="str">
        <f aca="false">IF(B29&lt;&gt;"",COUNTA($B$4:B29),"")</f>
        <v/>
      </c>
      <c r="B29" s="20"/>
      <c r="C29" s="20"/>
      <c r="D29" s="20"/>
      <c r="E29" s="20"/>
      <c r="F29" s="20"/>
      <c r="G29" s="20"/>
      <c r="H29" s="20"/>
      <c r="I29" s="21"/>
      <c r="J29" s="20"/>
      <c r="K29" s="14" t="str">
        <f aca="false">IF(AND(I29&lt;&gt;"",H29&lt;&gt;"",J29&lt;&gt;""),IF(J29="W",I29*H29,IF(J29="L",-I29,IF(J29="P",I29*H29*0.5,""))),"")</f>
        <v/>
      </c>
      <c r="L29" s="15" t="str">
        <f aca="false">IF(AND(K29&lt;&gt;"",P28&lt;&gt;""),K29/P28,IF(K29&lt;&gt;"",K29/$D$2,""))</f>
        <v/>
      </c>
      <c r="M29" s="20"/>
      <c r="N29" s="20"/>
      <c r="O29" s="20"/>
      <c r="P29" s="16" t="str">
        <f aca="false">IF(K29&lt;&gt;"",P28+K29,IF(B29&lt;&gt;"",P28,""))</f>
        <v/>
      </c>
      <c r="Q29" s="17" t="str">
        <f aca="false">IF(P29&lt;&gt;"",MIN(0,P29-MAX($P$4:P29)),"")</f>
        <v/>
      </c>
      <c r="S29" s="35" t="str">
        <f aca="false">IF(A21&lt;&gt;"",A21,"")</f>
        <v/>
      </c>
      <c r="T29" s="36" t="str">
        <f aca="false">IF(P21&lt;&gt;"",P21,"")</f>
        <v/>
      </c>
      <c r="U29" s="33" t="str">
        <f aca="false">IF(P21&lt;&gt;"",(P21-$D$2)/$D$2,"")</f>
        <v/>
      </c>
    </row>
    <row r="30" customFormat="false" ht="15" hidden="false" customHeight="true" outlineLevel="0" collapsed="false">
      <c r="A30" s="11" t="str">
        <f aca="false">IF(B30&lt;&gt;"",COUNTA($B$4:B30),"")</f>
        <v/>
      </c>
      <c r="B30" s="12"/>
      <c r="C30" s="12"/>
      <c r="D30" s="12"/>
      <c r="E30" s="12"/>
      <c r="F30" s="12"/>
      <c r="G30" s="12"/>
      <c r="H30" s="12"/>
      <c r="I30" s="13"/>
      <c r="J30" s="12"/>
      <c r="K30" s="14" t="str">
        <f aca="false">IF(AND(I30&lt;&gt;"",H30&lt;&gt;"",J30&lt;&gt;""),IF(J30="W",I30*H30,IF(J30="L",-I30,IF(J30="P",I30*H30*0.5,""))),"")</f>
        <v/>
      </c>
      <c r="L30" s="15" t="str">
        <f aca="false">IF(AND(K30&lt;&gt;"",P29&lt;&gt;""),K30/P29,IF(K30&lt;&gt;"",K30/$D$2,""))</f>
        <v/>
      </c>
      <c r="M30" s="12"/>
      <c r="N30" s="12"/>
      <c r="O30" s="12"/>
      <c r="P30" s="16" t="str">
        <f aca="false">IF(K30&lt;&gt;"",P29+K30,IF(B30&lt;&gt;"",P29,""))</f>
        <v/>
      </c>
      <c r="Q30" s="17" t="str">
        <f aca="false">IF(P30&lt;&gt;"",MIN(0,P30-MAX($P$4:P30)),"")</f>
        <v/>
      </c>
      <c r="S30" s="35" t="str">
        <f aca="false">IF(A22&lt;&gt;"",A22,"")</f>
        <v/>
      </c>
      <c r="T30" s="36" t="str">
        <f aca="false">IF(P22&lt;&gt;"",P22,"")</f>
        <v/>
      </c>
      <c r="U30" s="33" t="str">
        <f aca="false">IF(P22&lt;&gt;"",(P22-$D$2)/$D$2,"")</f>
        <v/>
      </c>
    </row>
    <row r="31" customFormat="false" ht="15" hidden="false" customHeight="true" outlineLevel="0" collapsed="false">
      <c r="A31" s="11" t="str">
        <f aca="false">IF(B31&lt;&gt;"",COUNTA($B$4:B31),"")</f>
        <v/>
      </c>
      <c r="B31" s="20"/>
      <c r="C31" s="20"/>
      <c r="D31" s="20"/>
      <c r="E31" s="20"/>
      <c r="F31" s="20"/>
      <c r="G31" s="20"/>
      <c r="H31" s="20"/>
      <c r="I31" s="21"/>
      <c r="J31" s="20"/>
      <c r="K31" s="14" t="str">
        <f aca="false">IF(AND(I31&lt;&gt;"",H31&lt;&gt;"",J31&lt;&gt;""),IF(J31="W",I31*H31,IF(J31="L",-I31,IF(J31="P",I31*H31*0.5,""))),"")</f>
        <v/>
      </c>
      <c r="L31" s="15" t="str">
        <f aca="false">IF(AND(K31&lt;&gt;"",P30&lt;&gt;""),K31/P30,IF(K31&lt;&gt;"",K31/$D$2,""))</f>
        <v/>
      </c>
      <c r="M31" s="20"/>
      <c r="N31" s="20"/>
      <c r="O31" s="20"/>
      <c r="P31" s="16" t="str">
        <f aca="false">IF(K31&lt;&gt;"",P30+K31,IF(B31&lt;&gt;"",P30,""))</f>
        <v/>
      </c>
      <c r="Q31" s="17" t="str">
        <f aca="false">IF(P31&lt;&gt;"",MIN(0,P31-MAX($P$4:P31)),"")</f>
        <v/>
      </c>
      <c r="S31" s="35" t="str">
        <f aca="false">IF(A23&lt;&gt;"",A23,"")</f>
        <v/>
      </c>
      <c r="T31" s="36" t="str">
        <f aca="false">IF(P23&lt;&gt;"",P23,"")</f>
        <v/>
      </c>
      <c r="U31" s="33" t="str">
        <f aca="false">IF(P23&lt;&gt;"",(P23-$D$2)/$D$2,"")</f>
        <v/>
      </c>
    </row>
    <row r="32" customFormat="false" ht="15" hidden="false" customHeight="true" outlineLevel="0" collapsed="false">
      <c r="A32" s="11" t="str">
        <f aca="false">IF(B32&lt;&gt;"",COUNTA($B$4:B32),"")</f>
        <v/>
      </c>
      <c r="B32" s="12"/>
      <c r="C32" s="12"/>
      <c r="D32" s="12"/>
      <c r="E32" s="12"/>
      <c r="F32" s="12"/>
      <c r="G32" s="12"/>
      <c r="H32" s="12"/>
      <c r="I32" s="13"/>
      <c r="J32" s="12"/>
      <c r="K32" s="14" t="str">
        <f aca="false">IF(AND(I32&lt;&gt;"",H32&lt;&gt;"",J32&lt;&gt;""),IF(J32="W",I32*H32,IF(J32="L",-I32,IF(J32="P",I32*H32*0.5,""))),"")</f>
        <v/>
      </c>
      <c r="L32" s="15" t="str">
        <f aca="false">IF(AND(K32&lt;&gt;"",P31&lt;&gt;""),K32/P31,IF(K32&lt;&gt;"",K32/$D$2,""))</f>
        <v/>
      </c>
      <c r="M32" s="12"/>
      <c r="N32" s="12"/>
      <c r="O32" s="12"/>
      <c r="P32" s="16" t="str">
        <f aca="false">IF(K32&lt;&gt;"",P31+K32,IF(B32&lt;&gt;"",P31,""))</f>
        <v/>
      </c>
      <c r="Q32" s="17" t="str">
        <f aca="false">IF(P32&lt;&gt;"",MIN(0,P32-MAX($P$4:P32)),"")</f>
        <v/>
      </c>
      <c r="S32" s="35" t="str">
        <f aca="false">IF(A24&lt;&gt;"",A24,"")</f>
        <v/>
      </c>
      <c r="T32" s="36" t="str">
        <f aca="false">IF(P24&lt;&gt;"",P24,"")</f>
        <v/>
      </c>
      <c r="U32" s="33" t="str">
        <f aca="false">IF(P24&lt;&gt;"",(P24-$D$2)/$D$2,"")</f>
        <v/>
      </c>
    </row>
    <row r="33" customFormat="false" ht="15" hidden="false" customHeight="true" outlineLevel="0" collapsed="false">
      <c r="A33" s="11" t="str">
        <f aca="false">IF(B33&lt;&gt;"",COUNTA($B$4:B33),"")</f>
        <v/>
      </c>
      <c r="B33" s="20"/>
      <c r="C33" s="20"/>
      <c r="D33" s="20"/>
      <c r="E33" s="20"/>
      <c r="F33" s="20"/>
      <c r="G33" s="20"/>
      <c r="H33" s="20"/>
      <c r="I33" s="21"/>
      <c r="J33" s="20"/>
      <c r="K33" s="14" t="str">
        <f aca="false">IF(AND(I33&lt;&gt;"",H33&lt;&gt;"",J33&lt;&gt;""),IF(J33="W",I33*H33,IF(J33="L",-I33,IF(J33="P",I33*H33*0.5,""))),"")</f>
        <v/>
      </c>
      <c r="L33" s="15" t="str">
        <f aca="false">IF(AND(K33&lt;&gt;"",P32&lt;&gt;""),K33/P32,IF(K33&lt;&gt;"",K33/$D$2,""))</f>
        <v/>
      </c>
      <c r="M33" s="20"/>
      <c r="N33" s="20"/>
      <c r="O33" s="20"/>
      <c r="P33" s="16" t="str">
        <f aca="false">IF(K33&lt;&gt;"",P32+K33,IF(B33&lt;&gt;"",P32,""))</f>
        <v/>
      </c>
      <c r="Q33" s="17" t="str">
        <f aca="false">IF(P33&lt;&gt;"",MIN(0,P33-MAX($P$4:P33)),"")</f>
        <v/>
      </c>
      <c r="S33" s="35" t="str">
        <f aca="false">IF(A25&lt;&gt;"",A25,"")</f>
        <v/>
      </c>
      <c r="T33" s="36" t="str">
        <f aca="false">IF(P25&lt;&gt;"",P25,"")</f>
        <v/>
      </c>
      <c r="U33" s="33" t="str">
        <f aca="false">IF(P25&lt;&gt;"",(P25-$D$2)/$D$2,"")</f>
        <v/>
      </c>
    </row>
    <row r="34" customFormat="false" ht="15" hidden="false" customHeight="true" outlineLevel="0" collapsed="false">
      <c r="A34" s="11" t="str">
        <f aca="false">IF(B34&lt;&gt;"",COUNTA($B$4:B34),"")</f>
        <v/>
      </c>
      <c r="B34" s="12"/>
      <c r="C34" s="12"/>
      <c r="D34" s="12"/>
      <c r="E34" s="12"/>
      <c r="F34" s="12"/>
      <c r="G34" s="12"/>
      <c r="H34" s="12"/>
      <c r="I34" s="13"/>
      <c r="J34" s="12"/>
      <c r="K34" s="14" t="str">
        <f aca="false">IF(AND(I34&lt;&gt;"",H34&lt;&gt;"",J34&lt;&gt;""),IF(J34="W",I34*H34,IF(J34="L",-I34,IF(J34="P",I34*H34*0.5,""))),"")</f>
        <v/>
      </c>
      <c r="L34" s="15" t="str">
        <f aca="false">IF(AND(K34&lt;&gt;"",P33&lt;&gt;""),K34/P33,IF(K34&lt;&gt;"",K34/$D$2,""))</f>
        <v/>
      </c>
      <c r="M34" s="12"/>
      <c r="N34" s="12"/>
      <c r="O34" s="12"/>
      <c r="P34" s="16" t="str">
        <f aca="false">IF(K34&lt;&gt;"",P33+K34,IF(B34&lt;&gt;"",P33,""))</f>
        <v/>
      </c>
      <c r="Q34" s="17" t="str">
        <f aca="false">IF(P34&lt;&gt;"",MIN(0,P34-MAX($P$4:P34)),"")</f>
        <v/>
      </c>
      <c r="S34" s="35" t="str">
        <f aca="false">IF(A26&lt;&gt;"",A26,"")</f>
        <v/>
      </c>
      <c r="T34" s="36" t="str">
        <f aca="false">IF(P26&lt;&gt;"",P26,"")</f>
        <v/>
      </c>
      <c r="U34" s="33" t="str">
        <f aca="false">IF(P26&lt;&gt;"",(P26-$D$2)/$D$2,"")</f>
        <v/>
      </c>
    </row>
    <row r="35" customFormat="false" ht="15" hidden="false" customHeight="true" outlineLevel="0" collapsed="false">
      <c r="A35" s="11" t="str">
        <f aca="false">IF(B35&lt;&gt;"",COUNTA($B$4:B35),"")</f>
        <v/>
      </c>
      <c r="B35" s="20"/>
      <c r="C35" s="20"/>
      <c r="D35" s="20"/>
      <c r="E35" s="20"/>
      <c r="F35" s="20"/>
      <c r="G35" s="20"/>
      <c r="H35" s="20"/>
      <c r="I35" s="21"/>
      <c r="J35" s="20"/>
      <c r="K35" s="14" t="str">
        <f aca="false">IF(AND(I35&lt;&gt;"",H35&lt;&gt;"",J35&lt;&gt;""),IF(J35="W",I35*H35,IF(J35="L",-I35,IF(J35="P",I35*H35*0.5,""))),"")</f>
        <v/>
      </c>
      <c r="L35" s="15" t="str">
        <f aca="false">IF(AND(K35&lt;&gt;"",P34&lt;&gt;""),K35/P34,IF(K35&lt;&gt;"",K35/$D$2,""))</f>
        <v/>
      </c>
      <c r="M35" s="20"/>
      <c r="N35" s="20"/>
      <c r="O35" s="20"/>
      <c r="P35" s="16" t="str">
        <f aca="false">IF(K35&lt;&gt;"",P34+K35,IF(B35&lt;&gt;"",P34,""))</f>
        <v/>
      </c>
      <c r="Q35" s="17" t="str">
        <f aca="false">IF(P35&lt;&gt;"",MIN(0,P35-MAX($P$4:P35)),"")</f>
        <v/>
      </c>
      <c r="S35" s="35" t="str">
        <f aca="false">IF(A27&lt;&gt;"",A27,"")</f>
        <v/>
      </c>
      <c r="T35" s="36" t="str">
        <f aca="false">IF(P27&lt;&gt;"",P27,"")</f>
        <v/>
      </c>
      <c r="U35" s="33" t="str">
        <f aca="false">IF(P27&lt;&gt;"",(P27-$D$2)/$D$2,"")</f>
        <v/>
      </c>
    </row>
    <row r="36" customFormat="false" ht="15" hidden="false" customHeight="true" outlineLevel="0" collapsed="false">
      <c r="A36" s="11" t="str">
        <f aca="false">IF(B36&lt;&gt;"",COUNTA($B$4:B36),"")</f>
        <v/>
      </c>
      <c r="B36" s="12"/>
      <c r="C36" s="12"/>
      <c r="D36" s="12"/>
      <c r="E36" s="12"/>
      <c r="F36" s="12"/>
      <c r="G36" s="12"/>
      <c r="H36" s="12"/>
      <c r="I36" s="13"/>
      <c r="J36" s="12"/>
      <c r="K36" s="14" t="str">
        <f aca="false">IF(AND(I36&lt;&gt;"",H36&lt;&gt;"",J36&lt;&gt;""),IF(J36="W",I36*H36,IF(J36="L",-I36,IF(J36="P",I36*H36*0.5,""))),"")</f>
        <v/>
      </c>
      <c r="L36" s="15" t="str">
        <f aca="false">IF(AND(K36&lt;&gt;"",P35&lt;&gt;""),K36/P35,IF(K36&lt;&gt;"",K36/$D$2,""))</f>
        <v/>
      </c>
      <c r="M36" s="12"/>
      <c r="N36" s="12"/>
      <c r="O36" s="12"/>
      <c r="P36" s="16" t="str">
        <f aca="false">IF(K36&lt;&gt;"",P35+K36,IF(B36&lt;&gt;"",P35,""))</f>
        <v/>
      </c>
      <c r="Q36" s="17" t="str">
        <f aca="false">IF(P36&lt;&gt;"",MIN(0,P36-MAX($P$4:P36)),"")</f>
        <v/>
      </c>
      <c r="S36" s="35" t="str">
        <f aca="false">IF(A28&lt;&gt;"",A28,"")</f>
        <v/>
      </c>
      <c r="T36" s="36" t="str">
        <f aca="false">IF(P28&lt;&gt;"",P28,"")</f>
        <v/>
      </c>
      <c r="U36" s="33" t="str">
        <f aca="false">IF(P28&lt;&gt;"",(P28-$D$2)/$D$2,"")</f>
        <v/>
      </c>
    </row>
    <row r="37" customFormat="false" ht="15" hidden="false" customHeight="true" outlineLevel="0" collapsed="false">
      <c r="A37" s="11" t="str">
        <f aca="false">IF(B37&lt;&gt;"",COUNTA($B$4:B37),"")</f>
        <v/>
      </c>
      <c r="B37" s="20"/>
      <c r="C37" s="20"/>
      <c r="D37" s="20"/>
      <c r="E37" s="20"/>
      <c r="F37" s="20"/>
      <c r="G37" s="20"/>
      <c r="H37" s="20"/>
      <c r="I37" s="21"/>
      <c r="J37" s="20"/>
      <c r="K37" s="14" t="str">
        <f aca="false">IF(AND(I37&lt;&gt;"",H37&lt;&gt;"",J37&lt;&gt;""),IF(J37="W",I37*H37,IF(J37="L",-I37,IF(J37="P",I37*H37*0.5,""))),"")</f>
        <v/>
      </c>
      <c r="L37" s="15" t="str">
        <f aca="false">IF(AND(K37&lt;&gt;"",P36&lt;&gt;""),K37/P36,IF(K37&lt;&gt;"",K37/$D$2,""))</f>
        <v/>
      </c>
      <c r="M37" s="20"/>
      <c r="N37" s="20"/>
      <c r="O37" s="20"/>
      <c r="P37" s="16" t="str">
        <f aca="false">IF(K37&lt;&gt;"",P36+K37,IF(B37&lt;&gt;"",P36,""))</f>
        <v/>
      </c>
      <c r="Q37" s="17" t="str">
        <f aca="false">IF(P37&lt;&gt;"",MIN(0,P37-MAX($P$4:P37)),"")</f>
        <v/>
      </c>
      <c r="S37" s="35" t="str">
        <f aca="false">IF(A29&lt;&gt;"",A29,"")</f>
        <v/>
      </c>
      <c r="T37" s="36" t="str">
        <f aca="false">IF(P29&lt;&gt;"",P29,"")</f>
        <v/>
      </c>
      <c r="U37" s="33" t="str">
        <f aca="false">IF(P29&lt;&gt;"",(P29-$D$2)/$D$2,"")</f>
        <v/>
      </c>
    </row>
    <row r="38" customFormat="false" ht="15" hidden="false" customHeight="true" outlineLevel="0" collapsed="false">
      <c r="A38" s="11" t="str">
        <f aca="false">IF(B38&lt;&gt;"",COUNTA($B$4:B38),"")</f>
        <v/>
      </c>
      <c r="B38" s="12"/>
      <c r="C38" s="12"/>
      <c r="D38" s="12"/>
      <c r="E38" s="12"/>
      <c r="F38" s="12"/>
      <c r="G38" s="12"/>
      <c r="H38" s="12"/>
      <c r="I38" s="13"/>
      <c r="J38" s="12"/>
      <c r="K38" s="14" t="str">
        <f aca="false">IF(AND(I38&lt;&gt;"",H38&lt;&gt;"",J38&lt;&gt;""),IF(J38="W",I38*H38,IF(J38="L",-I38,IF(J38="P",I38*H38*0.5,""))),"")</f>
        <v/>
      </c>
      <c r="L38" s="15" t="str">
        <f aca="false">IF(AND(K38&lt;&gt;"",P37&lt;&gt;""),K38/P37,IF(K38&lt;&gt;"",K38/$D$2,""))</f>
        <v/>
      </c>
      <c r="M38" s="12"/>
      <c r="N38" s="12"/>
      <c r="O38" s="12"/>
      <c r="P38" s="16" t="str">
        <f aca="false">IF(K38&lt;&gt;"",P37+K38,IF(B38&lt;&gt;"",P37,""))</f>
        <v/>
      </c>
      <c r="Q38" s="17" t="str">
        <f aca="false">IF(P38&lt;&gt;"",MIN(0,P38-MAX($P$4:P38)),"")</f>
        <v/>
      </c>
      <c r="S38" s="35" t="str">
        <f aca="false">IF(A30&lt;&gt;"",A30,"")</f>
        <v/>
      </c>
      <c r="T38" s="36" t="str">
        <f aca="false">IF(P30&lt;&gt;"",P30,"")</f>
        <v/>
      </c>
      <c r="U38" s="33" t="str">
        <f aca="false">IF(P30&lt;&gt;"",(P30-$D$2)/$D$2,"")</f>
        <v/>
      </c>
    </row>
    <row r="39" customFormat="false" ht="15" hidden="false" customHeight="true" outlineLevel="0" collapsed="false">
      <c r="A39" s="11" t="str">
        <f aca="false">IF(B39&lt;&gt;"",COUNTA($B$4:B39),"")</f>
        <v/>
      </c>
      <c r="B39" s="20"/>
      <c r="C39" s="20"/>
      <c r="D39" s="20"/>
      <c r="E39" s="20"/>
      <c r="F39" s="20"/>
      <c r="G39" s="20"/>
      <c r="H39" s="20"/>
      <c r="I39" s="21"/>
      <c r="J39" s="20"/>
      <c r="K39" s="14" t="str">
        <f aca="false">IF(AND(I39&lt;&gt;"",H39&lt;&gt;"",J39&lt;&gt;""),IF(J39="W",I39*H39,IF(J39="L",-I39,IF(J39="P",I39*H39*0.5,""))),"")</f>
        <v/>
      </c>
      <c r="L39" s="15" t="str">
        <f aca="false">IF(AND(K39&lt;&gt;"",P38&lt;&gt;""),K39/P38,IF(K39&lt;&gt;"",K39/$D$2,""))</f>
        <v/>
      </c>
      <c r="M39" s="20"/>
      <c r="N39" s="20"/>
      <c r="O39" s="20"/>
      <c r="P39" s="16" t="str">
        <f aca="false">IF(K39&lt;&gt;"",P38+K39,IF(B39&lt;&gt;"",P38,""))</f>
        <v/>
      </c>
      <c r="Q39" s="17" t="str">
        <f aca="false">IF(P39&lt;&gt;"",MIN(0,P39-MAX($P$4:P39)),"")</f>
        <v/>
      </c>
      <c r="S39" s="35" t="str">
        <f aca="false">IF(A31&lt;&gt;"",A31,"")</f>
        <v/>
      </c>
      <c r="T39" s="36" t="str">
        <f aca="false">IF(P31&lt;&gt;"",P31,"")</f>
        <v/>
      </c>
      <c r="U39" s="33" t="str">
        <f aca="false">IF(P31&lt;&gt;"",(P31-$D$2)/$D$2,"")</f>
        <v/>
      </c>
    </row>
    <row r="40" customFormat="false" ht="15" hidden="false" customHeight="true" outlineLevel="0" collapsed="false">
      <c r="A40" s="11" t="str">
        <f aca="false">IF(B40&lt;&gt;"",COUNTA($B$4:B40),"")</f>
        <v/>
      </c>
      <c r="B40" s="12"/>
      <c r="C40" s="12"/>
      <c r="D40" s="12"/>
      <c r="E40" s="12"/>
      <c r="F40" s="12"/>
      <c r="G40" s="12"/>
      <c r="H40" s="12"/>
      <c r="I40" s="13"/>
      <c r="J40" s="12"/>
      <c r="K40" s="14" t="str">
        <f aca="false">IF(AND(I40&lt;&gt;"",H40&lt;&gt;"",J40&lt;&gt;""),IF(J40="W",I40*H40,IF(J40="L",-I40,IF(J40="P",I40*H40*0.5,""))),"")</f>
        <v/>
      </c>
      <c r="L40" s="15" t="str">
        <f aca="false">IF(AND(K40&lt;&gt;"",P39&lt;&gt;""),K40/P39,IF(K40&lt;&gt;"",K40/$D$2,""))</f>
        <v/>
      </c>
      <c r="M40" s="12"/>
      <c r="N40" s="12"/>
      <c r="O40" s="12"/>
      <c r="P40" s="16" t="str">
        <f aca="false">IF(K40&lt;&gt;"",P39+K40,IF(B40&lt;&gt;"",P39,""))</f>
        <v/>
      </c>
      <c r="Q40" s="17" t="str">
        <f aca="false">IF(P40&lt;&gt;"",MIN(0,P40-MAX($P$4:P40)),"")</f>
        <v/>
      </c>
      <c r="S40" s="35" t="str">
        <f aca="false">IF(A32&lt;&gt;"",A32,"")</f>
        <v/>
      </c>
      <c r="T40" s="36" t="str">
        <f aca="false">IF(P32&lt;&gt;"",P32,"")</f>
        <v/>
      </c>
      <c r="U40" s="33" t="str">
        <f aca="false">IF(P32&lt;&gt;"",(P32-$D$2)/$D$2,"")</f>
        <v/>
      </c>
    </row>
    <row r="41" customFormat="false" ht="15" hidden="false" customHeight="true" outlineLevel="0" collapsed="false">
      <c r="A41" s="11" t="str">
        <f aca="false">IF(B41&lt;&gt;"",COUNTA($B$4:B41),"")</f>
        <v/>
      </c>
      <c r="B41" s="20"/>
      <c r="C41" s="20"/>
      <c r="D41" s="20"/>
      <c r="E41" s="20"/>
      <c r="F41" s="20"/>
      <c r="G41" s="20"/>
      <c r="H41" s="20"/>
      <c r="I41" s="21"/>
      <c r="J41" s="20"/>
      <c r="K41" s="14" t="str">
        <f aca="false">IF(AND(I41&lt;&gt;"",H41&lt;&gt;"",J41&lt;&gt;""),IF(J41="W",I41*H41,IF(J41="L",-I41,IF(J41="P",I41*H41*0.5,""))),"")</f>
        <v/>
      </c>
      <c r="L41" s="15" t="str">
        <f aca="false">IF(AND(K41&lt;&gt;"",P40&lt;&gt;""),K41/P40,IF(K41&lt;&gt;"",K41/$D$2,""))</f>
        <v/>
      </c>
      <c r="M41" s="20"/>
      <c r="N41" s="20"/>
      <c r="O41" s="20"/>
      <c r="P41" s="16" t="str">
        <f aca="false">IF(K41&lt;&gt;"",P40+K41,IF(B41&lt;&gt;"",P40,""))</f>
        <v/>
      </c>
      <c r="Q41" s="17" t="str">
        <f aca="false">IF(P41&lt;&gt;"",MIN(0,P41-MAX($P$4:P41)),"")</f>
        <v/>
      </c>
      <c r="S41" s="35" t="str">
        <f aca="false">IF(A33&lt;&gt;"",A33,"")</f>
        <v/>
      </c>
      <c r="T41" s="36" t="str">
        <f aca="false">IF(P33&lt;&gt;"",P33,"")</f>
        <v/>
      </c>
      <c r="U41" s="33" t="str">
        <f aca="false">IF(P33&lt;&gt;"",(P33-$D$2)/$D$2,"")</f>
        <v/>
      </c>
    </row>
    <row r="42" customFormat="false" ht="15" hidden="false" customHeight="true" outlineLevel="0" collapsed="false">
      <c r="A42" s="11" t="str">
        <f aca="false">IF(B42&lt;&gt;"",COUNTA($B$4:B42),"")</f>
        <v/>
      </c>
      <c r="B42" s="12"/>
      <c r="C42" s="12"/>
      <c r="D42" s="12"/>
      <c r="E42" s="12"/>
      <c r="F42" s="12"/>
      <c r="G42" s="12"/>
      <c r="H42" s="12"/>
      <c r="I42" s="13"/>
      <c r="J42" s="12"/>
      <c r="K42" s="14" t="str">
        <f aca="false">IF(AND(I42&lt;&gt;"",H42&lt;&gt;"",J42&lt;&gt;""),IF(J42="W",I42*H42,IF(J42="L",-I42,IF(J42="P",I42*H42*0.5,""))),"")</f>
        <v/>
      </c>
      <c r="L42" s="15" t="str">
        <f aca="false">IF(AND(K42&lt;&gt;"",P41&lt;&gt;""),K42/P41,IF(K42&lt;&gt;"",K42/$D$2,""))</f>
        <v/>
      </c>
      <c r="M42" s="12"/>
      <c r="N42" s="12"/>
      <c r="O42" s="12"/>
      <c r="P42" s="16" t="str">
        <f aca="false">IF(K42&lt;&gt;"",P41+K42,IF(B42&lt;&gt;"",P41,""))</f>
        <v/>
      </c>
      <c r="Q42" s="17" t="str">
        <f aca="false">IF(P42&lt;&gt;"",MIN(0,P42-MAX($P$4:P42)),"")</f>
        <v/>
      </c>
      <c r="S42" s="35" t="str">
        <f aca="false">IF(A34&lt;&gt;"",A34,"")</f>
        <v/>
      </c>
      <c r="T42" s="36" t="str">
        <f aca="false">IF(P34&lt;&gt;"",P34,"")</f>
        <v/>
      </c>
      <c r="U42" s="33" t="str">
        <f aca="false">IF(P34&lt;&gt;"",(P34-$D$2)/$D$2,"")</f>
        <v/>
      </c>
    </row>
    <row r="43" customFormat="false" ht="15" hidden="false" customHeight="true" outlineLevel="0" collapsed="false">
      <c r="A43" s="11" t="str">
        <f aca="false">IF(B43&lt;&gt;"",COUNTA($B$4:B43),"")</f>
        <v/>
      </c>
      <c r="B43" s="20"/>
      <c r="C43" s="20"/>
      <c r="D43" s="20"/>
      <c r="E43" s="20"/>
      <c r="F43" s="20"/>
      <c r="G43" s="20"/>
      <c r="H43" s="20"/>
      <c r="I43" s="21"/>
      <c r="J43" s="20"/>
      <c r="K43" s="14" t="str">
        <f aca="false">IF(AND(I43&lt;&gt;"",H43&lt;&gt;"",J43&lt;&gt;""),IF(J43="W",I43*H43,IF(J43="L",-I43,IF(J43="P",I43*H43*0.5,""))),"")</f>
        <v/>
      </c>
      <c r="L43" s="15" t="str">
        <f aca="false">IF(AND(K43&lt;&gt;"",P42&lt;&gt;""),K43/P42,IF(K43&lt;&gt;"",K43/$D$2,""))</f>
        <v/>
      </c>
      <c r="M43" s="20"/>
      <c r="N43" s="20"/>
      <c r="O43" s="20"/>
      <c r="P43" s="16" t="str">
        <f aca="false">IF(K43&lt;&gt;"",P42+K43,IF(B43&lt;&gt;"",P42,""))</f>
        <v/>
      </c>
      <c r="Q43" s="17" t="str">
        <f aca="false">IF(P43&lt;&gt;"",MIN(0,P43-MAX($P$4:P43)),"")</f>
        <v/>
      </c>
      <c r="S43" s="35" t="str">
        <f aca="false">IF(A35&lt;&gt;"",A35,"")</f>
        <v/>
      </c>
      <c r="T43" s="36" t="str">
        <f aca="false">IF(P35&lt;&gt;"",P35,"")</f>
        <v/>
      </c>
      <c r="U43" s="33" t="str">
        <f aca="false">IF(P35&lt;&gt;"",(P35-$D$2)/$D$2,"")</f>
        <v/>
      </c>
    </row>
    <row r="44" customFormat="false" ht="15" hidden="false" customHeight="true" outlineLevel="0" collapsed="false">
      <c r="A44" s="11" t="str">
        <f aca="false">IF(B44&lt;&gt;"",COUNTA($B$4:B44),"")</f>
        <v/>
      </c>
      <c r="B44" s="12"/>
      <c r="C44" s="12"/>
      <c r="D44" s="12"/>
      <c r="E44" s="12"/>
      <c r="F44" s="12"/>
      <c r="G44" s="12"/>
      <c r="H44" s="12"/>
      <c r="I44" s="13"/>
      <c r="J44" s="12"/>
      <c r="K44" s="14" t="str">
        <f aca="false">IF(AND(I44&lt;&gt;"",H44&lt;&gt;"",J44&lt;&gt;""),IF(J44="W",I44*H44,IF(J44="L",-I44,IF(J44="P",I44*H44*0.5,""))),"")</f>
        <v/>
      </c>
      <c r="L44" s="15" t="str">
        <f aca="false">IF(AND(K44&lt;&gt;"",P43&lt;&gt;""),K44/P43,IF(K44&lt;&gt;"",K44/$D$2,""))</f>
        <v/>
      </c>
      <c r="M44" s="12"/>
      <c r="N44" s="12"/>
      <c r="O44" s="12"/>
      <c r="P44" s="16" t="str">
        <f aca="false">IF(K44&lt;&gt;"",P43+K44,IF(B44&lt;&gt;"",P43,""))</f>
        <v/>
      </c>
      <c r="Q44" s="17" t="str">
        <f aca="false">IF(P44&lt;&gt;"",MIN(0,P44-MAX($P$4:P44)),"")</f>
        <v/>
      </c>
      <c r="S44" s="35" t="str">
        <f aca="false">IF(A36&lt;&gt;"",A36,"")</f>
        <v/>
      </c>
      <c r="T44" s="36" t="str">
        <f aca="false">IF(P36&lt;&gt;"",P36,"")</f>
        <v/>
      </c>
      <c r="U44" s="33" t="str">
        <f aca="false">IF(P36&lt;&gt;"",(P36-$D$2)/$D$2,"")</f>
        <v/>
      </c>
    </row>
    <row r="45" customFormat="false" ht="15" hidden="false" customHeight="true" outlineLevel="0" collapsed="false">
      <c r="A45" s="11" t="str">
        <f aca="false">IF(B45&lt;&gt;"",COUNTA($B$4:B45),"")</f>
        <v/>
      </c>
      <c r="B45" s="20"/>
      <c r="C45" s="20"/>
      <c r="D45" s="20"/>
      <c r="E45" s="20"/>
      <c r="F45" s="20"/>
      <c r="G45" s="20"/>
      <c r="H45" s="20"/>
      <c r="I45" s="21"/>
      <c r="J45" s="20"/>
      <c r="K45" s="14" t="str">
        <f aca="false">IF(AND(I45&lt;&gt;"",H45&lt;&gt;"",J45&lt;&gt;""),IF(J45="W",I45*H45,IF(J45="L",-I45,IF(J45="P",I45*H45*0.5,""))),"")</f>
        <v/>
      </c>
      <c r="L45" s="15" t="str">
        <f aca="false">IF(AND(K45&lt;&gt;"",P44&lt;&gt;""),K45/P44,IF(K45&lt;&gt;"",K45/$D$2,""))</f>
        <v/>
      </c>
      <c r="M45" s="20"/>
      <c r="N45" s="20"/>
      <c r="O45" s="20"/>
      <c r="P45" s="16" t="str">
        <f aca="false">IF(K45&lt;&gt;"",P44+K45,IF(B45&lt;&gt;"",P44,""))</f>
        <v/>
      </c>
      <c r="Q45" s="17" t="str">
        <f aca="false">IF(P45&lt;&gt;"",MIN(0,P45-MAX($P$4:P45)),"")</f>
        <v/>
      </c>
      <c r="S45" s="35" t="str">
        <f aca="false">IF(A37&lt;&gt;"",A37,"")</f>
        <v/>
      </c>
      <c r="T45" s="36" t="str">
        <f aca="false">IF(P37&lt;&gt;"",P37,"")</f>
        <v/>
      </c>
      <c r="U45" s="33" t="str">
        <f aca="false">IF(P37&lt;&gt;"",(P37-$D$2)/$D$2,"")</f>
        <v/>
      </c>
    </row>
    <row r="46" customFormat="false" ht="15" hidden="false" customHeight="true" outlineLevel="0" collapsed="false">
      <c r="A46" s="11" t="str">
        <f aca="false">IF(B46&lt;&gt;"",COUNTA($B$4:B46),"")</f>
        <v/>
      </c>
      <c r="B46" s="12"/>
      <c r="C46" s="12"/>
      <c r="D46" s="12"/>
      <c r="E46" s="12"/>
      <c r="F46" s="12"/>
      <c r="G46" s="12"/>
      <c r="H46" s="12"/>
      <c r="I46" s="13"/>
      <c r="J46" s="12"/>
      <c r="K46" s="14" t="str">
        <f aca="false">IF(AND(I46&lt;&gt;"",H46&lt;&gt;"",J46&lt;&gt;""),IF(J46="W",I46*H46,IF(J46="L",-I46,IF(J46="P",I46*H46*0.5,""))),"")</f>
        <v/>
      </c>
      <c r="L46" s="15" t="str">
        <f aca="false">IF(AND(K46&lt;&gt;"",P45&lt;&gt;""),K46/P45,IF(K46&lt;&gt;"",K46/$D$2,""))</f>
        <v/>
      </c>
      <c r="M46" s="12"/>
      <c r="N46" s="12"/>
      <c r="O46" s="12"/>
      <c r="P46" s="16" t="str">
        <f aca="false">IF(K46&lt;&gt;"",P45+K46,IF(B46&lt;&gt;"",P45,""))</f>
        <v/>
      </c>
      <c r="Q46" s="17" t="str">
        <f aca="false">IF(P46&lt;&gt;"",MIN(0,P46-MAX($P$4:P46)),"")</f>
        <v/>
      </c>
      <c r="S46" s="35" t="str">
        <f aca="false">IF(A38&lt;&gt;"",A38,"")</f>
        <v/>
      </c>
      <c r="T46" s="36" t="str">
        <f aca="false">IF(P38&lt;&gt;"",P38,"")</f>
        <v/>
      </c>
      <c r="U46" s="33" t="str">
        <f aca="false">IF(P38&lt;&gt;"",(P38-$D$2)/$D$2,"")</f>
        <v/>
      </c>
    </row>
    <row r="47" customFormat="false" ht="15" hidden="false" customHeight="true" outlineLevel="0" collapsed="false">
      <c r="A47" s="11" t="str">
        <f aca="false">IF(B47&lt;&gt;"",COUNTA($B$4:B47),"")</f>
        <v/>
      </c>
      <c r="B47" s="20"/>
      <c r="C47" s="20"/>
      <c r="D47" s="20"/>
      <c r="E47" s="20"/>
      <c r="F47" s="20"/>
      <c r="G47" s="20"/>
      <c r="H47" s="20"/>
      <c r="I47" s="21"/>
      <c r="J47" s="20"/>
      <c r="K47" s="14" t="str">
        <f aca="false">IF(AND(I47&lt;&gt;"",H47&lt;&gt;"",J47&lt;&gt;""),IF(J47="W",I47*H47,IF(J47="L",-I47,IF(J47="P",I47*H47*0.5,""))),"")</f>
        <v/>
      </c>
      <c r="L47" s="15" t="str">
        <f aca="false">IF(AND(K47&lt;&gt;"",P46&lt;&gt;""),K47/P46,IF(K47&lt;&gt;"",K47/$D$2,""))</f>
        <v/>
      </c>
      <c r="M47" s="20"/>
      <c r="N47" s="20"/>
      <c r="O47" s="20"/>
      <c r="P47" s="16" t="str">
        <f aca="false">IF(K47&lt;&gt;"",P46+K47,IF(B47&lt;&gt;"",P46,""))</f>
        <v/>
      </c>
      <c r="Q47" s="17" t="str">
        <f aca="false">IF(P47&lt;&gt;"",MIN(0,P47-MAX($P$4:P47)),"")</f>
        <v/>
      </c>
      <c r="S47" s="35" t="str">
        <f aca="false">IF(A39&lt;&gt;"",A39,"")</f>
        <v/>
      </c>
      <c r="T47" s="36" t="str">
        <f aca="false">IF(P39&lt;&gt;"",P39,"")</f>
        <v/>
      </c>
      <c r="U47" s="33" t="str">
        <f aca="false">IF(P39&lt;&gt;"",(P39-$D$2)/$D$2,"")</f>
        <v/>
      </c>
    </row>
    <row r="48" customFormat="false" ht="15" hidden="false" customHeight="true" outlineLevel="0" collapsed="false">
      <c r="A48" s="11" t="str">
        <f aca="false">IF(B48&lt;&gt;"",COUNTA($B$4:B48),"")</f>
        <v/>
      </c>
      <c r="B48" s="12"/>
      <c r="C48" s="12"/>
      <c r="D48" s="12"/>
      <c r="E48" s="12"/>
      <c r="F48" s="12"/>
      <c r="G48" s="12"/>
      <c r="H48" s="12"/>
      <c r="I48" s="13"/>
      <c r="J48" s="12"/>
      <c r="K48" s="14" t="str">
        <f aca="false">IF(AND(I48&lt;&gt;"",H48&lt;&gt;"",J48&lt;&gt;""),IF(J48="W",I48*H48,IF(J48="L",-I48,IF(J48="P",I48*H48*0.5,""))),"")</f>
        <v/>
      </c>
      <c r="L48" s="15" t="str">
        <f aca="false">IF(AND(K48&lt;&gt;"",P47&lt;&gt;""),K48/P47,IF(K48&lt;&gt;"",K48/$D$2,""))</f>
        <v/>
      </c>
      <c r="M48" s="12"/>
      <c r="N48" s="12"/>
      <c r="O48" s="12"/>
      <c r="P48" s="16" t="str">
        <f aca="false">IF(K48&lt;&gt;"",P47+K48,IF(B48&lt;&gt;"",P47,""))</f>
        <v/>
      </c>
      <c r="Q48" s="17" t="str">
        <f aca="false">IF(P48&lt;&gt;"",MIN(0,P48-MAX($P$4:P48)),"")</f>
        <v/>
      </c>
      <c r="S48" s="35" t="str">
        <f aca="false">IF(A40&lt;&gt;"",A40,"")</f>
        <v/>
      </c>
      <c r="T48" s="36" t="str">
        <f aca="false">IF(P40&lt;&gt;"",P40,"")</f>
        <v/>
      </c>
      <c r="U48" s="33" t="str">
        <f aca="false">IF(P40&lt;&gt;"",(P40-$D$2)/$D$2,"")</f>
        <v/>
      </c>
    </row>
    <row r="49" customFormat="false" ht="15" hidden="false" customHeight="true" outlineLevel="0" collapsed="false">
      <c r="A49" s="11" t="str">
        <f aca="false">IF(B49&lt;&gt;"",COUNTA($B$4:B49),"")</f>
        <v/>
      </c>
      <c r="B49" s="20"/>
      <c r="C49" s="20"/>
      <c r="D49" s="20"/>
      <c r="E49" s="20"/>
      <c r="F49" s="20"/>
      <c r="G49" s="20"/>
      <c r="H49" s="20"/>
      <c r="I49" s="21"/>
      <c r="J49" s="20"/>
      <c r="K49" s="14" t="str">
        <f aca="false">IF(AND(I49&lt;&gt;"",H49&lt;&gt;"",J49&lt;&gt;""),IF(J49="W",I49*H49,IF(J49="L",-I49,IF(J49="P",I49*H49*0.5,""))),"")</f>
        <v/>
      </c>
      <c r="L49" s="15" t="str">
        <f aca="false">IF(AND(K49&lt;&gt;"",P48&lt;&gt;""),K49/P48,IF(K49&lt;&gt;"",K49/$D$2,""))</f>
        <v/>
      </c>
      <c r="M49" s="20"/>
      <c r="N49" s="20"/>
      <c r="O49" s="20"/>
      <c r="P49" s="16" t="str">
        <f aca="false">IF(K49&lt;&gt;"",P48+K49,IF(B49&lt;&gt;"",P48,""))</f>
        <v/>
      </c>
      <c r="Q49" s="17" t="str">
        <f aca="false">IF(P49&lt;&gt;"",MIN(0,P49-MAX($P$4:P49)),"")</f>
        <v/>
      </c>
      <c r="S49" s="35" t="str">
        <f aca="false">IF(A41&lt;&gt;"",A41,"")</f>
        <v/>
      </c>
      <c r="T49" s="36" t="str">
        <f aca="false">IF(P41&lt;&gt;"",P41,"")</f>
        <v/>
      </c>
      <c r="U49" s="33" t="str">
        <f aca="false">IF(P41&lt;&gt;"",(P41-$D$2)/$D$2,"")</f>
        <v/>
      </c>
    </row>
    <row r="50" customFormat="false" ht="15" hidden="false" customHeight="true" outlineLevel="0" collapsed="false">
      <c r="A50" s="11" t="str">
        <f aca="false">IF(B50&lt;&gt;"",COUNTA($B$4:B50),"")</f>
        <v/>
      </c>
      <c r="B50" s="12"/>
      <c r="C50" s="12"/>
      <c r="D50" s="12"/>
      <c r="E50" s="12"/>
      <c r="F50" s="12"/>
      <c r="G50" s="12"/>
      <c r="H50" s="12"/>
      <c r="I50" s="13"/>
      <c r="J50" s="12"/>
      <c r="K50" s="14" t="str">
        <f aca="false">IF(AND(I50&lt;&gt;"",H50&lt;&gt;"",J50&lt;&gt;""),IF(J50="W",I50*H50,IF(J50="L",-I50,IF(J50="P",I50*H50*0.5,""))),"")</f>
        <v/>
      </c>
      <c r="L50" s="15" t="str">
        <f aca="false">IF(AND(K50&lt;&gt;"",P49&lt;&gt;""),K50/P49,IF(K50&lt;&gt;"",K50/$D$2,""))</f>
        <v/>
      </c>
      <c r="M50" s="12"/>
      <c r="N50" s="12"/>
      <c r="O50" s="12"/>
      <c r="P50" s="16" t="str">
        <f aca="false">IF(K50&lt;&gt;"",P49+K50,IF(B50&lt;&gt;"",P49,""))</f>
        <v/>
      </c>
      <c r="Q50" s="17" t="str">
        <f aca="false">IF(P50&lt;&gt;"",MIN(0,P50-MAX($P$4:P50)),"")</f>
        <v/>
      </c>
      <c r="S50" s="35" t="str">
        <f aca="false">IF(A42&lt;&gt;"",A42,"")</f>
        <v/>
      </c>
      <c r="T50" s="36" t="str">
        <f aca="false">IF(P42&lt;&gt;"",P42,"")</f>
        <v/>
      </c>
      <c r="U50" s="33" t="str">
        <f aca="false">IF(P42&lt;&gt;"",(P42-$D$2)/$D$2,"")</f>
        <v/>
      </c>
    </row>
    <row r="51" customFormat="false" ht="15" hidden="false" customHeight="true" outlineLevel="0" collapsed="false">
      <c r="A51" s="11" t="str">
        <f aca="false">IF(B51&lt;&gt;"",COUNTA($B$4:B51),"")</f>
        <v/>
      </c>
      <c r="B51" s="20"/>
      <c r="C51" s="20"/>
      <c r="D51" s="20"/>
      <c r="E51" s="20"/>
      <c r="F51" s="20"/>
      <c r="G51" s="20"/>
      <c r="H51" s="20"/>
      <c r="I51" s="21"/>
      <c r="J51" s="20"/>
      <c r="K51" s="14" t="str">
        <f aca="false">IF(AND(I51&lt;&gt;"",H51&lt;&gt;"",J51&lt;&gt;""),IF(J51="W",I51*H51,IF(J51="L",-I51,IF(J51="P",I51*H51*0.5,""))),"")</f>
        <v/>
      </c>
      <c r="L51" s="15" t="str">
        <f aca="false">IF(AND(K51&lt;&gt;"",P50&lt;&gt;""),K51/P50,IF(K51&lt;&gt;"",K51/$D$2,""))</f>
        <v/>
      </c>
      <c r="M51" s="20"/>
      <c r="N51" s="20"/>
      <c r="O51" s="20"/>
      <c r="P51" s="16" t="str">
        <f aca="false">IF(K51&lt;&gt;"",P50+K51,IF(B51&lt;&gt;"",P50,""))</f>
        <v/>
      </c>
      <c r="Q51" s="17" t="str">
        <f aca="false">IF(P51&lt;&gt;"",MIN(0,P51-MAX($P$4:P51)),"")</f>
        <v/>
      </c>
      <c r="S51" s="35" t="str">
        <f aca="false">IF(A43&lt;&gt;"",A43,"")</f>
        <v/>
      </c>
      <c r="T51" s="36" t="str">
        <f aca="false">IF(P43&lt;&gt;"",P43,"")</f>
        <v/>
      </c>
      <c r="U51" s="33" t="str">
        <f aca="false">IF(P43&lt;&gt;"",(P43-$D$2)/$D$2,"")</f>
        <v/>
      </c>
    </row>
    <row r="52" customFormat="false" ht="15" hidden="false" customHeight="true" outlineLevel="0" collapsed="false">
      <c r="A52" s="11" t="str">
        <f aca="false">IF(B52&lt;&gt;"",COUNTA($B$4:B52),"")</f>
        <v/>
      </c>
      <c r="B52" s="12"/>
      <c r="C52" s="12"/>
      <c r="D52" s="12"/>
      <c r="E52" s="12"/>
      <c r="F52" s="12"/>
      <c r="G52" s="12"/>
      <c r="H52" s="12"/>
      <c r="I52" s="13"/>
      <c r="J52" s="12"/>
      <c r="K52" s="14" t="str">
        <f aca="false">IF(AND(I52&lt;&gt;"",H52&lt;&gt;"",J52&lt;&gt;""),IF(J52="W",I52*H52,IF(J52="L",-I52,IF(J52="P",I52*H52*0.5,""))),"")</f>
        <v/>
      </c>
      <c r="L52" s="15" t="str">
        <f aca="false">IF(AND(K52&lt;&gt;"",P51&lt;&gt;""),K52/P51,IF(K52&lt;&gt;"",K52/$D$2,""))</f>
        <v/>
      </c>
      <c r="M52" s="12"/>
      <c r="N52" s="12"/>
      <c r="O52" s="12"/>
      <c r="P52" s="16" t="str">
        <f aca="false">IF(K52&lt;&gt;"",P51+K52,IF(B52&lt;&gt;"",P51,""))</f>
        <v/>
      </c>
      <c r="Q52" s="17" t="str">
        <f aca="false">IF(P52&lt;&gt;"",MIN(0,P52-MAX($P$4:P52)),"")</f>
        <v/>
      </c>
      <c r="S52" s="35" t="str">
        <f aca="false">IF(A44&lt;&gt;"",A44,"")</f>
        <v/>
      </c>
      <c r="T52" s="36" t="str">
        <f aca="false">IF(P44&lt;&gt;"",P44,"")</f>
        <v/>
      </c>
      <c r="U52" s="33" t="str">
        <f aca="false">IF(P44&lt;&gt;"",(P44-$D$2)/$D$2,"")</f>
        <v/>
      </c>
    </row>
    <row r="53" customFormat="false" ht="15" hidden="false" customHeight="true" outlineLevel="0" collapsed="false">
      <c r="A53" s="11" t="str">
        <f aca="false">IF(B53&lt;&gt;"",COUNTA($B$4:B53),"")</f>
        <v/>
      </c>
      <c r="B53" s="20"/>
      <c r="C53" s="20"/>
      <c r="D53" s="20"/>
      <c r="E53" s="20"/>
      <c r="F53" s="20"/>
      <c r="G53" s="20"/>
      <c r="H53" s="20"/>
      <c r="I53" s="21"/>
      <c r="J53" s="20"/>
      <c r="K53" s="14" t="str">
        <f aca="false">IF(AND(I53&lt;&gt;"",H53&lt;&gt;"",J53&lt;&gt;""),IF(J53="W",I53*H53,IF(J53="L",-I53,IF(J53="P",I53*H53*0.5,""))),"")</f>
        <v/>
      </c>
      <c r="L53" s="15" t="str">
        <f aca="false">IF(AND(K53&lt;&gt;"",P52&lt;&gt;""),K53/P52,IF(K53&lt;&gt;"",K53/$D$2,""))</f>
        <v/>
      </c>
      <c r="M53" s="20"/>
      <c r="N53" s="20"/>
      <c r="O53" s="20"/>
      <c r="P53" s="16" t="str">
        <f aca="false">IF(K53&lt;&gt;"",P52+K53,IF(B53&lt;&gt;"",P52,""))</f>
        <v/>
      </c>
      <c r="Q53" s="17" t="str">
        <f aca="false">IF(P53&lt;&gt;"",MIN(0,P53-MAX($P$4:P53)),"")</f>
        <v/>
      </c>
      <c r="S53" s="35" t="str">
        <f aca="false">IF(A45&lt;&gt;"",A45,"")</f>
        <v/>
      </c>
      <c r="T53" s="36" t="str">
        <f aca="false">IF(P45&lt;&gt;"",P45,"")</f>
        <v/>
      </c>
      <c r="U53" s="33" t="str">
        <f aca="false">IF(P45&lt;&gt;"",(P45-$D$2)/$D$2,"")</f>
        <v/>
      </c>
    </row>
    <row r="54" customFormat="false" ht="15" hidden="false" customHeight="true" outlineLevel="0" collapsed="false">
      <c r="A54" s="11" t="str">
        <f aca="false">IF(B54&lt;&gt;"",COUNTA($B$4:B54),"")</f>
        <v/>
      </c>
      <c r="B54" s="12"/>
      <c r="C54" s="12"/>
      <c r="D54" s="12"/>
      <c r="E54" s="12"/>
      <c r="F54" s="12"/>
      <c r="G54" s="12"/>
      <c r="H54" s="12"/>
      <c r="I54" s="13"/>
      <c r="J54" s="12"/>
      <c r="K54" s="14" t="str">
        <f aca="false">IF(AND(I54&lt;&gt;"",H54&lt;&gt;"",J54&lt;&gt;""),IF(J54="W",I54*H54,IF(J54="L",-I54,IF(J54="P",I54*H54*0.5,""))),"")</f>
        <v/>
      </c>
      <c r="L54" s="15" t="str">
        <f aca="false">IF(AND(K54&lt;&gt;"",P53&lt;&gt;""),K54/P53,IF(K54&lt;&gt;"",K54/$D$2,""))</f>
        <v/>
      </c>
      <c r="M54" s="12"/>
      <c r="N54" s="12"/>
      <c r="O54" s="12"/>
      <c r="P54" s="16" t="str">
        <f aca="false">IF(K54&lt;&gt;"",P53+K54,IF(B54&lt;&gt;"",P53,""))</f>
        <v/>
      </c>
      <c r="Q54" s="17" t="str">
        <f aca="false">IF(P54&lt;&gt;"",MIN(0,P54-MAX($P$4:P54)),"")</f>
        <v/>
      </c>
      <c r="S54" s="35" t="str">
        <f aca="false">IF(A46&lt;&gt;"",A46,"")</f>
        <v/>
      </c>
      <c r="T54" s="36" t="str">
        <f aca="false">IF(P46&lt;&gt;"",P46,"")</f>
        <v/>
      </c>
      <c r="U54" s="33" t="str">
        <f aca="false">IF(P46&lt;&gt;"",(P46-$D$2)/$D$2,"")</f>
        <v/>
      </c>
    </row>
    <row r="55" customFormat="false" ht="15" hidden="false" customHeight="true" outlineLevel="0" collapsed="false">
      <c r="A55" s="11" t="str">
        <f aca="false">IF(B55&lt;&gt;"",COUNTA($B$4:B55),"")</f>
        <v/>
      </c>
      <c r="B55" s="20"/>
      <c r="C55" s="20"/>
      <c r="D55" s="20"/>
      <c r="E55" s="20"/>
      <c r="F55" s="20"/>
      <c r="G55" s="20"/>
      <c r="H55" s="20"/>
      <c r="I55" s="21"/>
      <c r="J55" s="20"/>
      <c r="K55" s="14" t="str">
        <f aca="false">IF(AND(I55&lt;&gt;"",H55&lt;&gt;"",J55&lt;&gt;""),IF(J55="W",I55*H55,IF(J55="L",-I55,IF(J55="P",I55*H55*0.5,""))),"")</f>
        <v/>
      </c>
      <c r="L55" s="15" t="str">
        <f aca="false">IF(AND(K55&lt;&gt;"",P54&lt;&gt;""),K55/P54,IF(K55&lt;&gt;"",K55/$D$2,""))</f>
        <v/>
      </c>
      <c r="M55" s="20"/>
      <c r="N55" s="20"/>
      <c r="O55" s="20"/>
      <c r="P55" s="16" t="str">
        <f aca="false">IF(K55&lt;&gt;"",P54+K55,IF(B55&lt;&gt;"",P54,""))</f>
        <v/>
      </c>
      <c r="Q55" s="17" t="str">
        <f aca="false">IF(P55&lt;&gt;"",MIN(0,P55-MAX($P$4:P55)),"")</f>
        <v/>
      </c>
      <c r="S55" s="35" t="str">
        <f aca="false">IF(A47&lt;&gt;"",A47,"")</f>
        <v/>
      </c>
      <c r="T55" s="36" t="str">
        <f aca="false">IF(P47&lt;&gt;"",P47,"")</f>
        <v/>
      </c>
      <c r="U55" s="33" t="str">
        <f aca="false">IF(P47&lt;&gt;"",(P47-$D$2)/$D$2,"")</f>
        <v/>
      </c>
    </row>
    <row r="56" customFormat="false" ht="15" hidden="false" customHeight="true" outlineLevel="0" collapsed="false">
      <c r="A56" s="11" t="str">
        <f aca="false">IF(B56&lt;&gt;"",COUNTA($B$4:B56),"")</f>
        <v/>
      </c>
      <c r="B56" s="12"/>
      <c r="C56" s="12"/>
      <c r="D56" s="12"/>
      <c r="E56" s="12"/>
      <c r="F56" s="12"/>
      <c r="G56" s="12"/>
      <c r="H56" s="12"/>
      <c r="I56" s="13"/>
      <c r="J56" s="12"/>
      <c r="K56" s="14" t="str">
        <f aca="false">IF(AND(I56&lt;&gt;"",H56&lt;&gt;"",J56&lt;&gt;""),IF(J56="W",I56*H56,IF(J56="L",-I56,IF(J56="P",I56*H56*0.5,""))),"")</f>
        <v/>
      </c>
      <c r="L56" s="15" t="str">
        <f aca="false">IF(AND(K56&lt;&gt;"",P55&lt;&gt;""),K56/P55,IF(K56&lt;&gt;"",K56/$D$2,""))</f>
        <v/>
      </c>
      <c r="M56" s="12"/>
      <c r="N56" s="12"/>
      <c r="O56" s="12"/>
      <c r="P56" s="16" t="str">
        <f aca="false">IF(K56&lt;&gt;"",P55+K56,IF(B56&lt;&gt;"",P55,""))</f>
        <v/>
      </c>
      <c r="Q56" s="17" t="str">
        <f aca="false">IF(P56&lt;&gt;"",MIN(0,P56-MAX($P$4:P56)),"")</f>
        <v/>
      </c>
      <c r="S56" s="35" t="str">
        <f aca="false">IF(A48&lt;&gt;"",A48,"")</f>
        <v/>
      </c>
      <c r="T56" s="36" t="str">
        <f aca="false">IF(P48&lt;&gt;"",P48,"")</f>
        <v/>
      </c>
      <c r="U56" s="33" t="str">
        <f aca="false">IF(P48&lt;&gt;"",(P48-$D$2)/$D$2,"")</f>
        <v/>
      </c>
    </row>
    <row r="57" customFormat="false" ht="15" hidden="false" customHeight="true" outlineLevel="0" collapsed="false">
      <c r="A57" s="11" t="str">
        <f aca="false">IF(B57&lt;&gt;"",COUNTA($B$4:B57),"")</f>
        <v/>
      </c>
      <c r="B57" s="20"/>
      <c r="C57" s="20"/>
      <c r="D57" s="20"/>
      <c r="E57" s="20"/>
      <c r="F57" s="20"/>
      <c r="G57" s="20"/>
      <c r="H57" s="20"/>
      <c r="I57" s="21"/>
      <c r="J57" s="20"/>
      <c r="K57" s="14" t="str">
        <f aca="false">IF(AND(I57&lt;&gt;"",H57&lt;&gt;"",J57&lt;&gt;""),IF(J57="W",I57*H57,IF(J57="L",-I57,IF(J57="P",I57*H57*0.5,""))),"")</f>
        <v/>
      </c>
      <c r="L57" s="15" t="str">
        <f aca="false">IF(AND(K57&lt;&gt;"",P56&lt;&gt;""),K57/P56,IF(K57&lt;&gt;"",K57/$D$2,""))</f>
        <v/>
      </c>
      <c r="M57" s="20"/>
      <c r="N57" s="20"/>
      <c r="O57" s="20"/>
      <c r="P57" s="16" t="str">
        <f aca="false">IF(K57&lt;&gt;"",P56+K57,IF(B57&lt;&gt;"",P56,""))</f>
        <v/>
      </c>
      <c r="Q57" s="17" t="str">
        <f aca="false">IF(P57&lt;&gt;"",MIN(0,P57-MAX($P$4:P57)),"")</f>
        <v/>
      </c>
      <c r="S57" s="35" t="str">
        <f aca="false">IF(A49&lt;&gt;"",A49,"")</f>
        <v/>
      </c>
      <c r="T57" s="36" t="str">
        <f aca="false">IF(P49&lt;&gt;"",P49,"")</f>
        <v/>
      </c>
      <c r="U57" s="33" t="str">
        <f aca="false">IF(P49&lt;&gt;"",(P49-$D$2)/$D$2,"")</f>
        <v/>
      </c>
    </row>
    <row r="58" customFormat="false" ht="15" hidden="false" customHeight="true" outlineLevel="0" collapsed="false">
      <c r="A58" s="11" t="str">
        <f aca="false">IF(B58&lt;&gt;"",COUNTA($B$4:B58),"")</f>
        <v/>
      </c>
      <c r="B58" s="12"/>
      <c r="C58" s="12"/>
      <c r="D58" s="12"/>
      <c r="E58" s="12"/>
      <c r="F58" s="12"/>
      <c r="G58" s="12"/>
      <c r="H58" s="12"/>
      <c r="I58" s="13"/>
      <c r="J58" s="12"/>
      <c r="K58" s="14" t="str">
        <f aca="false">IF(AND(I58&lt;&gt;"",H58&lt;&gt;"",J58&lt;&gt;""),IF(J58="W",I58*H58,IF(J58="L",-I58,IF(J58="P",I58*H58*0.5,""))),"")</f>
        <v/>
      </c>
      <c r="L58" s="15" t="str">
        <f aca="false">IF(AND(K58&lt;&gt;"",P57&lt;&gt;""),K58/P57,IF(K58&lt;&gt;"",K58/$D$2,""))</f>
        <v/>
      </c>
      <c r="M58" s="12"/>
      <c r="N58" s="12"/>
      <c r="O58" s="12"/>
      <c r="P58" s="16" t="str">
        <f aca="false">IF(K58&lt;&gt;"",P57+K58,IF(B58&lt;&gt;"",P57,""))</f>
        <v/>
      </c>
      <c r="Q58" s="17" t="str">
        <f aca="false">IF(P58&lt;&gt;"",MIN(0,P58-MAX($P$4:P58)),"")</f>
        <v/>
      </c>
      <c r="S58" s="35" t="str">
        <f aca="false">IF(A50&lt;&gt;"",A50,"")</f>
        <v/>
      </c>
      <c r="T58" s="36" t="str">
        <f aca="false">IF(P50&lt;&gt;"",P50,"")</f>
        <v/>
      </c>
      <c r="U58" s="33" t="str">
        <f aca="false">IF(P50&lt;&gt;"",(P50-$D$2)/$D$2,"")</f>
        <v/>
      </c>
    </row>
    <row r="59" customFormat="false" ht="15" hidden="false" customHeight="true" outlineLevel="0" collapsed="false">
      <c r="A59" s="11" t="str">
        <f aca="false">IF(B59&lt;&gt;"",COUNTA($B$4:B59),"")</f>
        <v/>
      </c>
      <c r="B59" s="20"/>
      <c r="C59" s="20"/>
      <c r="D59" s="20"/>
      <c r="E59" s="20"/>
      <c r="F59" s="20"/>
      <c r="G59" s="20"/>
      <c r="H59" s="20"/>
      <c r="I59" s="21"/>
      <c r="J59" s="20"/>
      <c r="K59" s="14" t="str">
        <f aca="false">IF(AND(I59&lt;&gt;"",H59&lt;&gt;"",J59&lt;&gt;""),IF(J59="W",I59*H59,IF(J59="L",-I59,IF(J59="P",I59*H59*0.5,""))),"")</f>
        <v/>
      </c>
      <c r="L59" s="15" t="str">
        <f aca="false">IF(AND(K59&lt;&gt;"",P58&lt;&gt;""),K59/P58,IF(K59&lt;&gt;"",K59/$D$2,""))</f>
        <v/>
      </c>
      <c r="M59" s="20"/>
      <c r="N59" s="20"/>
      <c r="O59" s="20"/>
      <c r="P59" s="16" t="str">
        <f aca="false">IF(K59&lt;&gt;"",P58+K59,IF(B59&lt;&gt;"",P58,""))</f>
        <v/>
      </c>
      <c r="Q59" s="17" t="str">
        <f aca="false">IF(P59&lt;&gt;"",MIN(0,P59-MAX($P$4:P59)),"")</f>
        <v/>
      </c>
      <c r="S59" s="35" t="str">
        <f aca="false">IF(A51&lt;&gt;"",A51,"")</f>
        <v/>
      </c>
      <c r="T59" s="36" t="str">
        <f aca="false">IF(P51&lt;&gt;"",P51,"")</f>
        <v/>
      </c>
      <c r="U59" s="33" t="str">
        <f aca="false">IF(P51&lt;&gt;"",(P51-$D$2)/$D$2,"")</f>
        <v/>
      </c>
    </row>
    <row r="60" customFormat="false" ht="15" hidden="false" customHeight="true" outlineLevel="0" collapsed="false">
      <c r="A60" s="11" t="str">
        <f aca="false">IF(B60&lt;&gt;"",COUNTA($B$4:B60),"")</f>
        <v/>
      </c>
      <c r="B60" s="12"/>
      <c r="C60" s="12"/>
      <c r="D60" s="12"/>
      <c r="E60" s="12"/>
      <c r="F60" s="12"/>
      <c r="G60" s="12"/>
      <c r="H60" s="12"/>
      <c r="I60" s="13"/>
      <c r="J60" s="12"/>
      <c r="K60" s="14" t="str">
        <f aca="false">IF(AND(I60&lt;&gt;"",H60&lt;&gt;"",J60&lt;&gt;""),IF(J60="W",I60*H60,IF(J60="L",-I60,IF(J60="P",I60*H60*0.5,""))),"")</f>
        <v/>
      </c>
      <c r="L60" s="15" t="str">
        <f aca="false">IF(AND(K60&lt;&gt;"",P59&lt;&gt;""),K60/P59,IF(K60&lt;&gt;"",K60/$D$2,""))</f>
        <v/>
      </c>
      <c r="M60" s="12"/>
      <c r="N60" s="12"/>
      <c r="O60" s="12"/>
      <c r="P60" s="16" t="str">
        <f aca="false">IF(K60&lt;&gt;"",P59+K60,IF(B60&lt;&gt;"",P59,""))</f>
        <v/>
      </c>
      <c r="Q60" s="17" t="str">
        <f aca="false">IF(P60&lt;&gt;"",MIN(0,P60-MAX($P$4:P60)),"")</f>
        <v/>
      </c>
      <c r="S60" s="35" t="str">
        <f aca="false">IF(A52&lt;&gt;"",A52,"")</f>
        <v/>
      </c>
      <c r="T60" s="36" t="str">
        <f aca="false">IF(P52&lt;&gt;"",P52,"")</f>
        <v/>
      </c>
      <c r="U60" s="33" t="str">
        <f aca="false">IF(P52&lt;&gt;"",(P52-$D$2)/$D$2,"")</f>
        <v/>
      </c>
    </row>
    <row r="61" customFormat="false" ht="15" hidden="false" customHeight="true" outlineLevel="0" collapsed="false">
      <c r="A61" s="11" t="str">
        <f aca="false">IF(B61&lt;&gt;"",COUNTA($B$4:B61),"")</f>
        <v/>
      </c>
      <c r="B61" s="20"/>
      <c r="C61" s="20"/>
      <c r="D61" s="20"/>
      <c r="E61" s="20"/>
      <c r="F61" s="20"/>
      <c r="G61" s="20"/>
      <c r="H61" s="20"/>
      <c r="I61" s="21"/>
      <c r="J61" s="20"/>
      <c r="K61" s="14" t="str">
        <f aca="false">IF(AND(I61&lt;&gt;"",H61&lt;&gt;"",J61&lt;&gt;""),IF(J61="W",I61*H61,IF(J61="L",-I61,IF(J61="P",I61*H61*0.5,""))),"")</f>
        <v/>
      </c>
      <c r="L61" s="15" t="str">
        <f aca="false">IF(AND(K61&lt;&gt;"",P60&lt;&gt;""),K61/P60,IF(K61&lt;&gt;"",K61/$D$2,""))</f>
        <v/>
      </c>
      <c r="M61" s="20"/>
      <c r="N61" s="20"/>
      <c r="O61" s="20"/>
      <c r="P61" s="16" t="str">
        <f aca="false">IF(K61&lt;&gt;"",P60+K61,IF(B61&lt;&gt;"",P60,""))</f>
        <v/>
      </c>
      <c r="Q61" s="17" t="str">
        <f aca="false">IF(P61&lt;&gt;"",MIN(0,P61-MAX($P$4:P61)),"")</f>
        <v/>
      </c>
      <c r="S61" s="35" t="str">
        <f aca="false">IF(A53&lt;&gt;"",A53,"")</f>
        <v/>
      </c>
      <c r="T61" s="36" t="str">
        <f aca="false">IF(P53&lt;&gt;"",P53,"")</f>
        <v/>
      </c>
      <c r="U61" s="33" t="str">
        <f aca="false">IF(P53&lt;&gt;"",(P53-$D$2)/$D$2,"")</f>
        <v/>
      </c>
    </row>
    <row r="62" customFormat="false" ht="15" hidden="false" customHeight="true" outlineLevel="0" collapsed="false">
      <c r="A62" s="11" t="str">
        <f aca="false">IF(B62&lt;&gt;"",COUNTA($B$4:B62),"")</f>
        <v/>
      </c>
      <c r="B62" s="12"/>
      <c r="C62" s="12"/>
      <c r="D62" s="12"/>
      <c r="E62" s="12"/>
      <c r="F62" s="12"/>
      <c r="G62" s="12"/>
      <c r="H62" s="12"/>
      <c r="I62" s="13"/>
      <c r="J62" s="12"/>
      <c r="K62" s="14" t="str">
        <f aca="false">IF(AND(I62&lt;&gt;"",H62&lt;&gt;"",J62&lt;&gt;""),IF(J62="W",I62*H62,IF(J62="L",-I62,IF(J62="P",I62*H62*0.5,""))),"")</f>
        <v/>
      </c>
      <c r="L62" s="15" t="str">
        <f aca="false">IF(AND(K62&lt;&gt;"",P61&lt;&gt;""),K62/P61,IF(K62&lt;&gt;"",K62/$D$2,""))</f>
        <v/>
      </c>
      <c r="M62" s="12"/>
      <c r="N62" s="12"/>
      <c r="O62" s="12"/>
      <c r="P62" s="16" t="str">
        <f aca="false">IF(K62&lt;&gt;"",P61+K62,IF(B62&lt;&gt;"",P61,""))</f>
        <v/>
      </c>
      <c r="Q62" s="17" t="str">
        <f aca="false">IF(P62&lt;&gt;"",MIN(0,P62-MAX($P$4:P62)),"")</f>
        <v/>
      </c>
    </row>
    <row r="63" customFormat="false" ht="15" hidden="false" customHeight="true" outlineLevel="0" collapsed="false">
      <c r="A63" s="11" t="str">
        <f aca="false">IF(B63&lt;&gt;"",COUNTA($B$4:B63),"")</f>
        <v/>
      </c>
      <c r="B63" s="20"/>
      <c r="C63" s="20"/>
      <c r="D63" s="20"/>
      <c r="E63" s="20"/>
      <c r="F63" s="20"/>
      <c r="G63" s="20"/>
      <c r="H63" s="20"/>
      <c r="I63" s="21"/>
      <c r="J63" s="20"/>
      <c r="K63" s="14" t="str">
        <f aca="false">IF(AND(I63&lt;&gt;"",H63&lt;&gt;"",J63&lt;&gt;""),IF(J63="W",I63*H63,IF(J63="L",-I63,IF(J63="P",I63*H63*0.5,""))),"")</f>
        <v/>
      </c>
      <c r="L63" s="15" t="str">
        <f aca="false">IF(AND(K63&lt;&gt;"",P62&lt;&gt;""),K63/P62,IF(K63&lt;&gt;"",K63/$D$2,""))</f>
        <v/>
      </c>
      <c r="M63" s="20"/>
      <c r="N63" s="20"/>
      <c r="O63" s="20"/>
      <c r="P63" s="16" t="str">
        <f aca="false">IF(K63&lt;&gt;"",P62+K63,IF(B63&lt;&gt;"",P62,""))</f>
        <v/>
      </c>
      <c r="Q63" s="17" t="str">
        <f aca="false">IF(P63&lt;&gt;"",MIN(0,P63-MAX($P$4:P63)),"")</f>
        <v/>
      </c>
    </row>
    <row r="64" customFormat="false" ht="15" hidden="false" customHeight="true" outlineLevel="0" collapsed="false">
      <c r="A64" s="11" t="str">
        <f aca="false">IF(B64&lt;&gt;"",COUNTA($B$4:B64),"")</f>
        <v/>
      </c>
      <c r="B64" s="12"/>
      <c r="C64" s="12"/>
      <c r="D64" s="12"/>
      <c r="E64" s="12"/>
      <c r="F64" s="12"/>
      <c r="G64" s="12"/>
      <c r="H64" s="12"/>
      <c r="I64" s="13"/>
      <c r="J64" s="12"/>
      <c r="K64" s="14" t="str">
        <f aca="false">IF(AND(I64&lt;&gt;"",H64&lt;&gt;"",J64&lt;&gt;""),IF(J64="W",I64*H64,IF(J64="L",-I64,IF(J64="P",I64*H64*0.5,""))),"")</f>
        <v/>
      </c>
      <c r="L64" s="15" t="str">
        <f aca="false">IF(AND(K64&lt;&gt;"",P63&lt;&gt;""),K64/P63,IF(K64&lt;&gt;"",K64/$D$2,""))</f>
        <v/>
      </c>
      <c r="M64" s="12"/>
      <c r="N64" s="12"/>
      <c r="O64" s="12"/>
      <c r="P64" s="16" t="str">
        <f aca="false">IF(K64&lt;&gt;"",P63+K64,IF(B64&lt;&gt;"",P63,""))</f>
        <v/>
      </c>
      <c r="Q64" s="17" t="str">
        <f aca="false">IF(P64&lt;&gt;"",MIN(0,P64-MAX($P$4:P64)),"")</f>
        <v/>
      </c>
    </row>
    <row r="65" customFormat="false" ht="15" hidden="false" customHeight="true" outlineLevel="0" collapsed="false">
      <c r="A65" s="11" t="str">
        <f aca="false">IF(B65&lt;&gt;"",COUNTA($B$4:B65),"")</f>
        <v/>
      </c>
      <c r="B65" s="20"/>
      <c r="C65" s="20"/>
      <c r="D65" s="20"/>
      <c r="E65" s="20"/>
      <c r="F65" s="20"/>
      <c r="G65" s="20"/>
      <c r="H65" s="20"/>
      <c r="I65" s="21"/>
      <c r="J65" s="20"/>
      <c r="K65" s="14" t="str">
        <f aca="false">IF(AND(I65&lt;&gt;"",H65&lt;&gt;"",J65&lt;&gt;""),IF(J65="W",I65*H65,IF(J65="L",-I65,IF(J65="P",I65*H65*0.5,""))),"")</f>
        <v/>
      </c>
      <c r="L65" s="15" t="str">
        <f aca="false">IF(AND(K65&lt;&gt;"",P64&lt;&gt;""),K65/P64,IF(K65&lt;&gt;"",K65/$D$2,""))</f>
        <v/>
      </c>
      <c r="M65" s="20"/>
      <c r="N65" s="20"/>
      <c r="O65" s="20"/>
      <c r="P65" s="16" t="str">
        <f aca="false">IF(K65&lt;&gt;"",P64+K65,IF(B65&lt;&gt;"",P64,""))</f>
        <v/>
      </c>
      <c r="Q65" s="17" t="str">
        <f aca="false">IF(P65&lt;&gt;"",MIN(0,P65-MAX($P$4:P65)),"")</f>
        <v/>
      </c>
    </row>
    <row r="66" customFormat="false" ht="15" hidden="false" customHeight="true" outlineLevel="0" collapsed="false">
      <c r="A66" s="11" t="str">
        <f aca="false">IF(B66&lt;&gt;"",COUNTA($B$4:B66),"")</f>
        <v/>
      </c>
      <c r="B66" s="12"/>
      <c r="C66" s="12"/>
      <c r="D66" s="12"/>
      <c r="E66" s="12"/>
      <c r="F66" s="12"/>
      <c r="G66" s="12"/>
      <c r="H66" s="12"/>
      <c r="I66" s="13"/>
      <c r="J66" s="12"/>
      <c r="K66" s="14" t="str">
        <f aca="false">IF(AND(I66&lt;&gt;"",H66&lt;&gt;"",J66&lt;&gt;""),IF(J66="W",I66*H66,IF(J66="L",-I66,IF(J66="P",I66*H66*0.5,""))),"")</f>
        <v/>
      </c>
      <c r="L66" s="15" t="str">
        <f aca="false">IF(AND(K66&lt;&gt;"",P65&lt;&gt;""),K66/P65,IF(K66&lt;&gt;"",K66/$D$2,""))</f>
        <v/>
      </c>
      <c r="M66" s="12"/>
      <c r="N66" s="12"/>
      <c r="O66" s="12"/>
      <c r="P66" s="16" t="str">
        <f aca="false">IF(K66&lt;&gt;"",P65+K66,IF(B66&lt;&gt;"",P65,""))</f>
        <v/>
      </c>
      <c r="Q66" s="17" t="str">
        <f aca="false">IF(P66&lt;&gt;"",MIN(0,P66-MAX($P$4:P66)),"")</f>
        <v/>
      </c>
    </row>
    <row r="67" customFormat="false" ht="15" hidden="false" customHeight="true" outlineLevel="0" collapsed="false">
      <c r="A67" s="11" t="str">
        <f aca="false">IF(B67&lt;&gt;"",COUNTA($B$4:B67),"")</f>
        <v/>
      </c>
      <c r="B67" s="20"/>
      <c r="C67" s="20"/>
      <c r="D67" s="20"/>
      <c r="E67" s="20"/>
      <c r="F67" s="20"/>
      <c r="G67" s="20"/>
      <c r="H67" s="20"/>
      <c r="I67" s="21"/>
      <c r="J67" s="20"/>
      <c r="K67" s="14" t="str">
        <f aca="false">IF(AND(I67&lt;&gt;"",H67&lt;&gt;"",J67&lt;&gt;""),IF(J67="W",I67*H67,IF(J67="L",-I67,IF(J67="P",I67*H67*0.5,""))),"")</f>
        <v/>
      </c>
      <c r="L67" s="15" t="str">
        <f aca="false">IF(AND(K67&lt;&gt;"",P66&lt;&gt;""),K67/P66,IF(K67&lt;&gt;"",K67/$D$2,""))</f>
        <v/>
      </c>
      <c r="M67" s="20"/>
      <c r="N67" s="20"/>
      <c r="O67" s="20"/>
      <c r="P67" s="16" t="str">
        <f aca="false">IF(K67&lt;&gt;"",P66+K67,IF(B67&lt;&gt;"",P66,""))</f>
        <v/>
      </c>
      <c r="Q67" s="17" t="str">
        <f aca="false">IF(P67&lt;&gt;"",MIN(0,P67-MAX($P$4:P67)),"")</f>
        <v/>
      </c>
    </row>
    <row r="68" customFormat="false" ht="15" hidden="false" customHeight="true" outlineLevel="0" collapsed="false">
      <c r="A68" s="11" t="str">
        <f aca="false">IF(B68&lt;&gt;"",COUNTA($B$4:B68),"")</f>
        <v/>
      </c>
      <c r="B68" s="12"/>
      <c r="C68" s="12"/>
      <c r="D68" s="12"/>
      <c r="E68" s="12"/>
      <c r="F68" s="12"/>
      <c r="G68" s="12"/>
      <c r="H68" s="12"/>
      <c r="I68" s="13"/>
      <c r="J68" s="12"/>
      <c r="K68" s="14" t="str">
        <f aca="false">IF(AND(I68&lt;&gt;"",H68&lt;&gt;"",J68&lt;&gt;""),IF(J68="W",I68*H68,IF(J68="L",-I68,IF(J68="P",I68*H68*0.5,""))),"")</f>
        <v/>
      </c>
      <c r="L68" s="15" t="str">
        <f aca="false">IF(AND(K68&lt;&gt;"",P67&lt;&gt;""),K68/P67,IF(K68&lt;&gt;"",K68/$D$2,""))</f>
        <v/>
      </c>
      <c r="M68" s="12"/>
      <c r="N68" s="12"/>
      <c r="O68" s="12"/>
      <c r="P68" s="16" t="str">
        <f aca="false">IF(K68&lt;&gt;"",P67+K68,IF(B68&lt;&gt;"",P67,""))</f>
        <v/>
      </c>
      <c r="Q68" s="17" t="str">
        <f aca="false">IF(P68&lt;&gt;"",MIN(0,P68-MAX($P$4:P68)),"")</f>
        <v/>
      </c>
    </row>
    <row r="69" customFormat="false" ht="15" hidden="false" customHeight="true" outlineLevel="0" collapsed="false">
      <c r="A69" s="11" t="str">
        <f aca="false">IF(B69&lt;&gt;"",COUNTA($B$4:B69),"")</f>
        <v/>
      </c>
      <c r="B69" s="20"/>
      <c r="C69" s="20"/>
      <c r="D69" s="20"/>
      <c r="E69" s="20"/>
      <c r="F69" s="20"/>
      <c r="G69" s="20"/>
      <c r="H69" s="20"/>
      <c r="I69" s="21"/>
      <c r="J69" s="20"/>
      <c r="K69" s="14" t="str">
        <f aca="false">IF(AND(I69&lt;&gt;"",H69&lt;&gt;"",J69&lt;&gt;""),IF(J69="W",I69*H69,IF(J69="L",-I69,IF(J69="P",I69*H69*0.5,""))),"")</f>
        <v/>
      </c>
      <c r="L69" s="15" t="str">
        <f aca="false">IF(AND(K69&lt;&gt;"",P68&lt;&gt;""),K69/P68,IF(K69&lt;&gt;"",K69/$D$2,""))</f>
        <v/>
      </c>
      <c r="M69" s="20"/>
      <c r="N69" s="20"/>
      <c r="O69" s="20"/>
      <c r="P69" s="16" t="str">
        <f aca="false">IF(K69&lt;&gt;"",P68+K69,IF(B69&lt;&gt;"",P68,""))</f>
        <v/>
      </c>
      <c r="Q69" s="17" t="str">
        <f aca="false">IF(P69&lt;&gt;"",MIN(0,P69-MAX($P$4:P69)),"")</f>
        <v/>
      </c>
    </row>
    <row r="70" customFormat="false" ht="15" hidden="false" customHeight="true" outlineLevel="0" collapsed="false">
      <c r="A70" s="11" t="str">
        <f aca="false">IF(B70&lt;&gt;"",COUNTA($B$4:B70),"")</f>
        <v/>
      </c>
      <c r="B70" s="12"/>
      <c r="C70" s="12"/>
      <c r="D70" s="12"/>
      <c r="E70" s="12"/>
      <c r="F70" s="12"/>
      <c r="G70" s="12"/>
      <c r="H70" s="12"/>
      <c r="I70" s="13"/>
      <c r="J70" s="12"/>
      <c r="K70" s="14" t="str">
        <f aca="false">IF(AND(I70&lt;&gt;"",H70&lt;&gt;"",J70&lt;&gt;""),IF(J70="W",I70*H70,IF(J70="L",-I70,IF(J70="P",I70*H70*0.5,""))),"")</f>
        <v/>
      </c>
      <c r="L70" s="15" t="str">
        <f aca="false">IF(AND(K70&lt;&gt;"",P69&lt;&gt;""),K70/P69,IF(K70&lt;&gt;"",K70/$D$2,""))</f>
        <v/>
      </c>
      <c r="M70" s="12"/>
      <c r="N70" s="12"/>
      <c r="O70" s="12"/>
      <c r="P70" s="16" t="str">
        <f aca="false">IF(K70&lt;&gt;"",P69+K70,IF(B70&lt;&gt;"",P69,""))</f>
        <v/>
      </c>
      <c r="Q70" s="17" t="str">
        <f aca="false">IF(P70&lt;&gt;"",MIN(0,P70-MAX($P$4:P70)),"")</f>
        <v/>
      </c>
    </row>
    <row r="71" customFormat="false" ht="15" hidden="false" customHeight="true" outlineLevel="0" collapsed="false">
      <c r="A71" s="11" t="str">
        <f aca="false">IF(B71&lt;&gt;"",COUNTA($B$4:B71),"")</f>
        <v/>
      </c>
      <c r="B71" s="20"/>
      <c r="C71" s="20"/>
      <c r="D71" s="20"/>
      <c r="E71" s="20"/>
      <c r="F71" s="20"/>
      <c r="G71" s="20"/>
      <c r="H71" s="20"/>
      <c r="I71" s="21"/>
      <c r="J71" s="20"/>
      <c r="K71" s="14" t="str">
        <f aca="false">IF(AND(I71&lt;&gt;"",H71&lt;&gt;"",J71&lt;&gt;""),IF(J71="W",I71*H71,IF(J71="L",-I71,IF(J71="P",I71*H71*0.5,""))),"")</f>
        <v/>
      </c>
      <c r="L71" s="15" t="str">
        <f aca="false">IF(AND(K71&lt;&gt;"",P70&lt;&gt;""),K71/P70,IF(K71&lt;&gt;"",K71/$D$2,""))</f>
        <v/>
      </c>
      <c r="M71" s="20"/>
      <c r="N71" s="20"/>
      <c r="O71" s="20"/>
      <c r="P71" s="16" t="str">
        <f aca="false">IF(K71&lt;&gt;"",P70+K71,IF(B71&lt;&gt;"",P70,""))</f>
        <v/>
      </c>
      <c r="Q71" s="17" t="str">
        <f aca="false">IF(P71&lt;&gt;"",MIN(0,P71-MAX($P$4:P71)),"")</f>
        <v/>
      </c>
    </row>
    <row r="72" customFormat="false" ht="15" hidden="false" customHeight="true" outlineLevel="0" collapsed="false">
      <c r="A72" s="11" t="str">
        <f aca="false">IF(B72&lt;&gt;"",COUNTA($B$4:B72),"")</f>
        <v/>
      </c>
      <c r="B72" s="12"/>
      <c r="C72" s="12"/>
      <c r="D72" s="12"/>
      <c r="E72" s="12"/>
      <c r="F72" s="12"/>
      <c r="G72" s="12"/>
      <c r="H72" s="12"/>
      <c r="I72" s="13"/>
      <c r="J72" s="12"/>
      <c r="K72" s="14" t="str">
        <f aca="false">IF(AND(I72&lt;&gt;"",H72&lt;&gt;"",J72&lt;&gt;""),IF(J72="W",I72*H72,IF(J72="L",-I72,IF(J72="P",I72*H72*0.5,""))),"")</f>
        <v/>
      </c>
      <c r="L72" s="15" t="str">
        <f aca="false">IF(AND(K72&lt;&gt;"",P71&lt;&gt;""),K72/P71,IF(K72&lt;&gt;"",K72/$D$2,""))</f>
        <v/>
      </c>
      <c r="M72" s="12"/>
      <c r="N72" s="12"/>
      <c r="O72" s="12"/>
      <c r="P72" s="16" t="str">
        <f aca="false">IF(K72&lt;&gt;"",P71+K72,IF(B72&lt;&gt;"",P71,""))</f>
        <v/>
      </c>
      <c r="Q72" s="17" t="str">
        <f aca="false">IF(P72&lt;&gt;"",MIN(0,P72-MAX($P$4:P72)),"")</f>
        <v/>
      </c>
    </row>
    <row r="73" customFormat="false" ht="15" hidden="false" customHeight="true" outlineLevel="0" collapsed="false">
      <c r="A73" s="11" t="str">
        <f aca="false">IF(B73&lt;&gt;"",COUNTA($B$4:B73),"")</f>
        <v/>
      </c>
      <c r="B73" s="20"/>
      <c r="C73" s="20"/>
      <c r="D73" s="20"/>
      <c r="E73" s="20"/>
      <c r="F73" s="20"/>
      <c r="G73" s="20"/>
      <c r="H73" s="20"/>
      <c r="I73" s="21"/>
      <c r="J73" s="20"/>
      <c r="K73" s="14" t="str">
        <f aca="false">IF(AND(I73&lt;&gt;"",H73&lt;&gt;"",J73&lt;&gt;""),IF(J73="W",I73*H73,IF(J73="L",-I73,IF(J73="P",I73*H73*0.5,""))),"")</f>
        <v/>
      </c>
      <c r="L73" s="15" t="str">
        <f aca="false">IF(AND(K73&lt;&gt;"",P72&lt;&gt;""),K73/P72,IF(K73&lt;&gt;"",K73/$D$2,""))</f>
        <v/>
      </c>
      <c r="M73" s="20"/>
      <c r="N73" s="20"/>
      <c r="O73" s="20"/>
      <c r="P73" s="16" t="str">
        <f aca="false">IF(K73&lt;&gt;"",P72+K73,IF(B73&lt;&gt;"",P72,""))</f>
        <v/>
      </c>
      <c r="Q73" s="17" t="str">
        <f aca="false">IF(P73&lt;&gt;"",MIN(0,P73-MAX($P$4:P73)),"")</f>
        <v/>
      </c>
    </row>
    <row r="74" customFormat="false" ht="15" hidden="false" customHeight="true" outlineLevel="0" collapsed="false">
      <c r="A74" s="11" t="str">
        <f aca="false">IF(B74&lt;&gt;"",COUNTA($B$4:B74),"")</f>
        <v/>
      </c>
      <c r="B74" s="12"/>
      <c r="C74" s="12"/>
      <c r="D74" s="12"/>
      <c r="E74" s="12"/>
      <c r="F74" s="12"/>
      <c r="G74" s="12"/>
      <c r="H74" s="12"/>
      <c r="I74" s="13"/>
      <c r="J74" s="12"/>
      <c r="K74" s="14" t="str">
        <f aca="false">IF(AND(I74&lt;&gt;"",H74&lt;&gt;"",J74&lt;&gt;""),IF(J74="W",I74*H74,IF(J74="L",-I74,IF(J74="P",I74*H74*0.5,""))),"")</f>
        <v/>
      </c>
      <c r="L74" s="15" t="str">
        <f aca="false">IF(AND(K74&lt;&gt;"",P73&lt;&gt;""),K74/P73,IF(K74&lt;&gt;"",K74/$D$2,""))</f>
        <v/>
      </c>
      <c r="M74" s="12"/>
      <c r="N74" s="12"/>
      <c r="O74" s="12"/>
      <c r="P74" s="16" t="str">
        <f aca="false">IF(K74&lt;&gt;"",P73+K74,IF(B74&lt;&gt;"",P73,""))</f>
        <v/>
      </c>
      <c r="Q74" s="17" t="str">
        <f aca="false">IF(P74&lt;&gt;"",MIN(0,P74-MAX($P$4:P74)),"")</f>
        <v/>
      </c>
    </row>
    <row r="75" customFormat="false" ht="15" hidden="false" customHeight="true" outlineLevel="0" collapsed="false">
      <c r="A75" s="11" t="str">
        <f aca="false">IF(B75&lt;&gt;"",COUNTA($B$4:B75),"")</f>
        <v/>
      </c>
      <c r="B75" s="20"/>
      <c r="C75" s="20"/>
      <c r="D75" s="20"/>
      <c r="E75" s="20"/>
      <c r="F75" s="20"/>
      <c r="G75" s="20"/>
      <c r="H75" s="20"/>
      <c r="I75" s="21"/>
      <c r="J75" s="20"/>
      <c r="K75" s="14" t="str">
        <f aca="false">IF(AND(I75&lt;&gt;"",H75&lt;&gt;"",J75&lt;&gt;""),IF(J75="W",I75*H75,IF(J75="L",-I75,IF(J75="P",I75*H75*0.5,""))),"")</f>
        <v/>
      </c>
      <c r="L75" s="15" t="str">
        <f aca="false">IF(AND(K75&lt;&gt;"",P74&lt;&gt;""),K75/P74,IF(K75&lt;&gt;"",K75/$D$2,""))</f>
        <v/>
      </c>
      <c r="M75" s="20"/>
      <c r="N75" s="20"/>
      <c r="O75" s="20"/>
      <c r="P75" s="16" t="str">
        <f aca="false">IF(K75&lt;&gt;"",P74+K75,IF(B75&lt;&gt;"",P74,""))</f>
        <v/>
      </c>
      <c r="Q75" s="17" t="str">
        <f aca="false">IF(P75&lt;&gt;"",MIN(0,P75-MAX($P$4:P75)),"")</f>
        <v/>
      </c>
    </row>
    <row r="76" customFormat="false" ht="15" hidden="false" customHeight="true" outlineLevel="0" collapsed="false">
      <c r="A76" s="11" t="str">
        <f aca="false">IF(B76&lt;&gt;"",COUNTA($B$4:B76),"")</f>
        <v/>
      </c>
      <c r="B76" s="12"/>
      <c r="C76" s="12"/>
      <c r="D76" s="12"/>
      <c r="E76" s="12"/>
      <c r="F76" s="12"/>
      <c r="G76" s="12"/>
      <c r="H76" s="12"/>
      <c r="I76" s="13"/>
      <c r="J76" s="12"/>
      <c r="K76" s="14" t="str">
        <f aca="false">IF(AND(I76&lt;&gt;"",H76&lt;&gt;"",J76&lt;&gt;""),IF(J76="W",I76*H76,IF(J76="L",-I76,IF(J76="P",I76*H76*0.5,""))),"")</f>
        <v/>
      </c>
      <c r="L76" s="15" t="str">
        <f aca="false">IF(AND(K76&lt;&gt;"",P75&lt;&gt;""),K76/P75,IF(K76&lt;&gt;"",K76/$D$2,""))</f>
        <v/>
      </c>
      <c r="M76" s="12"/>
      <c r="N76" s="12"/>
      <c r="O76" s="12"/>
      <c r="P76" s="16" t="str">
        <f aca="false">IF(K76&lt;&gt;"",P75+K76,IF(B76&lt;&gt;"",P75,""))</f>
        <v/>
      </c>
      <c r="Q76" s="17" t="str">
        <f aca="false">IF(P76&lt;&gt;"",MIN(0,P76-MAX($P$4:P76)),"")</f>
        <v/>
      </c>
    </row>
    <row r="77" customFormat="false" ht="15" hidden="false" customHeight="true" outlineLevel="0" collapsed="false">
      <c r="A77" s="11" t="str">
        <f aca="false">IF(B77&lt;&gt;"",COUNTA($B$4:B77),"")</f>
        <v/>
      </c>
      <c r="B77" s="20"/>
      <c r="C77" s="20"/>
      <c r="D77" s="20"/>
      <c r="E77" s="20"/>
      <c r="F77" s="20"/>
      <c r="G77" s="20"/>
      <c r="H77" s="20"/>
      <c r="I77" s="21"/>
      <c r="J77" s="20"/>
      <c r="K77" s="14" t="str">
        <f aca="false">IF(AND(I77&lt;&gt;"",H77&lt;&gt;"",J77&lt;&gt;""),IF(J77="W",I77*H77,IF(J77="L",-I77,IF(J77="P",I77*H77*0.5,""))),"")</f>
        <v/>
      </c>
      <c r="L77" s="15" t="str">
        <f aca="false">IF(AND(K77&lt;&gt;"",P76&lt;&gt;""),K77/P76,IF(K77&lt;&gt;"",K77/$D$2,""))</f>
        <v/>
      </c>
      <c r="M77" s="20"/>
      <c r="N77" s="20"/>
      <c r="O77" s="20"/>
      <c r="P77" s="16" t="str">
        <f aca="false">IF(K77&lt;&gt;"",P76+K77,IF(B77&lt;&gt;"",P76,""))</f>
        <v/>
      </c>
      <c r="Q77" s="17" t="str">
        <f aca="false">IF(P77&lt;&gt;"",MIN(0,P77-MAX($P$4:P77)),"")</f>
        <v/>
      </c>
    </row>
    <row r="78" customFormat="false" ht="15" hidden="false" customHeight="true" outlineLevel="0" collapsed="false">
      <c r="A78" s="11" t="str">
        <f aca="false">IF(B78&lt;&gt;"",COUNTA($B$4:B78),"")</f>
        <v/>
      </c>
      <c r="B78" s="12"/>
      <c r="C78" s="12"/>
      <c r="D78" s="12"/>
      <c r="E78" s="12"/>
      <c r="F78" s="12"/>
      <c r="G78" s="12"/>
      <c r="H78" s="12"/>
      <c r="I78" s="13"/>
      <c r="J78" s="12"/>
      <c r="K78" s="14" t="str">
        <f aca="false">IF(AND(I78&lt;&gt;"",H78&lt;&gt;"",J78&lt;&gt;""),IF(J78="W",I78*H78,IF(J78="L",-I78,IF(J78="P",I78*H78*0.5,""))),"")</f>
        <v/>
      </c>
      <c r="L78" s="15" t="str">
        <f aca="false">IF(AND(K78&lt;&gt;"",P77&lt;&gt;""),K78/P77,IF(K78&lt;&gt;"",K78/$D$2,""))</f>
        <v/>
      </c>
      <c r="M78" s="12"/>
      <c r="N78" s="12"/>
      <c r="O78" s="12"/>
      <c r="P78" s="16" t="str">
        <f aca="false">IF(K78&lt;&gt;"",P77+K78,IF(B78&lt;&gt;"",P77,""))</f>
        <v/>
      </c>
      <c r="Q78" s="17" t="str">
        <f aca="false">IF(P78&lt;&gt;"",MIN(0,P78-MAX($P$4:P78)),"")</f>
        <v/>
      </c>
    </row>
    <row r="79" customFormat="false" ht="15" hidden="false" customHeight="true" outlineLevel="0" collapsed="false">
      <c r="A79" s="11" t="str">
        <f aca="false">IF(B79&lt;&gt;"",COUNTA($B$4:B79),"")</f>
        <v/>
      </c>
      <c r="B79" s="20"/>
      <c r="C79" s="20"/>
      <c r="D79" s="20"/>
      <c r="E79" s="20"/>
      <c r="F79" s="20"/>
      <c r="G79" s="20"/>
      <c r="H79" s="20"/>
      <c r="I79" s="21"/>
      <c r="J79" s="20"/>
      <c r="K79" s="14" t="str">
        <f aca="false">IF(AND(I79&lt;&gt;"",H79&lt;&gt;"",J79&lt;&gt;""),IF(J79="W",I79*H79,IF(J79="L",-I79,IF(J79="P",I79*H79*0.5,""))),"")</f>
        <v/>
      </c>
      <c r="L79" s="15" t="str">
        <f aca="false">IF(AND(K79&lt;&gt;"",P78&lt;&gt;""),K79/P78,IF(K79&lt;&gt;"",K79/$D$2,""))</f>
        <v/>
      </c>
      <c r="M79" s="20"/>
      <c r="N79" s="20"/>
      <c r="O79" s="20"/>
      <c r="P79" s="16" t="str">
        <f aca="false">IF(K79&lt;&gt;"",P78+K79,IF(B79&lt;&gt;"",P78,""))</f>
        <v/>
      </c>
      <c r="Q79" s="17" t="str">
        <f aca="false">IF(P79&lt;&gt;"",MIN(0,P79-MAX($P$4:P79)),"")</f>
        <v/>
      </c>
    </row>
    <row r="80" customFormat="false" ht="15" hidden="false" customHeight="true" outlineLevel="0" collapsed="false">
      <c r="A80" s="11" t="str">
        <f aca="false">IF(B80&lt;&gt;"",COUNTA($B$4:B80),"")</f>
        <v/>
      </c>
      <c r="B80" s="12"/>
      <c r="C80" s="12"/>
      <c r="D80" s="12"/>
      <c r="E80" s="12"/>
      <c r="F80" s="12"/>
      <c r="G80" s="12"/>
      <c r="H80" s="12"/>
      <c r="I80" s="13"/>
      <c r="J80" s="12"/>
      <c r="K80" s="14" t="str">
        <f aca="false">IF(AND(I80&lt;&gt;"",H80&lt;&gt;"",J80&lt;&gt;""),IF(J80="W",I80*H80,IF(J80="L",-I80,IF(J80="P",I80*H80*0.5,""))),"")</f>
        <v/>
      </c>
      <c r="L80" s="15" t="str">
        <f aca="false">IF(AND(K80&lt;&gt;"",P79&lt;&gt;""),K80/P79,IF(K80&lt;&gt;"",K80/$D$2,""))</f>
        <v/>
      </c>
      <c r="M80" s="12"/>
      <c r="N80" s="12"/>
      <c r="O80" s="12"/>
      <c r="P80" s="16" t="str">
        <f aca="false">IF(K80&lt;&gt;"",P79+K80,IF(B80&lt;&gt;"",P79,""))</f>
        <v/>
      </c>
      <c r="Q80" s="17" t="str">
        <f aca="false">IF(P80&lt;&gt;"",MIN(0,P80-MAX($P$4:P80)),"")</f>
        <v/>
      </c>
    </row>
    <row r="81" customFormat="false" ht="15" hidden="false" customHeight="true" outlineLevel="0" collapsed="false">
      <c r="A81" s="11" t="str">
        <f aca="false">IF(B81&lt;&gt;"",COUNTA($B$4:B81),"")</f>
        <v/>
      </c>
      <c r="B81" s="20"/>
      <c r="C81" s="20"/>
      <c r="D81" s="20"/>
      <c r="E81" s="20"/>
      <c r="F81" s="20"/>
      <c r="G81" s="20"/>
      <c r="H81" s="20"/>
      <c r="I81" s="21"/>
      <c r="J81" s="20"/>
      <c r="K81" s="14" t="str">
        <f aca="false">IF(AND(I81&lt;&gt;"",H81&lt;&gt;"",J81&lt;&gt;""),IF(J81="W",I81*H81,IF(J81="L",-I81,IF(J81="P",I81*H81*0.5,""))),"")</f>
        <v/>
      </c>
      <c r="L81" s="15" t="str">
        <f aca="false">IF(AND(K81&lt;&gt;"",P80&lt;&gt;""),K81/P80,IF(K81&lt;&gt;"",K81/$D$2,""))</f>
        <v/>
      </c>
      <c r="M81" s="20"/>
      <c r="N81" s="20"/>
      <c r="O81" s="20"/>
      <c r="P81" s="16" t="str">
        <f aca="false">IF(K81&lt;&gt;"",P80+K81,IF(B81&lt;&gt;"",P80,""))</f>
        <v/>
      </c>
      <c r="Q81" s="17" t="str">
        <f aca="false">IF(P81&lt;&gt;"",MIN(0,P81-MAX($P$4:P81)),"")</f>
        <v/>
      </c>
    </row>
    <row r="82" customFormat="false" ht="15" hidden="false" customHeight="true" outlineLevel="0" collapsed="false">
      <c r="A82" s="11" t="str">
        <f aca="false">IF(B82&lt;&gt;"",COUNTA($B$4:B82),"")</f>
        <v/>
      </c>
      <c r="B82" s="12"/>
      <c r="C82" s="12"/>
      <c r="D82" s="12"/>
      <c r="E82" s="12"/>
      <c r="F82" s="12"/>
      <c r="G82" s="12"/>
      <c r="H82" s="12"/>
      <c r="I82" s="13"/>
      <c r="J82" s="12"/>
      <c r="K82" s="14" t="str">
        <f aca="false">IF(AND(I82&lt;&gt;"",H82&lt;&gt;"",J82&lt;&gt;""),IF(J82="W",I82*H82,IF(J82="L",-I82,IF(J82="P",I82*H82*0.5,""))),"")</f>
        <v/>
      </c>
      <c r="L82" s="15" t="str">
        <f aca="false">IF(AND(K82&lt;&gt;"",P81&lt;&gt;""),K82/P81,IF(K82&lt;&gt;"",K82/$D$2,""))</f>
        <v/>
      </c>
      <c r="M82" s="12"/>
      <c r="N82" s="12"/>
      <c r="O82" s="12"/>
      <c r="P82" s="16" t="str">
        <f aca="false">IF(K82&lt;&gt;"",P81+K82,IF(B82&lt;&gt;"",P81,""))</f>
        <v/>
      </c>
      <c r="Q82" s="17" t="str">
        <f aca="false">IF(P82&lt;&gt;"",MIN(0,P82-MAX($P$4:P82)),"")</f>
        <v/>
      </c>
    </row>
    <row r="83" customFormat="false" ht="15" hidden="false" customHeight="true" outlineLevel="0" collapsed="false">
      <c r="A83" s="11" t="str">
        <f aca="false">IF(B83&lt;&gt;"",COUNTA($B$4:B83),"")</f>
        <v/>
      </c>
      <c r="B83" s="20"/>
      <c r="C83" s="20"/>
      <c r="D83" s="20"/>
      <c r="E83" s="20"/>
      <c r="F83" s="20"/>
      <c r="G83" s="20"/>
      <c r="H83" s="20"/>
      <c r="I83" s="21"/>
      <c r="J83" s="20"/>
      <c r="K83" s="14" t="str">
        <f aca="false">IF(AND(I83&lt;&gt;"",H83&lt;&gt;"",J83&lt;&gt;""),IF(J83="W",I83*H83,IF(J83="L",-I83,IF(J83="P",I83*H83*0.5,""))),"")</f>
        <v/>
      </c>
      <c r="L83" s="15" t="str">
        <f aca="false">IF(AND(K83&lt;&gt;"",P82&lt;&gt;""),K83/P82,IF(K83&lt;&gt;"",K83/$D$2,""))</f>
        <v/>
      </c>
      <c r="M83" s="20"/>
      <c r="N83" s="20"/>
      <c r="O83" s="20"/>
      <c r="P83" s="16" t="str">
        <f aca="false">IF(K83&lt;&gt;"",P82+K83,IF(B83&lt;&gt;"",P82,""))</f>
        <v/>
      </c>
      <c r="Q83" s="17" t="str">
        <f aca="false">IF(P83&lt;&gt;"",MIN(0,P83-MAX($P$4:P83)),"")</f>
        <v/>
      </c>
    </row>
    <row r="84" customFormat="false" ht="15" hidden="false" customHeight="true" outlineLevel="0" collapsed="false">
      <c r="A84" s="11" t="str">
        <f aca="false">IF(B84&lt;&gt;"",COUNTA($B$4:B84),"")</f>
        <v/>
      </c>
      <c r="B84" s="12"/>
      <c r="C84" s="12"/>
      <c r="D84" s="12"/>
      <c r="E84" s="12"/>
      <c r="F84" s="12"/>
      <c r="G84" s="12"/>
      <c r="H84" s="12"/>
      <c r="I84" s="13"/>
      <c r="J84" s="12"/>
      <c r="K84" s="14" t="str">
        <f aca="false">IF(AND(I84&lt;&gt;"",H84&lt;&gt;"",J84&lt;&gt;""),IF(J84="W",I84*H84,IF(J84="L",-I84,IF(J84="P",I84*H84*0.5,""))),"")</f>
        <v/>
      </c>
      <c r="L84" s="15" t="str">
        <f aca="false">IF(AND(K84&lt;&gt;"",P83&lt;&gt;""),K84/P83,IF(K84&lt;&gt;"",K84/$D$2,""))</f>
        <v/>
      </c>
      <c r="M84" s="12"/>
      <c r="N84" s="12"/>
      <c r="O84" s="12"/>
      <c r="P84" s="16" t="str">
        <f aca="false">IF(K84&lt;&gt;"",P83+K84,IF(B84&lt;&gt;"",P83,""))</f>
        <v/>
      </c>
      <c r="Q84" s="17" t="str">
        <f aca="false">IF(P84&lt;&gt;"",MIN(0,P84-MAX($P$4:P84)),"")</f>
        <v/>
      </c>
    </row>
    <row r="85" customFormat="false" ht="15" hidden="false" customHeight="true" outlineLevel="0" collapsed="false">
      <c r="A85" s="11" t="str">
        <f aca="false">IF(B85&lt;&gt;"",COUNTA($B$4:B85),"")</f>
        <v/>
      </c>
      <c r="B85" s="20"/>
      <c r="C85" s="20"/>
      <c r="D85" s="20"/>
      <c r="E85" s="20"/>
      <c r="F85" s="20"/>
      <c r="G85" s="20"/>
      <c r="H85" s="20"/>
      <c r="I85" s="21"/>
      <c r="J85" s="20"/>
      <c r="K85" s="14" t="str">
        <f aca="false">IF(AND(I85&lt;&gt;"",H85&lt;&gt;"",J85&lt;&gt;""),IF(J85="W",I85*H85,IF(J85="L",-I85,IF(J85="P",I85*H85*0.5,""))),"")</f>
        <v/>
      </c>
      <c r="L85" s="15" t="str">
        <f aca="false">IF(AND(K85&lt;&gt;"",P84&lt;&gt;""),K85/P84,IF(K85&lt;&gt;"",K85/$D$2,""))</f>
        <v/>
      </c>
      <c r="M85" s="20"/>
      <c r="N85" s="20"/>
      <c r="O85" s="20"/>
      <c r="P85" s="16" t="str">
        <f aca="false">IF(K85&lt;&gt;"",P84+K85,IF(B85&lt;&gt;"",P84,""))</f>
        <v/>
      </c>
      <c r="Q85" s="17" t="str">
        <f aca="false">IF(P85&lt;&gt;"",MIN(0,P85-MAX($P$4:P85)),"")</f>
        <v/>
      </c>
    </row>
    <row r="86" customFormat="false" ht="15" hidden="false" customHeight="true" outlineLevel="0" collapsed="false">
      <c r="A86" s="11" t="str">
        <f aca="false">IF(B86&lt;&gt;"",COUNTA($B$4:B86),"")</f>
        <v/>
      </c>
      <c r="B86" s="12"/>
      <c r="C86" s="12"/>
      <c r="D86" s="12"/>
      <c r="E86" s="12"/>
      <c r="F86" s="12"/>
      <c r="G86" s="12"/>
      <c r="H86" s="12"/>
      <c r="I86" s="13"/>
      <c r="J86" s="12"/>
      <c r="K86" s="14" t="str">
        <f aca="false">IF(AND(I86&lt;&gt;"",H86&lt;&gt;"",J86&lt;&gt;""),IF(J86="W",I86*H86,IF(J86="L",-I86,IF(J86="P",I86*H86*0.5,""))),"")</f>
        <v/>
      </c>
      <c r="L86" s="15" t="str">
        <f aca="false">IF(AND(K86&lt;&gt;"",P85&lt;&gt;""),K86/P85,IF(K86&lt;&gt;"",K86/$D$2,""))</f>
        <v/>
      </c>
      <c r="M86" s="12"/>
      <c r="N86" s="12"/>
      <c r="O86" s="12"/>
      <c r="P86" s="16" t="str">
        <f aca="false">IF(K86&lt;&gt;"",P85+K86,IF(B86&lt;&gt;"",P85,""))</f>
        <v/>
      </c>
      <c r="Q86" s="17" t="str">
        <f aca="false">IF(P86&lt;&gt;"",MIN(0,P86-MAX($P$4:P86)),"")</f>
        <v/>
      </c>
    </row>
    <row r="87" customFormat="false" ht="15" hidden="false" customHeight="true" outlineLevel="0" collapsed="false">
      <c r="A87" s="11" t="str">
        <f aca="false">IF(B87&lt;&gt;"",COUNTA($B$4:B87),"")</f>
        <v/>
      </c>
      <c r="B87" s="20"/>
      <c r="C87" s="20"/>
      <c r="D87" s="20"/>
      <c r="E87" s="20"/>
      <c r="F87" s="20"/>
      <c r="G87" s="20"/>
      <c r="H87" s="20"/>
      <c r="I87" s="21"/>
      <c r="J87" s="20"/>
      <c r="K87" s="14" t="str">
        <f aca="false">IF(AND(I87&lt;&gt;"",H87&lt;&gt;"",J87&lt;&gt;""),IF(J87="W",I87*H87,IF(J87="L",-I87,IF(J87="P",I87*H87*0.5,""))),"")</f>
        <v/>
      </c>
      <c r="L87" s="15" t="str">
        <f aca="false">IF(AND(K87&lt;&gt;"",P86&lt;&gt;""),K87/P86,IF(K87&lt;&gt;"",K87/$D$2,""))</f>
        <v/>
      </c>
      <c r="M87" s="20"/>
      <c r="N87" s="20"/>
      <c r="O87" s="20"/>
      <c r="P87" s="16" t="str">
        <f aca="false">IF(K87&lt;&gt;"",P86+K87,IF(B87&lt;&gt;"",P86,""))</f>
        <v/>
      </c>
      <c r="Q87" s="17" t="str">
        <f aca="false">IF(P87&lt;&gt;"",MIN(0,P87-MAX($P$4:P87)),"")</f>
        <v/>
      </c>
    </row>
    <row r="88" customFormat="false" ht="15" hidden="false" customHeight="true" outlineLevel="0" collapsed="false">
      <c r="A88" s="11" t="str">
        <f aca="false">IF(B88&lt;&gt;"",COUNTA($B$4:B88),"")</f>
        <v/>
      </c>
      <c r="B88" s="12"/>
      <c r="C88" s="12"/>
      <c r="D88" s="12"/>
      <c r="E88" s="12"/>
      <c r="F88" s="12"/>
      <c r="G88" s="12"/>
      <c r="H88" s="12"/>
      <c r="I88" s="13"/>
      <c r="J88" s="12"/>
      <c r="K88" s="14" t="str">
        <f aca="false">IF(AND(I88&lt;&gt;"",H88&lt;&gt;"",J88&lt;&gt;""),IF(J88="W",I88*H88,IF(J88="L",-I88,IF(J88="P",I88*H88*0.5,""))),"")</f>
        <v/>
      </c>
      <c r="L88" s="15" t="str">
        <f aca="false">IF(AND(K88&lt;&gt;"",P87&lt;&gt;""),K88/P87,IF(K88&lt;&gt;"",K88/$D$2,""))</f>
        <v/>
      </c>
      <c r="M88" s="12"/>
      <c r="N88" s="12"/>
      <c r="O88" s="12"/>
      <c r="P88" s="16" t="str">
        <f aca="false">IF(K88&lt;&gt;"",P87+K88,IF(B88&lt;&gt;"",P87,""))</f>
        <v/>
      </c>
      <c r="Q88" s="17" t="str">
        <f aca="false">IF(P88&lt;&gt;"",MIN(0,P88-MAX($P$4:P88)),"")</f>
        <v/>
      </c>
    </row>
    <row r="89" customFormat="false" ht="15" hidden="false" customHeight="true" outlineLevel="0" collapsed="false">
      <c r="A89" s="11" t="str">
        <f aca="false">IF(B89&lt;&gt;"",COUNTA($B$4:B89),"")</f>
        <v/>
      </c>
      <c r="B89" s="20"/>
      <c r="C89" s="20"/>
      <c r="D89" s="20"/>
      <c r="E89" s="20"/>
      <c r="F89" s="20"/>
      <c r="G89" s="20"/>
      <c r="H89" s="20"/>
      <c r="I89" s="21"/>
      <c r="J89" s="20"/>
      <c r="K89" s="14" t="str">
        <f aca="false">IF(AND(I89&lt;&gt;"",H89&lt;&gt;"",J89&lt;&gt;""),IF(J89="W",I89*H89,IF(J89="L",-I89,IF(J89="P",I89*H89*0.5,""))),"")</f>
        <v/>
      </c>
      <c r="L89" s="15" t="str">
        <f aca="false">IF(AND(K89&lt;&gt;"",P88&lt;&gt;""),K89/P88,IF(K89&lt;&gt;"",K89/$D$2,""))</f>
        <v/>
      </c>
      <c r="M89" s="20"/>
      <c r="N89" s="20"/>
      <c r="O89" s="20"/>
      <c r="P89" s="16" t="str">
        <f aca="false">IF(K89&lt;&gt;"",P88+K89,IF(B89&lt;&gt;"",P88,""))</f>
        <v/>
      </c>
      <c r="Q89" s="17" t="str">
        <f aca="false">IF(P89&lt;&gt;"",MIN(0,P89-MAX($P$4:P89)),"")</f>
        <v/>
      </c>
    </row>
    <row r="90" customFormat="false" ht="15" hidden="false" customHeight="true" outlineLevel="0" collapsed="false">
      <c r="A90" s="11" t="str">
        <f aca="false">IF(B90&lt;&gt;"",COUNTA($B$4:B90),"")</f>
        <v/>
      </c>
      <c r="B90" s="12"/>
      <c r="C90" s="12"/>
      <c r="D90" s="12"/>
      <c r="E90" s="12"/>
      <c r="F90" s="12"/>
      <c r="G90" s="12"/>
      <c r="H90" s="12"/>
      <c r="I90" s="13"/>
      <c r="J90" s="12"/>
      <c r="K90" s="14" t="str">
        <f aca="false">IF(AND(I90&lt;&gt;"",H90&lt;&gt;"",J90&lt;&gt;""),IF(J90="W",I90*H90,IF(J90="L",-I90,IF(J90="P",I90*H90*0.5,""))),"")</f>
        <v/>
      </c>
      <c r="L90" s="15" t="str">
        <f aca="false">IF(AND(K90&lt;&gt;"",P89&lt;&gt;""),K90/P89,IF(K90&lt;&gt;"",K90/$D$2,""))</f>
        <v/>
      </c>
      <c r="M90" s="12"/>
      <c r="N90" s="12"/>
      <c r="O90" s="12"/>
      <c r="P90" s="16" t="str">
        <f aca="false">IF(K90&lt;&gt;"",P89+K90,IF(B90&lt;&gt;"",P89,""))</f>
        <v/>
      </c>
      <c r="Q90" s="17" t="str">
        <f aca="false">IF(P90&lt;&gt;"",MIN(0,P90-MAX($P$4:P90)),"")</f>
        <v/>
      </c>
    </row>
    <row r="91" customFormat="false" ht="15" hidden="false" customHeight="true" outlineLevel="0" collapsed="false">
      <c r="A91" s="11" t="str">
        <f aca="false">IF(B91&lt;&gt;"",COUNTA($B$4:B91),"")</f>
        <v/>
      </c>
      <c r="B91" s="20"/>
      <c r="C91" s="20"/>
      <c r="D91" s="20"/>
      <c r="E91" s="20"/>
      <c r="F91" s="20"/>
      <c r="G91" s="20"/>
      <c r="H91" s="20"/>
      <c r="I91" s="21"/>
      <c r="J91" s="20"/>
      <c r="K91" s="14" t="str">
        <f aca="false">IF(AND(I91&lt;&gt;"",H91&lt;&gt;"",J91&lt;&gt;""),IF(J91="W",I91*H91,IF(J91="L",-I91,IF(J91="P",I91*H91*0.5,""))),"")</f>
        <v/>
      </c>
      <c r="L91" s="15" t="str">
        <f aca="false">IF(AND(K91&lt;&gt;"",P90&lt;&gt;""),K91/P90,IF(K91&lt;&gt;"",K91/$D$2,""))</f>
        <v/>
      </c>
      <c r="M91" s="20"/>
      <c r="N91" s="20"/>
      <c r="O91" s="20"/>
      <c r="P91" s="16" t="str">
        <f aca="false">IF(K91&lt;&gt;"",P90+K91,IF(B91&lt;&gt;"",P90,""))</f>
        <v/>
      </c>
      <c r="Q91" s="17" t="str">
        <f aca="false">IF(P91&lt;&gt;"",MIN(0,P91-MAX($P$4:P91)),"")</f>
        <v/>
      </c>
    </row>
    <row r="92" customFormat="false" ht="15" hidden="false" customHeight="true" outlineLevel="0" collapsed="false">
      <c r="A92" s="11" t="str">
        <f aca="false">IF(B92&lt;&gt;"",COUNTA($B$4:B92),"")</f>
        <v/>
      </c>
      <c r="B92" s="12"/>
      <c r="C92" s="12"/>
      <c r="D92" s="12"/>
      <c r="E92" s="12"/>
      <c r="F92" s="12"/>
      <c r="G92" s="12"/>
      <c r="H92" s="12"/>
      <c r="I92" s="13"/>
      <c r="J92" s="12"/>
      <c r="K92" s="14" t="str">
        <f aca="false">IF(AND(I92&lt;&gt;"",H92&lt;&gt;"",J92&lt;&gt;""),IF(J92="W",I92*H92,IF(J92="L",-I92,IF(J92="P",I92*H92*0.5,""))),"")</f>
        <v/>
      </c>
      <c r="L92" s="15" t="str">
        <f aca="false">IF(AND(K92&lt;&gt;"",P91&lt;&gt;""),K92/P91,IF(K92&lt;&gt;"",K92/$D$2,""))</f>
        <v/>
      </c>
      <c r="M92" s="12"/>
      <c r="N92" s="12"/>
      <c r="O92" s="12"/>
      <c r="P92" s="16" t="str">
        <f aca="false">IF(K92&lt;&gt;"",P91+K92,IF(B92&lt;&gt;"",P91,""))</f>
        <v/>
      </c>
      <c r="Q92" s="17" t="str">
        <f aca="false">IF(P92&lt;&gt;"",MIN(0,P92-MAX($P$4:P92)),"")</f>
        <v/>
      </c>
    </row>
    <row r="93" customFormat="false" ht="15" hidden="false" customHeight="true" outlineLevel="0" collapsed="false">
      <c r="A93" s="11" t="str">
        <f aca="false">IF(B93&lt;&gt;"",COUNTA($B$4:B93),"")</f>
        <v/>
      </c>
      <c r="B93" s="20"/>
      <c r="C93" s="20"/>
      <c r="D93" s="20"/>
      <c r="E93" s="20"/>
      <c r="F93" s="20"/>
      <c r="G93" s="20"/>
      <c r="H93" s="20"/>
      <c r="I93" s="21"/>
      <c r="J93" s="20"/>
      <c r="K93" s="14" t="str">
        <f aca="false">IF(AND(I93&lt;&gt;"",H93&lt;&gt;"",J93&lt;&gt;""),IF(J93="W",I93*H93,IF(J93="L",-I93,IF(J93="P",I93*H93*0.5,""))),"")</f>
        <v/>
      </c>
      <c r="L93" s="15" t="str">
        <f aca="false">IF(AND(K93&lt;&gt;"",P92&lt;&gt;""),K93/P92,IF(K93&lt;&gt;"",K93/$D$2,""))</f>
        <v/>
      </c>
      <c r="M93" s="20"/>
      <c r="N93" s="20"/>
      <c r="O93" s="20"/>
      <c r="P93" s="16" t="str">
        <f aca="false">IF(K93&lt;&gt;"",P92+K93,IF(B93&lt;&gt;"",P92,""))</f>
        <v/>
      </c>
      <c r="Q93" s="17" t="str">
        <f aca="false">IF(P93&lt;&gt;"",MIN(0,P93-MAX($P$4:P93)),"")</f>
        <v/>
      </c>
    </row>
    <row r="94" customFormat="false" ht="15" hidden="false" customHeight="true" outlineLevel="0" collapsed="false">
      <c r="A94" s="11" t="str">
        <f aca="false">IF(B94&lt;&gt;"",COUNTA($B$4:B94),"")</f>
        <v/>
      </c>
      <c r="B94" s="12"/>
      <c r="C94" s="12"/>
      <c r="D94" s="12"/>
      <c r="E94" s="12"/>
      <c r="F94" s="12"/>
      <c r="G94" s="12"/>
      <c r="H94" s="12"/>
      <c r="I94" s="13"/>
      <c r="J94" s="12"/>
      <c r="K94" s="14" t="str">
        <f aca="false">IF(AND(I94&lt;&gt;"",H94&lt;&gt;"",J94&lt;&gt;""),IF(J94="W",I94*H94,IF(J94="L",-I94,IF(J94="P",I94*H94*0.5,""))),"")</f>
        <v/>
      </c>
      <c r="L94" s="15" t="str">
        <f aca="false">IF(AND(K94&lt;&gt;"",P93&lt;&gt;""),K94/P93,IF(K94&lt;&gt;"",K94/$D$2,""))</f>
        <v/>
      </c>
      <c r="M94" s="12"/>
      <c r="N94" s="12"/>
      <c r="O94" s="12"/>
      <c r="P94" s="16" t="str">
        <f aca="false">IF(K94&lt;&gt;"",P93+K94,IF(B94&lt;&gt;"",P93,""))</f>
        <v/>
      </c>
      <c r="Q94" s="17" t="str">
        <f aca="false">IF(P94&lt;&gt;"",MIN(0,P94-MAX($P$4:P94)),"")</f>
        <v/>
      </c>
    </row>
    <row r="95" customFormat="false" ht="15" hidden="false" customHeight="true" outlineLevel="0" collapsed="false">
      <c r="A95" s="11" t="str">
        <f aca="false">IF(B95&lt;&gt;"",COUNTA($B$4:B95),"")</f>
        <v/>
      </c>
      <c r="B95" s="20"/>
      <c r="C95" s="20"/>
      <c r="D95" s="20"/>
      <c r="E95" s="20"/>
      <c r="F95" s="20"/>
      <c r="G95" s="20"/>
      <c r="H95" s="20"/>
      <c r="I95" s="21"/>
      <c r="J95" s="20"/>
      <c r="K95" s="14" t="str">
        <f aca="false">IF(AND(I95&lt;&gt;"",H95&lt;&gt;"",J95&lt;&gt;""),IF(J95="W",I95*H95,IF(J95="L",-I95,IF(J95="P",I95*H95*0.5,""))),"")</f>
        <v/>
      </c>
      <c r="L95" s="15" t="str">
        <f aca="false">IF(AND(K95&lt;&gt;"",P94&lt;&gt;""),K95/P94,IF(K95&lt;&gt;"",K95/$D$2,""))</f>
        <v/>
      </c>
      <c r="M95" s="20"/>
      <c r="N95" s="20"/>
      <c r="O95" s="20"/>
      <c r="P95" s="16" t="str">
        <f aca="false">IF(K95&lt;&gt;"",P94+K95,IF(B95&lt;&gt;"",P94,""))</f>
        <v/>
      </c>
      <c r="Q95" s="17" t="str">
        <f aca="false">IF(P95&lt;&gt;"",MIN(0,P95-MAX($P$4:P95)),"")</f>
        <v/>
      </c>
    </row>
    <row r="96" customFormat="false" ht="15" hidden="false" customHeight="true" outlineLevel="0" collapsed="false">
      <c r="A96" s="11" t="str">
        <f aca="false">IF(B96&lt;&gt;"",COUNTA($B$4:B96),"")</f>
        <v/>
      </c>
      <c r="B96" s="12"/>
      <c r="C96" s="12"/>
      <c r="D96" s="12"/>
      <c r="E96" s="12"/>
      <c r="F96" s="12"/>
      <c r="G96" s="12"/>
      <c r="H96" s="12"/>
      <c r="I96" s="13"/>
      <c r="J96" s="12"/>
      <c r="K96" s="14" t="str">
        <f aca="false">IF(AND(I96&lt;&gt;"",H96&lt;&gt;"",J96&lt;&gt;""),IF(J96="W",I96*H96,IF(J96="L",-I96,IF(J96="P",I96*H96*0.5,""))),"")</f>
        <v/>
      </c>
      <c r="L96" s="15" t="str">
        <f aca="false">IF(AND(K96&lt;&gt;"",P95&lt;&gt;""),K96/P95,IF(K96&lt;&gt;"",K96/$D$2,""))</f>
        <v/>
      </c>
      <c r="M96" s="12"/>
      <c r="N96" s="12"/>
      <c r="O96" s="12"/>
      <c r="P96" s="16" t="str">
        <f aca="false">IF(K96&lt;&gt;"",P95+K96,IF(B96&lt;&gt;"",P95,""))</f>
        <v/>
      </c>
      <c r="Q96" s="17" t="str">
        <f aca="false">IF(P96&lt;&gt;"",MIN(0,P96-MAX($P$4:P96)),"")</f>
        <v/>
      </c>
    </row>
    <row r="97" customFormat="false" ht="15" hidden="false" customHeight="true" outlineLevel="0" collapsed="false">
      <c r="A97" s="11" t="str">
        <f aca="false">IF(B97&lt;&gt;"",COUNTA($B$4:B97),"")</f>
        <v/>
      </c>
      <c r="B97" s="20"/>
      <c r="C97" s="20"/>
      <c r="D97" s="20"/>
      <c r="E97" s="20"/>
      <c r="F97" s="20"/>
      <c r="G97" s="20"/>
      <c r="H97" s="20"/>
      <c r="I97" s="21"/>
      <c r="J97" s="20"/>
      <c r="K97" s="14" t="str">
        <f aca="false">IF(AND(I97&lt;&gt;"",H97&lt;&gt;"",J97&lt;&gt;""),IF(J97="W",I97*H97,IF(J97="L",-I97,IF(J97="P",I97*H97*0.5,""))),"")</f>
        <v/>
      </c>
      <c r="L97" s="15" t="str">
        <f aca="false">IF(AND(K97&lt;&gt;"",P96&lt;&gt;""),K97/P96,IF(K97&lt;&gt;"",K97/$D$2,""))</f>
        <v/>
      </c>
      <c r="M97" s="20"/>
      <c r="N97" s="20"/>
      <c r="O97" s="20"/>
      <c r="P97" s="16" t="str">
        <f aca="false">IF(K97&lt;&gt;"",P96+K97,IF(B97&lt;&gt;"",P96,""))</f>
        <v/>
      </c>
      <c r="Q97" s="17" t="str">
        <f aca="false">IF(P97&lt;&gt;"",MIN(0,P97-MAX($P$4:P97)),"")</f>
        <v/>
      </c>
    </row>
    <row r="98" customFormat="false" ht="15" hidden="false" customHeight="true" outlineLevel="0" collapsed="false">
      <c r="A98" s="11" t="str">
        <f aca="false">IF(B98&lt;&gt;"",COUNTA($B$4:B98),"")</f>
        <v/>
      </c>
      <c r="B98" s="12"/>
      <c r="C98" s="12"/>
      <c r="D98" s="12"/>
      <c r="E98" s="12"/>
      <c r="F98" s="12"/>
      <c r="G98" s="12"/>
      <c r="H98" s="12"/>
      <c r="I98" s="13"/>
      <c r="J98" s="12"/>
      <c r="K98" s="14" t="str">
        <f aca="false">IF(AND(I98&lt;&gt;"",H98&lt;&gt;"",J98&lt;&gt;""),IF(J98="W",I98*H98,IF(J98="L",-I98,IF(J98="P",I98*H98*0.5,""))),"")</f>
        <v/>
      </c>
      <c r="L98" s="15" t="str">
        <f aca="false">IF(AND(K98&lt;&gt;"",P97&lt;&gt;""),K98/P97,IF(K98&lt;&gt;"",K98/$D$2,""))</f>
        <v/>
      </c>
      <c r="M98" s="12"/>
      <c r="N98" s="12"/>
      <c r="O98" s="12"/>
      <c r="P98" s="16" t="str">
        <f aca="false">IF(K98&lt;&gt;"",P97+K98,IF(B98&lt;&gt;"",P97,""))</f>
        <v/>
      </c>
      <c r="Q98" s="17" t="str">
        <f aca="false">IF(P98&lt;&gt;"",MIN(0,P98-MAX($P$4:P98)),"")</f>
        <v/>
      </c>
    </row>
    <row r="99" customFormat="false" ht="15" hidden="false" customHeight="true" outlineLevel="0" collapsed="false">
      <c r="A99" s="11" t="str">
        <f aca="false">IF(B99&lt;&gt;"",COUNTA($B$4:B99),"")</f>
        <v/>
      </c>
      <c r="B99" s="20"/>
      <c r="C99" s="20"/>
      <c r="D99" s="20"/>
      <c r="E99" s="20"/>
      <c r="F99" s="20"/>
      <c r="G99" s="20"/>
      <c r="H99" s="20"/>
      <c r="I99" s="21"/>
      <c r="J99" s="20"/>
      <c r="K99" s="14" t="str">
        <f aca="false">IF(AND(I99&lt;&gt;"",H99&lt;&gt;"",J99&lt;&gt;""),IF(J99="W",I99*H99,IF(J99="L",-I99,IF(J99="P",I99*H99*0.5,""))),"")</f>
        <v/>
      </c>
      <c r="L99" s="15" t="str">
        <f aca="false">IF(AND(K99&lt;&gt;"",P98&lt;&gt;""),K99/P98,IF(K99&lt;&gt;"",K99/$D$2,""))</f>
        <v/>
      </c>
      <c r="M99" s="20"/>
      <c r="N99" s="20"/>
      <c r="O99" s="20"/>
      <c r="P99" s="16" t="str">
        <f aca="false">IF(K99&lt;&gt;"",P98+K99,IF(B99&lt;&gt;"",P98,""))</f>
        <v/>
      </c>
      <c r="Q99" s="17" t="str">
        <f aca="false">IF(P99&lt;&gt;"",MIN(0,P99-MAX($P$4:P99)),"")</f>
        <v/>
      </c>
    </row>
    <row r="100" customFormat="false" ht="15" hidden="false" customHeight="true" outlineLevel="0" collapsed="false">
      <c r="A100" s="11" t="str">
        <f aca="false">IF(B100&lt;&gt;"",COUNTA($B$4:B100),"")</f>
        <v/>
      </c>
      <c r="B100" s="12"/>
      <c r="C100" s="12"/>
      <c r="D100" s="12"/>
      <c r="E100" s="12"/>
      <c r="F100" s="12"/>
      <c r="G100" s="12"/>
      <c r="H100" s="12"/>
      <c r="I100" s="13"/>
      <c r="J100" s="12"/>
      <c r="K100" s="14" t="str">
        <f aca="false">IF(AND(I100&lt;&gt;"",H100&lt;&gt;"",J100&lt;&gt;""),IF(J100="W",I100*H100,IF(J100="L",-I100,IF(J100="P",I100*H100*0.5,""))),"")</f>
        <v/>
      </c>
      <c r="L100" s="15" t="str">
        <f aca="false">IF(AND(K100&lt;&gt;"",P99&lt;&gt;""),K100/P99,IF(K100&lt;&gt;"",K100/$D$2,""))</f>
        <v/>
      </c>
      <c r="M100" s="12"/>
      <c r="N100" s="12"/>
      <c r="O100" s="12"/>
      <c r="P100" s="16" t="str">
        <f aca="false">IF(K100&lt;&gt;"",P99+K100,IF(B100&lt;&gt;"",P99,""))</f>
        <v/>
      </c>
      <c r="Q100" s="17" t="str">
        <f aca="false">IF(P100&lt;&gt;"",MIN(0,P100-MAX($P$4:P100)),"")</f>
        <v/>
      </c>
    </row>
    <row r="101" customFormat="false" ht="15" hidden="false" customHeight="true" outlineLevel="0" collapsed="false">
      <c r="A101" s="11" t="str">
        <f aca="false">IF(B101&lt;&gt;"",COUNTA($B$4:B101),"")</f>
        <v/>
      </c>
      <c r="B101" s="20"/>
      <c r="C101" s="20"/>
      <c r="D101" s="20"/>
      <c r="E101" s="20"/>
      <c r="F101" s="20"/>
      <c r="G101" s="20"/>
      <c r="H101" s="20"/>
      <c r="I101" s="21"/>
      <c r="J101" s="20"/>
      <c r="K101" s="14" t="str">
        <f aca="false">IF(AND(I101&lt;&gt;"",H101&lt;&gt;"",J101&lt;&gt;""),IF(J101="W",I101*H101,IF(J101="L",-I101,IF(J101="P",I101*H101*0.5,""))),"")</f>
        <v/>
      </c>
      <c r="L101" s="15" t="str">
        <f aca="false">IF(AND(K101&lt;&gt;"",P100&lt;&gt;""),K101/P100,IF(K101&lt;&gt;"",K101/$D$2,""))</f>
        <v/>
      </c>
      <c r="M101" s="20"/>
      <c r="N101" s="20"/>
      <c r="O101" s="20"/>
      <c r="P101" s="16" t="str">
        <f aca="false">IF(K101&lt;&gt;"",P100+K101,IF(B101&lt;&gt;"",P100,""))</f>
        <v/>
      </c>
      <c r="Q101" s="17" t="str">
        <f aca="false">IF(P101&lt;&gt;"",MIN(0,P101-MAX($P$4:P101)),"")</f>
        <v/>
      </c>
    </row>
    <row r="102" customFormat="false" ht="15" hidden="false" customHeight="true" outlineLevel="0" collapsed="false">
      <c r="A102" s="11" t="str">
        <f aca="false">IF(B102&lt;&gt;"",COUNTA($B$4:B102),"")</f>
        <v/>
      </c>
      <c r="B102" s="12"/>
      <c r="C102" s="12"/>
      <c r="D102" s="12"/>
      <c r="E102" s="12"/>
      <c r="F102" s="12"/>
      <c r="G102" s="12"/>
      <c r="H102" s="12"/>
      <c r="I102" s="13"/>
      <c r="J102" s="12"/>
      <c r="K102" s="14" t="str">
        <f aca="false">IF(AND(I102&lt;&gt;"",H102&lt;&gt;"",J102&lt;&gt;""),IF(J102="W",I102*H102,IF(J102="L",-I102,IF(J102="P",I102*H102*0.5,""))),"")</f>
        <v/>
      </c>
      <c r="L102" s="15" t="str">
        <f aca="false">IF(AND(K102&lt;&gt;"",P101&lt;&gt;""),K102/P101,IF(K102&lt;&gt;"",K102/$D$2,""))</f>
        <v/>
      </c>
      <c r="M102" s="12"/>
      <c r="N102" s="12"/>
      <c r="O102" s="12"/>
      <c r="P102" s="16" t="str">
        <f aca="false">IF(K102&lt;&gt;"",P101+K102,IF(B102&lt;&gt;"",P101,""))</f>
        <v/>
      </c>
      <c r="Q102" s="17" t="str">
        <f aca="false">IF(P102&lt;&gt;"",MIN(0,P102-MAX($P$4:P102)),"")</f>
        <v/>
      </c>
    </row>
    <row r="103" customFormat="false" ht="15" hidden="false" customHeight="true" outlineLevel="0" collapsed="false">
      <c r="A103" s="11" t="str">
        <f aca="false">IF(B103&lt;&gt;"",COUNTA($B$4:B103),"")</f>
        <v/>
      </c>
      <c r="B103" s="20"/>
      <c r="C103" s="20"/>
      <c r="D103" s="20"/>
      <c r="E103" s="20"/>
      <c r="F103" s="20"/>
      <c r="G103" s="20"/>
      <c r="H103" s="20"/>
      <c r="I103" s="21"/>
      <c r="J103" s="20"/>
      <c r="K103" s="14" t="str">
        <f aca="false">IF(AND(I103&lt;&gt;"",H103&lt;&gt;"",J103&lt;&gt;""),IF(J103="W",I103*H103,IF(J103="L",-I103,IF(J103="P",I103*H103*0.5,""))),"")</f>
        <v/>
      </c>
      <c r="L103" s="15" t="str">
        <f aca="false">IF(AND(K103&lt;&gt;"",P102&lt;&gt;""),K103/P102,IF(K103&lt;&gt;"",K103/$D$2,""))</f>
        <v/>
      </c>
      <c r="M103" s="20"/>
      <c r="N103" s="20"/>
      <c r="O103" s="20"/>
      <c r="P103" s="16" t="str">
        <f aca="false">IF(K103&lt;&gt;"",P102+K103,IF(B103&lt;&gt;"",P102,""))</f>
        <v/>
      </c>
      <c r="Q103" s="17" t="str">
        <f aca="false">IF(P103&lt;&gt;"",MIN(0,P103-MAX($P$4:P103)),"")</f>
        <v/>
      </c>
    </row>
    <row r="104" customFormat="false" ht="15" hidden="false" customHeight="true" outlineLevel="0" collapsed="false">
      <c r="A104" s="11" t="str">
        <f aca="false">IF(B104&lt;&gt;"",COUNTA($B$4:B104),"")</f>
        <v/>
      </c>
      <c r="B104" s="12"/>
      <c r="C104" s="12"/>
      <c r="D104" s="12"/>
      <c r="E104" s="12"/>
      <c r="F104" s="12"/>
      <c r="G104" s="12"/>
      <c r="H104" s="12"/>
      <c r="I104" s="13"/>
      <c r="J104" s="12"/>
      <c r="K104" s="14" t="str">
        <f aca="false">IF(AND(I104&lt;&gt;"",H104&lt;&gt;"",J104&lt;&gt;""),IF(J104="W",I104*H104,IF(J104="L",-I104,IF(J104="P",I104*H104*0.5,""))),"")</f>
        <v/>
      </c>
      <c r="L104" s="15" t="str">
        <f aca="false">IF(AND(K104&lt;&gt;"",P103&lt;&gt;""),K104/P103,IF(K104&lt;&gt;"",K104/$D$2,""))</f>
        <v/>
      </c>
      <c r="M104" s="12"/>
      <c r="N104" s="12"/>
      <c r="O104" s="12"/>
      <c r="P104" s="16" t="str">
        <f aca="false">IF(K104&lt;&gt;"",P103+K104,IF(B104&lt;&gt;"",P103,""))</f>
        <v/>
      </c>
      <c r="Q104" s="17" t="str">
        <f aca="false">IF(P104&lt;&gt;"",MIN(0,P104-MAX($P$4:P104)),"")</f>
        <v/>
      </c>
    </row>
    <row r="105" customFormat="false" ht="15" hidden="false" customHeight="true" outlineLevel="0" collapsed="false">
      <c r="A105" s="11" t="str">
        <f aca="false">IF(B105&lt;&gt;"",COUNTA($B$4:B105),"")</f>
        <v/>
      </c>
      <c r="B105" s="20"/>
      <c r="C105" s="20"/>
      <c r="D105" s="20"/>
      <c r="E105" s="20"/>
      <c r="F105" s="20"/>
      <c r="G105" s="20"/>
      <c r="H105" s="20"/>
      <c r="I105" s="21"/>
      <c r="J105" s="20"/>
      <c r="K105" s="14" t="str">
        <f aca="false">IF(AND(I105&lt;&gt;"",H105&lt;&gt;"",J105&lt;&gt;""),IF(J105="W",I105*H105,IF(J105="L",-I105,IF(J105="P",I105*H105*0.5,""))),"")</f>
        <v/>
      </c>
      <c r="L105" s="15" t="str">
        <f aca="false">IF(AND(K105&lt;&gt;"",P104&lt;&gt;""),K105/P104,IF(K105&lt;&gt;"",K105/$D$2,""))</f>
        <v/>
      </c>
      <c r="M105" s="20"/>
      <c r="N105" s="20"/>
      <c r="O105" s="20"/>
      <c r="P105" s="16" t="str">
        <f aca="false">IF(K105&lt;&gt;"",P104+K105,IF(B105&lt;&gt;"",P104,""))</f>
        <v/>
      </c>
      <c r="Q105" s="17" t="str">
        <f aca="false">IF(P105&lt;&gt;"",MIN(0,P105-MAX($P$4:P105)),"")</f>
        <v/>
      </c>
    </row>
    <row r="106" customFormat="false" ht="15" hidden="false" customHeight="true" outlineLevel="0" collapsed="false">
      <c r="A106" s="11" t="str">
        <f aca="false">IF(B106&lt;&gt;"",COUNTA($B$4:B106),"")</f>
        <v/>
      </c>
      <c r="B106" s="12"/>
      <c r="C106" s="12"/>
      <c r="D106" s="12"/>
      <c r="E106" s="12"/>
      <c r="F106" s="12"/>
      <c r="G106" s="12"/>
      <c r="H106" s="12"/>
      <c r="I106" s="13"/>
      <c r="J106" s="12"/>
      <c r="K106" s="14" t="str">
        <f aca="false">IF(AND(I106&lt;&gt;"",H106&lt;&gt;"",J106&lt;&gt;""),IF(J106="W",I106*H106,IF(J106="L",-I106,IF(J106="P",I106*H106*0.5,""))),"")</f>
        <v/>
      </c>
      <c r="L106" s="15" t="str">
        <f aca="false">IF(AND(K106&lt;&gt;"",P105&lt;&gt;""),K106/P105,IF(K106&lt;&gt;"",K106/$D$2,""))</f>
        <v/>
      </c>
      <c r="M106" s="12"/>
      <c r="N106" s="12"/>
      <c r="O106" s="12"/>
      <c r="P106" s="16" t="str">
        <f aca="false">IF(K106&lt;&gt;"",P105+K106,IF(B106&lt;&gt;"",P105,""))</f>
        <v/>
      </c>
      <c r="Q106" s="17" t="str">
        <f aca="false">IF(P106&lt;&gt;"",MIN(0,P106-MAX($P$4:P106)),"")</f>
        <v/>
      </c>
    </row>
    <row r="107" customFormat="false" ht="15" hidden="false" customHeight="true" outlineLevel="0" collapsed="false">
      <c r="A107" s="11" t="str">
        <f aca="false">IF(B107&lt;&gt;"",COUNTA($B$4:B107),"")</f>
        <v/>
      </c>
      <c r="B107" s="20"/>
      <c r="C107" s="20"/>
      <c r="D107" s="20"/>
      <c r="E107" s="20"/>
      <c r="F107" s="20"/>
      <c r="G107" s="20"/>
      <c r="H107" s="20"/>
      <c r="I107" s="21"/>
      <c r="J107" s="20"/>
      <c r="K107" s="14" t="str">
        <f aca="false">IF(AND(I107&lt;&gt;"",H107&lt;&gt;"",J107&lt;&gt;""),IF(J107="W",I107*H107,IF(J107="L",-I107,IF(J107="P",I107*H107*0.5,""))),"")</f>
        <v/>
      </c>
      <c r="L107" s="15" t="str">
        <f aca="false">IF(AND(K107&lt;&gt;"",P106&lt;&gt;""),K107/P106,IF(K107&lt;&gt;"",K107/$D$2,""))</f>
        <v/>
      </c>
      <c r="M107" s="20"/>
      <c r="N107" s="20"/>
      <c r="O107" s="20"/>
      <c r="P107" s="16" t="str">
        <f aca="false">IF(K107&lt;&gt;"",P106+K107,IF(B107&lt;&gt;"",P106,""))</f>
        <v/>
      </c>
      <c r="Q107" s="17" t="str">
        <f aca="false">IF(P107&lt;&gt;"",MIN(0,P107-MAX($P$4:P107)),"")</f>
        <v/>
      </c>
    </row>
    <row r="108" customFormat="false" ht="15" hidden="false" customHeight="true" outlineLevel="0" collapsed="false">
      <c r="A108" s="11" t="str">
        <f aca="false">IF(B108&lt;&gt;"",COUNTA($B$4:B108),"")</f>
        <v/>
      </c>
      <c r="B108" s="12"/>
      <c r="C108" s="12"/>
      <c r="D108" s="12"/>
      <c r="E108" s="12"/>
      <c r="F108" s="12"/>
      <c r="G108" s="12"/>
      <c r="H108" s="12"/>
      <c r="I108" s="13"/>
      <c r="J108" s="12"/>
      <c r="K108" s="14" t="str">
        <f aca="false">IF(AND(I108&lt;&gt;"",H108&lt;&gt;"",J108&lt;&gt;""),IF(J108="W",I108*H108,IF(J108="L",-I108,IF(J108="P",I108*H108*0.5,""))),"")</f>
        <v/>
      </c>
      <c r="L108" s="15" t="str">
        <f aca="false">IF(AND(K108&lt;&gt;"",P107&lt;&gt;""),K108/P107,IF(K108&lt;&gt;"",K108/$D$2,""))</f>
        <v/>
      </c>
      <c r="M108" s="12"/>
      <c r="N108" s="12"/>
      <c r="O108" s="12"/>
      <c r="P108" s="16" t="str">
        <f aca="false">IF(K108&lt;&gt;"",P107+K108,IF(B108&lt;&gt;"",P107,""))</f>
        <v/>
      </c>
      <c r="Q108" s="17" t="str">
        <f aca="false">IF(P108&lt;&gt;"",MIN(0,P108-MAX($P$4:P108)),"")</f>
        <v/>
      </c>
    </row>
    <row r="109" customFormat="false" ht="15" hidden="false" customHeight="true" outlineLevel="0" collapsed="false">
      <c r="A109" s="11" t="str">
        <f aca="false">IF(B109&lt;&gt;"",COUNTA($B$4:B109),"")</f>
        <v/>
      </c>
      <c r="B109" s="20"/>
      <c r="C109" s="20"/>
      <c r="D109" s="20"/>
      <c r="E109" s="20"/>
      <c r="F109" s="20"/>
      <c r="G109" s="20"/>
      <c r="H109" s="20"/>
      <c r="I109" s="21"/>
      <c r="J109" s="20"/>
      <c r="K109" s="14" t="str">
        <f aca="false">IF(AND(I109&lt;&gt;"",H109&lt;&gt;"",J109&lt;&gt;""),IF(J109="W",I109*H109,IF(J109="L",-I109,IF(J109="P",I109*H109*0.5,""))),"")</f>
        <v/>
      </c>
      <c r="L109" s="15" t="str">
        <f aca="false">IF(AND(K109&lt;&gt;"",P108&lt;&gt;""),K109/P108,IF(K109&lt;&gt;"",K109/$D$2,""))</f>
        <v/>
      </c>
      <c r="M109" s="20"/>
      <c r="N109" s="20"/>
      <c r="O109" s="20"/>
      <c r="P109" s="16" t="str">
        <f aca="false">IF(K109&lt;&gt;"",P108+K109,IF(B109&lt;&gt;"",P108,""))</f>
        <v/>
      </c>
      <c r="Q109" s="17" t="str">
        <f aca="false">IF(P109&lt;&gt;"",MIN(0,P109-MAX($P$4:P109)),"")</f>
        <v/>
      </c>
    </row>
    <row r="110" customFormat="false" ht="15" hidden="false" customHeight="true" outlineLevel="0" collapsed="false">
      <c r="A110" s="11" t="str">
        <f aca="false">IF(B110&lt;&gt;"",COUNTA($B$4:B110),"")</f>
        <v/>
      </c>
      <c r="B110" s="12"/>
      <c r="C110" s="12"/>
      <c r="D110" s="12"/>
      <c r="E110" s="12"/>
      <c r="F110" s="12"/>
      <c r="G110" s="12"/>
      <c r="H110" s="12"/>
      <c r="I110" s="13"/>
      <c r="J110" s="12"/>
      <c r="K110" s="14" t="str">
        <f aca="false">IF(AND(I110&lt;&gt;"",H110&lt;&gt;"",J110&lt;&gt;""),IF(J110="W",I110*H110,IF(J110="L",-I110,IF(J110="P",I110*H110*0.5,""))),"")</f>
        <v/>
      </c>
      <c r="L110" s="15" t="str">
        <f aca="false">IF(AND(K110&lt;&gt;"",P109&lt;&gt;""),K110/P109,IF(K110&lt;&gt;"",K110/$D$2,""))</f>
        <v/>
      </c>
      <c r="M110" s="12"/>
      <c r="N110" s="12"/>
      <c r="O110" s="12"/>
      <c r="P110" s="16" t="str">
        <f aca="false">IF(K110&lt;&gt;"",P109+K110,IF(B110&lt;&gt;"",P109,""))</f>
        <v/>
      </c>
      <c r="Q110" s="17" t="str">
        <f aca="false">IF(P110&lt;&gt;"",MIN(0,P110-MAX($P$4:P110)),"")</f>
        <v/>
      </c>
    </row>
    <row r="111" customFormat="false" ht="15" hidden="false" customHeight="true" outlineLevel="0" collapsed="false">
      <c r="A111" s="11" t="str">
        <f aca="false">IF(B111&lt;&gt;"",COUNTA($B$4:B111),"")</f>
        <v/>
      </c>
      <c r="B111" s="20"/>
      <c r="C111" s="20"/>
      <c r="D111" s="20"/>
      <c r="E111" s="20"/>
      <c r="F111" s="20"/>
      <c r="G111" s="20"/>
      <c r="H111" s="20"/>
      <c r="I111" s="21"/>
      <c r="J111" s="20"/>
      <c r="K111" s="14" t="str">
        <f aca="false">IF(AND(I111&lt;&gt;"",H111&lt;&gt;"",J111&lt;&gt;""),IF(J111="W",I111*H111,IF(J111="L",-I111,IF(J111="P",I111*H111*0.5,""))),"")</f>
        <v/>
      </c>
      <c r="L111" s="15" t="str">
        <f aca="false">IF(AND(K111&lt;&gt;"",P110&lt;&gt;""),K111/P110,IF(K111&lt;&gt;"",K111/$D$2,""))</f>
        <v/>
      </c>
      <c r="M111" s="20"/>
      <c r="N111" s="20"/>
      <c r="O111" s="20"/>
      <c r="P111" s="16" t="str">
        <f aca="false">IF(K111&lt;&gt;"",P110+K111,IF(B111&lt;&gt;"",P110,""))</f>
        <v/>
      </c>
      <c r="Q111" s="17" t="str">
        <f aca="false">IF(P111&lt;&gt;"",MIN(0,P111-MAX($P$4:P111)),"")</f>
        <v/>
      </c>
    </row>
    <row r="112" customFormat="false" ht="15" hidden="false" customHeight="true" outlineLevel="0" collapsed="false">
      <c r="A112" s="11" t="str">
        <f aca="false">IF(B112&lt;&gt;"",COUNTA($B$4:B112),"")</f>
        <v/>
      </c>
      <c r="B112" s="12"/>
      <c r="C112" s="12"/>
      <c r="D112" s="12"/>
      <c r="E112" s="12"/>
      <c r="F112" s="12"/>
      <c r="G112" s="12"/>
      <c r="H112" s="12"/>
      <c r="I112" s="13"/>
      <c r="J112" s="12"/>
      <c r="K112" s="14" t="str">
        <f aca="false">IF(AND(I112&lt;&gt;"",H112&lt;&gt;"",J112&lt;&gt;""),IF(J112="W",I112*H112,IF(J112="L",-I112,IF(J112="P",I112*H112*0.5,""))),"")</f>
        <v/>
      </c>
      <c r="L112" s="15" t="str">
        <f aca="false">IF(AND(K112&lt;&gt;"",P111&lt;&gt;""),K112/P111,IF(K112&lt;&gt;"",K112/$D$2,""))</f>
        <v/>
      </c>
      <c r="M112" s="12"/>
      <c r="N112" s="12"/>
      <c r="O112" s="12"/>
      <c r="P112" s="16" t="str">
        <f aca="false">IF(K112&lt;&gt;"",P111+K112,IF(B112&lt;&gt;"",P111,""))</f>
        <v/>
      </c>
      <c r="Q112" s="17" t="str">
        <f aca="false">IF(P112&lt;&gt;"",MIN(0,P112-MAX($P$4:P112)),"")</f>
        <v/>
      </c>
    </row>
    <row r="113" customFormat="false" ht="15" hidden="false" customHeight="true" outlineLevel="0" collapsed="false">
      <c r="A113" s="11" t="str">
        <f aca="false">IF(B113&lt;&gt;"",COUNTA($B$4:B113),"")</f>
        <v/>
      </c>
      <c r="B113" s="20"/>
      <c r="C113" s="20"/>
      <c r="D113" s="20"/>
      <c r="E113" s="20"/>
      <c r="F113" s="20"/>
      <c r="G113" s="20"/>
      <c r="H113" s="20"/>
      <c r="I113" s="21"/>
      <c r="J113" s="20"/>
      <c r="K113" s="14" t="str">
        <f aca="false">IF(AND(I113&lt;&gt;"",H113&lt;&gt;"",J113&lt;&gt;""),IF(J113="W",I113*H113,IF(J113="L",-I113,IF(J113="P",I113*H113*0.5,""))),"")</f>
        <v/>
      </c>
      <c r="L113" s="15" t="str">
        <f aca="false">IF(AND(K113&lt;&gt;"",P112&lt;&gt;""),K113/P112,IF(K113&lt;&gt;"",K113/$D$2,""))</f>
        <v/>
      </c>
      <c r="M113" s="20"/>
      <c r="N113" s="20"/>
      <c r="O113" s="20"/>
      <c r="P113" s="16" t="str">
        <f aca="false">IF(K113&lt;&gt;"",P112+K113,IF(B113&lt;&gt;"",P112,""))</f>
        <v/>
      </c>
      <c r="Q113" s="17" t="str">
        <f aca="false">IF(P113&lt;&gt;"",MIN(0,P113-MAX($P$4:P113)),"")</f>
        <v/>
      </c>
    </row>
    <row r="114" customFormat="false" ht="15" hidden="false" customHeight="true" outlineLevel="0" collapsed="false">
      <c r="A114" s="11" t="str">
        <f aca="false">IF(B114&lt;&gt;"",COUNTA($B$4:B114),"")</f>
        <v/>
      </c>
      <c r="B114" s="12"/>
      <c r="C114" s="12"/>
      <c r="D114" s="12"/>
      <c r="E114" s="12"/>
      <c r="F114" s="12"/>
      <c r="G114" s="12"/>
      <c r="H114" s="12"/>
      <c r="I114" s="13"/>
      <c r="J114" s="12"/>
      <c r="K114" s="14" t="str">
        <f aca="false">IF(AND(I114&lt;&gt;"",H114&lt;&gt;"",J114&lt;&gt;""),IF(J114="W",I114*H114,IF(J114="L",-I114,IF(J114="P",I114*H114*0.5,""))),"")</f>
        <v/>
      </c>
      <c r="L114" s="15" t="str">
        <f aca="false">IF(AND(K114&lt;&gt;"",P113&lt;&gt;""),K114/P113,IF(K114&lt;&gt;"",K114/$D$2,""))</f>
        <v/>
      </c>
      <c r="M114" s="12"/>
      <c r="N114" s="12"/>
      <c r="O114" s="12"/>
      <c r="P114" s="16" t="str">
        <f aca="false">IF(K114&lt;&gt;"",P113+K114,IF(B114&lt;&gt;"",P113,""))</f>
        <v/>
      </c>
      <c r="Q114" s="17" t="str">
        <f aca="false">IF(P114&lt;&gt;"",MIN(0,P114-MAX($P$4:P114)),"")</f>
        <v/>
      </c>
    </row>
    <row r="115" customFormat="false" ht="15" hidden="false" customHeight="true" outlineLevel="0" collapsed="false">
      <c r="A115" s="11" t="str">
        <f aca="false">IF(B115&lt;&gt;"",COUNTA($B$4:B115),"")</f>
        <v/>
      </c>
      <c r="B115" s="20"/>
      <c r="C115" s="20"/>
      <c r="D115" s="20"/>
      <c r="E115" s="20"/>
      <c r="F115" s="20"/>
      <c r="G115" s="20"/>
      <c r="H115" s="20"/>
      <c r="I115" s="21"/>
      <c r="J115" s="20"/>
      <c r="K115" s="14" t="str">
        <f aca="false">IF(AND(I115&lt;&gt;"",H115&lt;&gt;"",J115&lt;&gt;""),IF(J115="W",I115*H115,IF(J115="L",-I115,IF(J115="P",I115*H115*0.5,""))),"")</f>
        <v/>
      </c>
      <c r="L115" s="15" t="str">
        <f aca="false">IF(AND(K115&lt;&gt;"",P114&lt;&gt;""),K115/P114,IF(K115&lt;&gt;"",K115/$D$2,""))</f>
        <v/>
      </c>
      <c r="M115" s="20"/>
      <c r="N115" s="20"/>
      <c r="O115" s="20"/>
      <c r="P115" s="16" t="str">
        <f aca="false">IF(K115&lt;&gt;"",P114+K115,IF(B115&lt;&gt;"",P114,""))</f>
        <v/>
      </c>
      <c r="Q115" s="17" t="str">
        <f aca="false">IF(P115&lt;&gt;"",MIN(0,P115-MAX($P$4:P115)),"")</f>
        <v/>
      </c>
    </row>
    <row r="116" customFormat="false" ht="15" hidden="false" customHeight="true" outlineLevel="0" collapsed="false">
      <c r="A116" s="11" t="str">
        <f aca="false">IF(B116&lt;&gt;"",COUNTA($B$4:B116),"")</f>
        <v/>
      </c>
      <c r="B116" s="12"/>
      <c r="C116" s="12"/>
      <c r="D116" s="12"/>
      <c r="E116" s="12"/>
      <c r="F116" s="12"/>
      <c r="G116" s="12"/>
      <c r="H116" s="12"/>
      <c r="I116" s="13"/>
      <c r="J116" s="12"/>
      <c r="K116" s="14" t="str">
        <f aca="false">IF(AND(I116&lt;&gt;"",H116&lt;&gt;"",J116&lt;&gt;""),IF(J116="W",I116*H116,IF(J116="L",-I116,IF(J116="P",I116*H116*0.5,""))),"")</f>
        <v/>
      </c>
      <c r="L116" s="15" t="str">
        <f aca="false">IF(AND(K116&lt;&gt;"",P115&lt;&gt;""),K116/P115,IF(K116&lt;&gt;"",K116/$D$2,""))</f>
        <v/>
      </c>
      <c r="M116" s="12"/>
      <c r="N116" s="12"/>
      <c r="O116" s="12"/>
      <c r="P116" s="16" t="str">
        <f aca="false">IF(K116&lt;&gt;"",P115+K116,IF(B116&lt;&gt;"",P115,""))</f>
        <v/>
      </c>
      <c r="Q116" s="17" t="str">
        <f aca="false">IF(P116&lt;&gt;"",MIN(0,P116-MAX($P$4:P116)),"")</f>
        <v/>
      </c>
    </row>
    <row r="117" customFormat="false" ht="15" hidden="false" customHeight="true" outlineLevel="0" collapsed="false">
      <c r="A117" s="11" t="str">
        <f aca="false">IF(B117&lt;&gt;"",COUNTA($B$4:B117),"")</f>
        <v/>
      </c>
      <c r="B117" s="20"/>
      <c r="C117" s="20"/>
      <c r="D117" s="20"/>
      <c r="E117" s="20"/>
      <c r="F117" s="20"/>
      <c r="G117" s="20"/>
      <c r="H117" s="20"/>
      <c r="I117" s="21"/>
      <c r="J117" s="20"/>
      <c r="K117" s="14" t="str">
        <f aca="false">IF(AND(I117&lt;&gt;"",H117&lt;&gt;"",J117&lt;&gt;""),IF(J117="W",I117*H117,IF(J117="L",-I117,IF(J117="P",I117*H117*0.5,""))),"")</f>
        <v/>
      </c>
      <c r="L117" s="15" t="str">
        <f aca="false">IF(AND(K117&lt;&gt;"",P116&lt;&gt;""),K117/P116,IF(K117&lt;&gt;"",K117/$D$2,""))</f>
        <v/>
      </c>
      <c r="M117" s="20"/>
      <c r="N117" s="20"/>
      <c r="O117" s="20"/>
      <c r="P117" s="16" t="str">
        <f aca="false">IF(K117&lt;&gt;"",P116+K117,IF(B117&lt;&gt;"",P116,""))</f>
        <v/>
      </c>
      <c r="Q117" s="17" t="str">
        <f aca="false">IF(P117&lt;&gt;"",MIN(0,P117-MAX($P$4:P117)),"")</f>
        <v/>
      </c>
    </row>
    <row r="118" customFormat="false" ht="15" hidden="false" customHeight="true" outlineLevel="0" collapsed="false">
      <c r="A118" s="11" t="str">
        <f aca="false">IF(B118&lt;&gt;"",COUNTA($B$4:B118),"")</f>
        <v/>
      </c>
      <c r="B118" s="12"/>
      <c r="C118" s="12"/>
      <c r="D118" s="12"/>
      <c r="E118" s="12"/>
      <c r="F118" s="12"/>
      <c r="G118" s="12"/>
      <c r="H118" s="12"/>
      <c r="I118" s="13"/>
      <c r="J118" s="12"/>
      <c r="K118" s="14" t="str">
        <f aca="false">IF(AND(I118&lt;&gt;"",H118&lt;&gt;"",J118&lt;&gt;""),IF(J118="W",I118*H118,IF(J118="L",-I118,IF(J118="P",I118*H118*0.5,""))),"")</f>
        <v/>
      </c>
      <c r="L118" s="15" t="str">
        <f aca="false">IF(AND(K118&lt;&gt;"",P117&lt;&gt;""),K118/P117,IF(K118&lt;&gt;"",K118/$D$2,""))</f>
        <v/>
      </c>
      <c r="M118" s="12"/>
      <c r="N118" s="12"/>
      <c r="O118" s="12"/>
      <c r="P118" s="16" t="str">
        <f aca="false">IF(K118&lt;&gt;"",P117+K118,IF(B118&lt;&gt;"",P117,""))</f>
        <v/>
      </c>
      <c r="Q118" s="17" t="str">
        <f aca="false">IF(P118&lt;&gt;"",MIN(0,P118-MAX($P$4:P118)),"")</f>
        <v/>
      </c>
    </row>
    <row r="119" customFormat="false" ht="15" hidden="false" customHeight="true" outlineLevel="0" collapsed="false">
      <c r="A119" s="11" t="str">
        <f aca="false">IF(B119&lt;&gt;"",COUNTA($B$4:B119),"")</f>
        <v/>
      </c>
      <c r="B119" s="20"/>
      <c r="C119" s="20"/>
      <c r="D119" s="20"/>
      <c r="E119" s="20"/>
      <c r="F119" s="20"/>
      <c r="G119" s="20"/>
      <c r="H119" s="20"/>
      <c r="I119" s="21"/>
      <c r="J119" s="20"/>
      <c r="K119" s="14" t="str">
        <f aca="false">IF(AND(I119&lt;&gt;"",H119&lt;&gt;"",J119&lt;&gt;""),IF(J119="W",I119*H119,IF(J119="L",-I119,IF(J119="P",I119*H119*0.5,""))),"")</f>
        <v/>
      </c>
      <c r="L119" s="15" t="str">
        <f aca="false">IF(AND(K119&lt;&gt;"",P118&lt;&gt;""),K119/P118,IF(K119&lt;&gt;"",K119/$D$2,""))</f>
        <v/>
      </c>
      <c r="M119" s="20"/>
      <c r="N119" s="20"/>
      <c r="O119" s="20"/>
      <c r="P119" s="16" t="str">
        <f aca="false">IF(K119&lt;&gt;"",P118+K119,IF(B119&lt;&gt;"",P118,""))</f>
        <v/>
      </c>
      <c r="Q119" s="17" t="str">
        <f aca="false">IF(P119&lt;&gt;"",MIN(0,P119-MAX($P$4:P119)),"")</f>
        <v/>
      </c>
    </row>
    <row r="120" customFormat="false" ht="15" hidden="false" customHeight="true" outlineLevel="0" collapsed="false">
      <c r="A120" s="11" t="str">
        <f aca="false">IF(B120&lt;&gt;"",COUNTA($B$4:B120),"")</f>
        <v/>
      </c>
      <c r="B120" s="12"/>
      <c r="C120" s="12"/>
      <c r="D120" s="12"/>
      <c r="E120" s="12"/>
      <c r="F120" s="12"/>
      <c r="G120" s="12"/>
      <c r="H120" s="12"/>
      <c r="I120" s="13"/>
      <c r="J120" s="12"/>
      <c r="K120" s="14" t="str">
        <f aca="false">IF(AND(I120&lt;&gt;"",H120&lt;&gt;"",J120&lt;&gt;""),IF(J120="W",I120*H120,IF(J120="L",-I120,IF(J120="P",I120*H120*0.5,""))),"")</f>
        <v/>
      </c>
      <c r="L120" s="15" t="str">
        <f aca="false">IF(AND(K120&lt;&gt;"",P119&lt;&gt;""),K120/P119,IF(K120&lt;&gt;"",K120/$D$2,""))</f>
        <v/>
      </c>
      <c r="M120" s="12"/>
      <c r="N120" s="12"/>
      <c r="O120" s="12"/>
      <c r="P120" s="16" t="str">
        <f aca="false">IF(K120&lt;&gt;"",P119+K120,IF(B120&lt;&gt;"",P119,""))</f>
        <v/>
      </c>
      <c r="Q120" s="17" t="str">
        <f aca="false">IF(P120&lt;&gt;"",MIN(0,P120-MAX($P$4:P120)),"")</f>
        <v/>
      </c>
    </row>
    <row r="121" customFormat="false" ht="15" hidden="false" customHeight="true" outlineLevel="0" collapsed="false">
      <c r="A121" s="11" t="str">
        <f aca="false">IF(B121&lt;&gt;"",COUNTA($B$4:B121),"")</f>
        <v/>
      </c>
      <c r="B121" s="20"/>
      <c r="C121" s="20"/>
      <c r="D121" s="20"/>
      <c r="E121" s="20"/>
      <c r="F121" s="20"/>
      <c r="G121" s="20"/>
      <c r="H121" s="20"/>
      <c r="I121" s="21"/>
      <c r="J121" s="20"/>
      <c r="K121" s="14" t="str">
        <f aca="false">IF(AND(I121&lt;&gt;"",H121&lt;&gt;"",J121&lt;&gt;""),IF(J121="W",I121*H121,IF(J121="L",-I121,IF(J121="P",I121*H121*0.5,""))),"")</f>
        <v/>
      </c>
      <c r="L121" s="15" t="str">
        <f aca="false">IF(AND(K121&lt;&gt;"",P120&lt;&gt;""),K121/P120,IF(K121&lt;&gt;"",K121/$D$2,""))</f>
        <v/>
      </c>
      <c r="M121" s="20"/>
      <c r="N121" s="20"/>
      <c r="O121" s="20"/>
      <c r="P121" s="16" t="str">
        <f aca="false">IF(K121&lt;&gt;"",P120+K121,IF(B121&lt;&gt;"",P120,""))</f>
        <v/>
      </c>
      <c r="Q121" s="17" t="str">
        <f aca="false">IF(P121&lt;&gt;"",MIN(0,P121-MAX($P$4:P121)),"")</f>
        <v/>
      </c>
    </row>
    <row r="122" customFormat="false" ht="15" hidden="false" customHeight="true" outlineLevel="0" collapsed="false">
      <c r="A122" s="11" t="str">
        <f aca="false">IF(B122&lt;&gt;"",COUNTA($B$4:B122),"")</f>
        <v/>
      </c>
      <c r="B122" s="12"/>
      <c r="C122" s="12"/>
      <c r="D122" s="12"/>
      <c r="E122" s="12"/>
      <c r="F122" s="12"/>
      <c r="G122" s="12"/>
      <c r="H122" s="12"/>
      <c r="I122" s="13"/>
      <c r="J122" s="12"/>
      <c r="K122" s="14" t="str">
        <f aca="false">IF(AND(I122&lt;&gt;"",H122&lt;&gt;"",J122&lt;&gt;""),IF(J122="W",I122*H122,IF(J122="L",-I122,IF(J122="P",I122*H122*0.5,""))),"")</f>
        <v/>
      </c>
      <c r="L122" s="15" t="str">
        <f aca="false">IF(AND(K122&lt;&gt;"",P121&lt;&gt;""),K122/P121,IF(K122&lt;&gt;"",K122/$D$2,""))</f>
        <v/>
      </c>
      <c r="M122" s="12"/>
      <c r="N122" s="12"/>
      <c r="O122" s="12"/>
      <c r="P122" s="16" t="str">
        <f aca="false">IF(K122&lt;&gt;"",P121+K122,IF(B122&lt;&gt;"",P121,""))</f>
        <v/>
      </c>
      <c r="Q122" s="17" t="str">
        <f aca="false">IF(P122&lt;&gt;"",MIN(0,P122-MAX($P$4:P122)),"")</f>
        <v/>
      </c>
    </row>
    <row r="123" customFormat="false" ht="15" hidden="false" customHeight="true" outlineLevel="0" collapsed="false">
      <c r="A123" s="11" t="str">
        <f aca="false">IF(B123&lt;&gt;"",COUNTA($B$4:B123),"")</f>
        <v/>
      </c>
      <c r="B123" s="20"/>
      <c r="C123" s="20"/>
      <c r="D123" s="20"/>
      <c r="E123" s="20"/>
      <c r="F123" s="20"/>
      <c r="G123" s="20"/>
      <c r="H123" s="20"/>
      <c r="I123" s="21"/>
      <c r="J123" s="20"/>
      <c r="K123" s="14" t="str">
        <f aca="false">IF(AND(I123&lt;&gt;"",H123&lt;&gt;"",J123&lt;&gt;""),IF(J123="W",I123*H123,IF(J123="L",-I123,IF(J123="P",I123*H123*0.5,""))),"")</f>
        <v/>
      </c>
      <c r="L123" s="15" t="str">
        <f aca="false">IF(AND(K123&lt;&gt;"",P122&lt;&gt;""),K123/P122,IF(K123&lt;&gt;"",K123/$D$2,""))</f>
        <v/>
      </c>
      <c r="M123" s="20"/>
      <c r="N123" s="20"/>
      <c r="O123" s="20"/>
      <c r="P123" s="16" t="str">
        <f aca="false">IF(K123&lt;&gt;"",P122+K123,IF(B123&lt;&gt;"",P122,""))</f>
        <v/>
      </c>
      <c r="Q123" s="17" t="str">
        <f aca="false">IF(P123&lt;&gt;"",MIN(0,P123-MAX($P$4:P123)),"")</f>
        <v/>
      </c>
    </row>
    <row r="124" customFormat="false" ht="15" hidden="false" customHeight="true" outlineLevel="0" collapsed="false">
      <c r="A124" s="11" t="str">
        <f aca="false">IF(B124&lt;&gt;"",COUNTA($B$4:B124),"")</f>
        <v/>
      </c>
      <c r="B124" s="12"/>
      <c r="C124" s="12"/>
      <c r="D124" s="12"/>
      <c r="E124" s="12"/>
      <c r="F124" s="12"/>
      <c r="G124" s="12"/>
      <c r="H124" s="12"/>
      <c r="I124" s="13"/>
      <c r="J124" s="12"/>
      <c r="K124" s="14" t="str">
        <f aca="false">IF(AND(I124&lt;&gt;"",H124&lt;&gt;"",J124&lt;&gt;""),IF(J124="W",I124*H124,IF(J124="L",-I124,IF(J124="P",I124*H124*0.5,""))),"")</f>
        <v/>
      </c>
      <c r="L124" s="15" t="str">
        <f aca="false">IF(AND(K124&lt;&gt;"",P123&lt;&gt;""),K124/P123,IF(K124&lt;&gt;"",K124/$D$2,""))</f>
        <v/>
      </c>
      <c r="M124" s="12"/>
      <c r="N124" s="12"/>
      <c r="O124" s="12"/>
      <c r="P124" s="16" t="str">
        <f aca="false">IF(K124&lt;&gt;"",P123+K124,IF(B124&lt;&gt;"",P123,""))</f>
        <v/>
      </c>
      <c r="Q124" s="17" t="str">
        <f aca="false">IF(P124&lt;&gt;"",MIN(0,P124-MAX($P$4:P124)),"")</f>
        <v/>
      </c>
    </row>
    <row r="125" customFormat="false" ht="15" hidden="false" customHeight="true" outlineLevel="0" collapsed="false">
      <c r="A125" s="11" t="str">
        <f aca="false">IF(B125&lt;&gt;"",COUNTA($B$4:B125),"")</f>
        <v/>
      </c>
      <c r="B125" s="20"/>
      <c r="C125" s="20"/>
      <c r="D125" s="20"/>
      <c r="E125" s="20"/>
      <c r="F125" s="20"/>
      <c r="G125" s="20"/>
      <c r="H125" s="20"/>
      <c r="I125" s="21"/>
      <c r="J125" s="20"/>
      <c r="K125" s="14" t="str">
        <f aca="false">IF(AND(I125&lt;&gt;"",H125&lt;&gt;"",J125&lt;&gt;""),IF(J125="W",I125*H125,IF(J125="L",-I125,IF(J125="P",I125*H125*0.5,""))),"")</f>
        <v/>
      </c>
      <c r="L125" s="15" t="str">
        <f aca="false">IF(AND(K125&lt;&gt;"",P124&lt;&gt;""),K125/P124,IF(K125&lt;&gt;"",K125/$D$2,""))</f>
        <v/>
      </c>
      <c r="M125" s="20"/>
      <c r="N125" s="20"/>
      <c r="O125" s="20"/>
      <c r="P125" s="16" t="str">
        <f aca="false">IF(K125&lt;&gt;"",P124+K125,IF(B125&lt;&gt;"",P124,""))</f>
        <v/>
      </c>
      <c r="Q125" s="17" t="str">
        <f aca="false">IF(P125&lt;&gt;"",MIN(0,P125-MAX($P$4:P125)),"")</f>
        <v/>
      </c>
    </row>
    <row r="126" customFormat="false" ht="15" hidden="false" customHeight="true" outlineLevel="0" collapsed="false">
      <c r="A126" s="11" t="str">
        <f aca="false">IF(B126&lt;&gt;"",COUNTA($B$4:B126),"")</f>
        <v/>
      </c>
      <c r="B126" s="12"/>
      <c r="C126" s="12"/>
      <c r="D126" s="12"/>
      <c r="E126" s="12"/>
      <c r="F126" s="12"/>
      <c r="G126" s="12"/>
      <c r="H126" s="12"/>
      <c r="I126" s="13"/>
      <c r="J126" s="12"/>
      <c r="K126" s="14" t="str">
        <f aca="false">IF(AND(I126&lt;&gt;"",H126&lt;&gt;"",J126&lt;&gt;""),IF(J126="W",I126*H126,IF(J126="L",-I126,IF(J126="P",I126*H126*0.5,""))),"")</f>
        <v/>
      </c>
      <c r="L126" s="15" t="str">
        <f aca="false">IF(AND(K126&lt;&gt;"",P125&lt;&gt;""),K126/P125,IF(K126&lt;&gt;"",K126/$D$2,""))</f>
        <v/>
      </c>
      <c r="M126" s="12"/>
      <c r="N126" s="12"/>
      <c r="O126" s="12"/>
      <c r="P126" s="16" t="str">
        <f aca="false">IF(K126&lt;&gt;"",P125+K126,IF(B126&lt;&gt;"",P125,""))</f>
        <v/>
      </c>
      <c r="Q126" s="17" t="str">
        <f aca="false">IF(P126&lt;&gt;"",MIN(0,P126-MAX($P$4:P126)),"")</f>
        <v/>
      </c>
    </row>
    <row r="127" customFormat="false" ht="15" hidden="false" customHeight="true" outlineLevel="0" collapsed="false">
      <c r="A127" s="11" t="str">
        <f aca="false">IF(B127&lt;&gt;"",COUNTA($B$4:B127),"")</f>
        <v/>
      </c>
      <c r="B127" s="20"/>
      <c r="C127" s="20"/>
      <c r="D127" s="20"/>
      <c r="E127" s="20"/>
      <c r="F127" s="20"/>
      <c r="G127" s="20"/>
      <c r="H127" s="20"/>
      <c r="I127" s="21"/>
      <c r="J127" s="20"/>
      <c r="K127" s="14" t="str">
        <f aca="false">IF(AND(I127&lt;&gt;"",H127&lt;&gt;"",J127&lt;&gt;""),IF(J127="W",I127*H127,IF(J127="L",-I127,IF(J127="P",I127*H127*0.5,""))),"")</f>
        <v/>
      </c>
      <c r="L127" s="15" t="str">
        <f aca="false">IF(AND(K127&lt;&gt;"",P126&lt;&gt;""),K127/P126,IF(K127&lt;&gt;"",K127/$D$2,""))</f>
        <v/>
      </c>
      <c r="M127" s="20"/>
      <c r="N127" s="20"/>
      <c r="O127" s="20"/>
      <c r="P127" s="16" t="str">
        <f aca="false">IF(K127&lt;&gt;"",P126+K127,IF(B127&lt;&gt;"",P126,""))</f>
        <v/>
      </c>
      <c r="Q127" s="17" t="str">
        <f aca="false">IF(P127&lt;&gt;"",MIN(0,P127-MAX($P$4:P127)),"")</f>
        <v/>
      </c>
    </row>
    <row r="128" customFormat="false" ht="15" hidden="false" customHeight="true" outlineLevel="0" collapsed="false">
      <c r="A128" s="11" t="str">
        <f aca="false">IF(B128&lt;&gt;"",COUNTA($B$4:B128),"")</f>
        <v/>
      </c>
      <c r="B128" s="12"/>
      <c r="C128" s="12"/>
      <c r="D128" s="12"/>
      <c r="E128" s="12"/>
      <c r="F128" s="12"/>
      <c r="G128" s="12"/>
      <c r="H128" s="12"/>
      <c r="I128" s="13"/>
      <c r="J128" s="12"/>
      <c r="K128" s="14" t="str">
        <f aca="false">IF(AND(I128&lt;&gt;"",H128&lt;&gt;"",J128&lt;&gt;""),IF(J128="W",I128*H128,IF(J128="L",-I128,IF(J128="P",I128*H128*0.5,""))),"")</f>
        <v/>
      </c>
      <c r="L128" s="15" t="str">
        <f aca="false">IF(AND(K128&lt;&gt;"",P127&lt;&gt;""),K128/P127,IF(K128&lt;&gt;"",K128/$D$2,""))</f>
        <v/>
      </c>
      <c r="M128" s="12"/>
      <c r="N128" s="12"/>
      <c r="O128" s="12"/>
      <c r="P128" s="16" t="str">
        <f aca="false">IF(K128&lt;&gt;"",P127+K128,IF(B128&lt;&gt;"",P127,""))</f>
        <v/>
      </c>
      <c r="Q128" s="17" t="str">
        <f aca="false">IF(P128&lt;&gt;"",MIN(0,P128-MAX($P$4:P128)),"")</f>
        <v/>
      </c>
    </row>
    <row r="129" customFormat="false" ht="15" hidden="false" customHeight="true" outlineLevel="0" collapsed="false">
      <c r="A129" s="11" t="str">
        <f aca="false">IF(B129&lt;&gt;"",COUNTA($B$4:B129),"")</f>
        <v/>
      </c>
      <c r="B129" s="20"/>
      <c r="C129" s="20"/>
      <c r="D129" s="20"/>
      <c r="E129" s="20"/>
      <c r="F129" s="20"/>
      <c r="G129" s="20"/>
      <c r="H129" s="20"/>
      <c r="I129" s="21"/>
      <c r="J129" s="20"/>
      <c r="K129" s="14" t="str">
        <f aca="false">IF(AND(I129&lt;&gt;"",H129&lt;&gt;"",J129&lt;&gt;""),IF(J129="W",I129*H129,IF(J129="L",-I129,IF(J129="P",I129*H129*0.5,""))),"")</f>
        <v/>
      </c>
      <c r="L129" s="15" t="str">
        <f aca="false">IF(AND(K129&lt;&gt;"",P128&lt;&gt;""),K129/P128,IF(K129&lt;&gt;"",K129/$D$2,""))</f>
        <v/>
      </c>
      <c r="M129" s="20"/>
      <c r="N129" s="20"/>
      <c r="O129" s="20"/>
      <c r="P129" s="16" t="str">
        <f aca="false">IF(K129&lt;&gt;"",P128+K129,IF(B129&lt;&gt;"",P128,""))</f>
        <v/>
      </c>
      <c r="Q129" s="17" t="str">
        <f aca="false">IF(P129&lt;&gt;"",MIN(0,P129-MAX($P$4:P129)),"")</f>
        <v/>
      </c>
    </row>
    <row r="130" customFormat="false" ht="15" hidden="false" customHeight="true" outlineLevel="0" collapsed="false">
      <c r="A130" s="11" t="str">
        <f aca="false">IF(B130&lt;&gt;"",COUNTA($B$4:B130),"")</f>
        <v/>
      </c>
      <c r="B130" s="12"/>
      <c r="C130" s="12"/>
      <c r="D130" s="12"/>
      <c r="E130" s="12"/>
      <c r="F130" s="12"/>
      <c r="G130" s="12"/>
      <c r="H130" s="12"/>
      <c r="I130" s="13"/>
      <c r="J130" s="12"/>
      <c r="K130" s="14" t="str">
        <f aca="false">IF(AND(I130&lt;&gt;"",H130&lt;&gt;"",J130&lt;&gt;""),IF(J130="W",I130*H130,IF(J130="L",-I130,IF(J130="P",I130*H130*0.5,""))),"")</f>
        <v/>
      </c>
      <c r="L130" s="15" t="str">
        <f aca="false">IF(AND(K130&lt;&gt;"",P129&lt;&gt;""),K130/P129,IF(K130&lt;&gt;"",K130/$D$2,""))</f>
        <v/>
      </c>
      <c r="M130" s="12"/>
      <c r="N130" s="12"/>
      <c r="O130" s="12"/>
      <c r="P130" s="16" t="str">
        <f aca="false">IF(K130&lt;&gt;"",P129+K130,IF(B130&lt;&gt;"",P129,""))</f>
        <v/>
      </c>
      <c r="Q130" s="17" t="str">
        <f aca="false">IF(P130&lt;&gt;"",MIN(0,P130-MAX($P$4:P130)),"")</f>
        <v/>
      </c>
    </row>
    <row r="131" customFormat="false" ht="15" hidden="false" customHeight="true" outlineLevel="0" collapsed="false">
      <c r="A131" s="11" t="str">
        <f aca="false">IF(B131&lt;&gt;"",COUNTA($B$4:B131),"")</f>
        <v/>
      </c>
      <c r="B131" s="20"/>
      <c r="C131" s="20"/>
      <c r="D131" s="20"/>
      <c r="E131" s="20"/>
      <c r="F131" s="20"/>
      <c r="G131" s="20"/>
      <c r="H131" s="20"/>
      <c r="I131" s="21"/>
      <c r="J131" s="20"/>
      <c r="K131" s="14" t="str">
        <f aca="false">IF(AND(I131&lt;&gt;"",H131&lt;&gt;"",J131&lt;&gt;""),IF(J131="W",I131*H131,IF(J131="L",-I131,IF(J131="P",I131*H131*0.5,""))),"")</f>
        <v/>
      </c>
      <c r="L131" s="15" t="str">
        <f aca="false">IF(AND(K131&lt;&gt;"",P130&lt;&gt;""),K131/P130,IF(K131&lt;&gt;"",K131/$D$2,""))</f>
        <v/>
      </c>
      <c r="M131" s="20"/>
      <c r="N131" s="20"/>
      <c r="O131" s="20"/>
      <c r="P131" s="16" t="str">
        <f aca="false">IF(K131&lt;&gt;"",P130+K131,IF(B131&lt;&gt;"",P130,""))</f>
        <v/>
      </c>
      <c r="Q131" s="17" t="str">
        <f aca="false">IF(P131&lt;&gt;"",MIN(0,P131-MAX($P$4:P131)),"")</f>
        <v/>
      </c>
    </row>
    <row r="132" customFormat="false" ht="15" hidden="false" customHeight="true" outlineLevel="0" collapsed="false">
      <c r="A132" s="11" t="str">
        <f aca="false">IF(B132&lt;&gt;"",COUNTA($B$4:B132),"")</f>
        <v/>
      </c>
      <c r="B132" s="12"/>
      <c r="C132" s="12"/>
      <c r="D132" s="12"/>
      <c r="E132" s="12"/>
      <c r="F132" s="12"/>
      <c r="G132" s="12"/>
      <c r="H132" s="12"/>
      <c r="I132" s="13"/>
      <c r="J132" s="12"/>
      <c r="K132" s="14" t="str">
        <f aca="false">IF(AND(I132&lt;&gt;"",H132&lt;&gt;"",J132&lt;&gt;""),IF(J132="W",I132*H132,IF(J132="L",-I132,IF(J132="P",I132*H132*0.5,""))),"")</f>
        <v/>
      </c>
      <c r="L132" s="15" t="str">
        <f aca="false">IF(AND(K132&lt;&gt;"",P131&lt;&gt;""),K132/P131,IF(K132&lt;&gt;"",K132/$D$2,""))</f>
        <v/>
      </c>
      <c r="M132" s="12"/>
      <c r="N132" s="12"/>
      <c r="O132" s="12"/>
      <c r="P132" s="16" t="str">
        <f aca="false">IF(K132&lt;&gt;"",P131+K132,IF(B132&lt;&gt;"",P131,""))</f>
        <v/>
      </c>
      <c r="Q132" s="17" t="str">
        <f aca="false">IF(P132&lt;&gt;"",MIN(0,P132-MAX($P$4:P132)),"")</f>
        <v/>
      </c>
    </row>
    <row r="133" customFormat="false" ht="15" hidden="false" customHeight="true" outlineLevel="0" collapsed="false">
      <c r="A133" s="11" t="str">
        <f aca="false">IF(B133&lt;&gt;"",COUNTA($B$4:B133),"")</f>
        <v/>
      </c>
      <c r="B133" s="20"/>
      <c r="C133" s="20"/>
      <c r="D133" s="20"/>
      <c r="E133" s="20"/>
      <c r="F133" s="20"/>
      <c r="G133" s="20"/>
      <c r="H133" s="20"/>
      <c r="I133" s="21"/>
      <c r="J133" s="20"/>
      <c r="K133" s="14" t="str">
        <f aca="false">IF(AND(I133&lt;&gt;"",H133&lt;&gt;"",J133&lt;&gt;""),IF(J133="W",I133*H133,IF(J133="L",-I133,IF(J133="P",I133*H133*0.5,""))),"")</f>
        <v/>
      </c>
      <c r="L133" s="15" t="str">
        <f aca="false">IF(AND(K133&lt;&gt;"",P132&lt;&gt;""),K133/P132,IF(K133&lt;&gt;"",K133/$D$2,""))</f>
        <v/>
      </c>
      <c r="M133" s="20"/>
      <c r="N133" s="20"/>
      <c r="O133" s="20"/>
      <c r="P133" s="16" t="str">
        <f aca="false">IF(K133&lt;&gt;"",P132+K133,IF(B133&lt;&gt;"",P132,""))</f>
        <v/>
      </c>
      <c r="Q133" s="17" t="str">
        <f aca="false">IF(P133&lt;&gt;"",MIN(0,P133-MAX($P$4:P133)),"")</f>
        <v/>
      </c>
    </row>
    <row r="134" customFormat="false" ht="15" hidden="false" customHeight="true" outlineLevel="0" collapsed="false">
      <c r="A134" s="11" t="str">
        <f aca="false">IF(B134&lt;&gt;"",COUNTA($B$4:B134),"")</f>
        <v/>
      </c>
      <c r="B134" s="12"/>
      <c r="C134" s="12"/>
      <c r="D134" s="12"/>
      <c r="E134" s="12"/>
      <c r="F134" s="12"/>
      <c r="G134" s="12"/>
      <c r="H134" s="12"/>
      <c r="I134" s="13"/>
      <c r="J134" s="12"/>
      <c r="K134" s="14" t="str">
        <f aca="false">IF(AND(I134&lt;&gt;"",H134&lt;&gt;"",J134&lt;&gt;""),IF(J134="W",I134*H134,IF(J134="L",-I134,IF(J134="P",I134*H134*0.5,""))),"")</f>
        <v/>
      </c>
      <c r="L134" s="15" t="str">
        <f aca="false">IF(AND(K134&lt;&gt;"",P133&lt;&gt;""),K134/P133,IF(K134&lt;&gt;"",K134/$D$2,""))</f>
        <v/>
      </c>
      <c r="M134" s="12"/>
      <c r="N134" s="12"/>
      <c r="O134" s="12"/>
      <c r="P134" s="16" t="str">
        <f aca="false">IF(K134&lt;&gt;"",P133+K134,IF(B134&lt;&gt;"",P133,""))</f>
        <v/>
      </c>
      <c r="Q134" s="17" t="str">
        <f aca="false">IF(P134&lt;&gt;"",MIN(0,P134-MAX($P$4:P134)),"")</f>
        <v/>
      </c>
    </row>
    <row r="135" customFormat="false" ht="15" hidden="false" customHeight="true" outlineLevel="0" collapsed="false">
      <c r="A135" s="11" t="str">
        <f aca="false">IF(B135&lt;&gt;"",COUNTA($B$4:B135),"")</f>
        <v/>
      </c>
      <c r="B135" s="20"/>
      <c r="C135" s="20"/>
      <c r="D135" s="20"/>
      <c r="E135" s="20"/>
      <c r="F135" s="20"/>
      <c r="G135" s="20"/>
      <c r="H135" s="20"/>
      <c r="I135" s="21"/>
      <c r="J135" s="20"/>
      <c r="K135" s="14" t="str">
        <f aca="false">IF(AND(I135&lt;&gt;"",H135&lt;&gt;"",J135&lt;&gt;""),IF(J135="W",I135*H135,IF(J135="L",-I135,IF(J135="P",I135*H135*0.5,""))),"")</f>
        <v/>
      </c>
      <c r="L135" s="15" t="str">
        <f aca="false">IF(AND(K135&lt;&gt;"",P134&lt;&gt;""),K135/P134,IF(K135&lt;&gt;"",K135/$D$2,""))</f>
        <v/>
      </c>
      <c r="M135" s="20"/>
      <c r="N135" s="20"/>
      <c r="O135" s="20"/>
      <c r="P135" s="16" t="str">
        <f aca="false">IF(K135&lt;&gt;"",P134+K135,IF(B135&lt;&gt;"",P134,""))</f>
        <v/>
      </c>
      <c r="Q135" s="17" t="str">
        <f aca="false">IF(P135&lt;&gt;"",MIN(0,P135-MAX($P$4:P135)),"")</f>
        <v/>
      </c>
    </row>
    <row r="136" customFormat="false" ht="15" hidden="false" customHeight="true" outlineLevel="0" collapsed="false">
      <c r="A136" s="11" t="str">
        <f aca="false">IF(B136&lt;&gt;"",COUNTA($B$4:B136),"")</f>
        <v/>
      </c>
      <c r="B136" s="12"/>
      <c r="C136" s="12"/>
      <c r="D136" s="12"/>
      <c r="E136" s="12"/>
      <c r="F136" s="12"/>
      <c r="G136" s="12"/>
      <c r="H136" s="12"/>
      <c r="I136" s="13"/>
      <c r="J136" s="12"/>
      <c r="K136" s="14" t="str">
        <f aca="false">IF(AND(I136&lt;&gt;"",H136&lt;&gt;"",J136&lt;&gt;""),IF(J136="W",I136*H136,IF(J136="L",-I136,IF(J136="P",I136*H136*0.5,""))),"")</f>
        <v/>
      </c>
      <c r="L136" s="15" t="str">
        <f aca="false">IF(AND(K136&lt;&gt;"",P135&lt;&gt;""),K136/P135,IF(K136&lt;&gt;"",K136/$D$2,""))</f>
        <v/>
      </c>
      <c r="M136" s="12"/>
      <c r="N136" s="12"/>
      <c r="O136" s="12"/>
      <c r="P136" s="16" t="str">
        <f aca="false">IF(K136&lt;&gt;"",P135+K136,IF(B136&lt;&gt;"",P135,""))</f>
        <v/>
      </c>
      <c r="Q136" s="17" t="str">
        <f aca="false">IF(P136&lt;&gt;"",MIN(0,P136-MAX($P$4:P136)),"")</f>
        <v/>
      </c>
    </row>
    <row r="137" customFormat="false" ht="15" hidden="false" customHeight="true" outlineLevel="0" collapsed="false">
      <c r="A137" s="11" t="str">
        <f aca="false">IF(B137&lt;&gt;"",COUNTA($B$4:B137),"")</f>
        <v/>
      </c>
      <c r="B137" s="20"/>
      <c r="C137" s="20"/>
      <c r="D137" s="20"/>
      <c r="E137" s="20"/>
      <c r="F137" s="20"/>
      <c r="G137" s="20"/>
      <c r="H137" s="20"/>
      <c r="I137" s="21"/>
      <c r="J137" s="20"/>
      <c r="K137" s="14" t="str">
        <f aca="false">IF(AND(I137&lt;&gt;"",H137&lt;&gt;"",J137&lt;&gt;""),IF(J137="W",I137*H137,IF(J137="L",-I137,IF(J137="P",I137*H137*0.5,""))),"")</f>
        <v/>
      </c>
      <c r="L137" s="15" t="str">
        <f aca="false">IF(AND(K137&lt;&gt;"",P136&lt;&gt;""),K137/P136,IF(K137&lt;&gt;"",K137/$D$2,""))</f>
        <v/>
      </c>
      <c r="M137" s="20"/>
      <c r="N137" s="20"/>
      <c r="O137" s="20"/>
      <c r="P137" s="16" t="str">
        <f aca="false">IF(K137&lt;&gt;"",P136+K137,IF(B137&lt;&gt;"",P136,""))</f>
        <v/>
      </c>
      <c r="Q137" s="17" t="str">
        <f aca="false">IF(P137&lt;&gt;"",MIN(0,P137-MAX($P$4:P137)),"")</f>
        <v/>
      </c>
    </row>
    <row r="138" customFormat="false" ht="15" hidden="false" customHeight="true" outlineLevel="0" collapsed="false">
      <c r="A138" s="11" t="str">
        <f aca="false">IF(B138&lt;&gt;"",COUNTA($B$4:B138),"")</f>
        <v/>
      </c>
      <c r="B138" s="12"/>
      <c r="C138" s="12"/>
      <c r="D138" s="12"/>
      <c r="E138" s="12"/>
      <c r="F138" s="12"/>
      <c r="G138" s="12"/>
      <c r="H138" s="12"/>
      <c r="I138" s="13"/>
      <c r="J138" s="12"/>
      <c r="K138" s="14" t="str">
        <f aca="false">IF(AND(I138&lt;&gt;"",H138&lt;&gt;"",J138&lt;&gt;""),IF(J138="W",I138*H138,IF(J138="L",-I138,IF(J138="P",I138*H138*0.5,""))),"")</f>
        <v/>
      </c>
      <c r="L138" s="15" t="str">
        <f aca="false">IF(AND(K138&lt;&gt;"",P137&lt;&gt;""),K138/P137,IF(K138&lt;&gt;"",K138/$D$2,""))</f>
        <v/>
      </c>
      <c r="M138" s="12"/>
      <c r="N138" s="12"/>
      <c r="O138" s="12"/>
      <c r="P138" s="16" t="str">
        <f aca="false">IF(K138&lt;&gt;"",P137+K138,IF(B138&lt;&gt;"",P137,""))</f>
        <v/>
      </c>
      <c r="Q138" s="17" t="str">
        <f aca="false">IF(P138&lt;&gt;"",MIN(0,P138-MAX($P$4:P138)),"")</f>
        <v/>
      </c>
    </row>
    <row r="139" customFormat="false" ht="15" hidden="false" customHeight="true" outlineLevel="0" collapsed="false">
      <c r="A139" s="11" t="str">
        <f aca="false">IF(B139&lt;&gt;"",COUNTA($B$4:B139),"")</f>
        <v/>
      </c>
      <c r="B139" s="20"/>
      <c r="C139" s="20"/>
      <c r="D139" s="20"/>
      <c r="E139" s="20"/>
      <c r="F139" s="20"/>
      <c r="G139" s="20"/>
      <c r="H139" s="20"/>
      <c r="I139" s="21"/>
      <c r="J139" s="20"/>
      <c r="K139" s="14" t="str">
        <f aca="false">IF(AND(I139&lt;&gt;"",H139&lt;&gt;"",J139&lt;&gt;""),IF(J139="W",I139*H139,IF(J139="L",-I139,IF(J139="P",I139*H139*0.5,""))),"")</f>
        <v/>
      </c>
      <c r="L139" s="15" t="str">
        <f aca="false">IF(AND(K139&lt;&gt;"",P138&lt;&gt;""),K139/P138,IF(K139&lt;&gt;"",K139/$D$2,""))</f>
        <v/>
      </c>
      <c r="M139" s="20"/>
      <c r="N139" s="20"/>
      <c r="O139" s="20"/>
      <c r="P139" s="16" t="str">
        <f aca="false">IF(K139&lt;&gt;"",P138+K139,IF(B139&lt;&gt;"",P138,""))</f>
        <v/>
      </c>
      <c r="Q139" s="17" t="str">
        <f aca="false">IF(P139&lt;&gt;"",MIN(0,P139-MAX($P$4:P139)),"")</f>
        <v/>
      </c>
    </row>
    <row r="140" customFormat="false" ht="15" hidden="false" customHeight="true" outlineLevel="0" collapsed="false">
      <c r="A140" s="11" t="str">
        <f aca="false">IF(B140&lt;&gt;"",COUNTA($B$4:B140),"")</f>
        <v/>
      </c>
      <c r="B140" s="12"/>
      <c r="C140" s="12"/>
      <c r="D140" s="12"/>
      <c r="E140" s="12"/>
      <c r="F140" s="12"/>
      <c r="G140" s="12"/>
      <c r="H140" s="12"/>
      <c r="I140" s="13"/>
      <c r="J140" s="12"/>
      <c r="K140" s="14" t="str">
        <f aca="false">IF(AND(I140&lt;&gt;"",H140&lt;&gt;"",J140&lt;&gt;""),IF(J140="W",I140*H140,IF(J140="L",-I140,IF(J140="P",I140*H140*0.5,""))),"")</f>
        <v/>
      </c>
      <c r="L140" s="15" t="str">
        <f aca="false">IF(AND(K140&lt;&gt;"",P139&lt;&gt;""),K140/P139,IF(K140&lt;&gt;"",K140/$D$2,""))</f>
        <v/>
      </c>
      <c r="M140" s="12"/>
      <c r="N140" s="12"/>
      <c r="O140" s="12"/>
      <c r="P140" s="16" t="str">
        <f aca="false">IF(K140&lt;&gt;"",P139+K140,IF(B140&lt;&gt;"",P139,""))</f>
        <v/>
      </c>
      <c r="Q140" s="17" t="str">
        <f aca="false">IF(P140&lt;&gt;"",MIN(0,P140-MAX($P$4:P140)),"")</f>
        <v/>
      </c>
    </row>
    <row r="141" customFormat="false" ht="15" hidden="false" customHeight="true" outlineLevel="0" collapsed="false">
      <c r="A141" s="11" t="str">
        <f aca="false">IF(B141&lt;&gt;"",COUNTA($B$4:B141),"")</f>
        <v/>
      </c>
      <c r="B141" s="20"/>
      <c r="C141" s="20"/>
      <c r="D141" s="20"/>
      <c r="E141" s="20"/>
      <c r="F141" s="20"/>
      <c r="G141" s="20"/>
      <c r="H141" s="20"/>
      <c r="I141" s="21"/>
      <c r="J141" s="20"/>
      <c r="K141" s="14" t="str">
        <f aca="false">IF(AND(I141&lt;&gt;"",H141&lt;&gt;"",J141&lt;&gt;""),IF(J141="W",I141*H141,IF(J141="L",-I141,IF(J141="P",I141*H141*0.5,""))),"")</f>
        <v/>
      </c>
      <c r="L141" s="15" t="str">
        <f aca="false">IF(AND(K141&lt;&gt;"",P140&lt;&gt;""),K141/P140,IF(K141&lt;&gt;"",K141/$D$2,""))</f>
        <v/>
      </c>
      <c r="M141" s="20"/>
      <c r="N141" s="20"/>
      <c r="O141" s="20"/>
      <c r="P141" s="16" t="str">
        <f aca="false">IF(K141&lt;&gt;"",P140+K141,IF(B141&lt;&gt;"",P140,""))</f>
        <v/>
      </c>
      <c r="Q141" s="17" t="str">
        <f aca="false">IF(P141&lt;&gt;"",MIN(0,P141-MAX($P$4:P141)),"")</f>
        <v/>
      </c>
    </row>
    <row r="142" customFormat="false" ht="15" hidden="false" customHeight="true" outlineLevel="0" collapsed="false">
      <c r="A142" s="11" t="str">
        <f aca="false">IF(B142&lt;&gt;"",COUNTA($B$4:B142),"")</f>
        <v/>
      </c>
      <c r="B142" s="12"/>
      <c r="C142" s="12"/>
      <c r="D142" s="12"/>
      <c r="E142" s="12"/>
      <c r="F142" s="12"/>
      <c r="G142" s="12"/>
      <c r="H142" s="12"/>
      <c r="I142" s="13"/>
      <c r="J142" s="12"/>
      <c r="K142" s="14" t="str">
        <f aca="false">IF(AND(I142&lt;&gt;"",H142&lt;&gt;"",J142&lt;&gt;""),IF(J142="W",I142*H142,IF(J142="L",-I142,IF(J142="P",I142*H142*0.5,""))),"")</f>
        <v/>
      </c>
      <c r="L142" s="15" t="str">
        <f aca="false">IF(AND(K142&lt;&gt;"",P141&lt;&gt;""),K142/P141,IF(K142&lt;&gt;"",K142/$D$2,""))</f>
        <v/>
      </c>
      <c r="M142" s="12"/>
      <c r="N142" s="12"/>
      <c r="O142" s="12"/>
      <c r="P142" s="16" t="str">
        <f aca="false">IF(K142&lt;&gt;"",P141+K142,IF(B142&lt;&gt;"",P141,""))</f>
        <v/>
      </c>
      <c r="Q142" s="17" t="str">
        <f aca="false">IF(P142&lt;&gt;"",MIN(0,P142-MAX($P$4:P142)),"")</f>
        <v/>
      </c>
    </row>
    <row r="143" customFormat="false" ht="15" hidden="false" customHeight="true" outlineLevel="0" collapsed="false">
      <c r="A143" s="11" t="str">
        <f aca="false">IF(B143&lt;&gt;"",COUNTA($B$4:B143),"")</f>
        <v/>
      </c>
      <c r="B143" s="20"/>
      <c r="C143" s="20"/>
      <c r="D143" s="20"/>
      <c r="E143" s="20"/>
      <c r="F143" s="20"/>
      <c r="G143" s="20"/>
      <c r="H143" s="20"/>
      <c r="I143" s="21"/>
      <c r="J143" s="20"/>
      <c r="K143" s="14" t="str">
        <f aca="false">IF(AND(I143&lt;&gt;"",H143&lt;&gt;"",J143&lt;&gt;""),IF(J143="W",I143*H143,IF(J143="L",-I143,IF(J143="P",I143*H143*0.5,""))),"")</f>
        <v/>
      </c>
      <c r="L143" s="15" t="str">
        <f aca="false">IF(AND(K143&lt;&gt;"",P142&lt;&gt;""),K143/P142,IF(K143&lt;&gt;"",K143/$D$2,""))</f>
        <v/>
      </c>
      <c r="M143" s="20"/>
      <c r="N143" s="20"/>
      <c r="O143" s="20"/>
      <c r="P143" s="16" t="str">
        <f aca="false">IF(K143&lt;&gt;"",P142+K143,IF(B143&lt;&gt;"",P142,""))</f>
        <v/>
      </c>
      <c r="Q143" s="17" t="str">
        <f aca="false">IF(P143&lt;&gt;"",MIN(0,P143-MAX($P$4:P143)),"")</f>
        <v/>
      </c>
    </row>
    <row r="144" customFormat="false" ht="15" hidden="false" customHeight="true" outlineLevel="0" collapsed="false">
      <c r="A144" s="11" t="str">
        <f aca="false">IF(B144&lt;&gt;"",COUNTA($B$4:B144),"")</f>
        <v/>
      </c>
      <c r="B144" s="12"/>
      <c r="C144" s="12"/>
      <c r="D144" s="12"/>
      <c r="E144" s="12"/>
      <c r="F144" s="12"/>
      <c r="G144" s="12"/>
      <c r="H144" s="12"/>
      <c r="I144" s="13"/>
      <c r="J144" s="12"/>
      <c r="K144" s="14" t="str">
        <f aca="false">IF(AND(I144&lt;&gt;"",H144&lt;&gt;"",J144&lt;&gt;""),IF(J144="W",I144*H144,IF(J144="L",-I144,IF(J144="P",I144*H144*0.5,""))),"")</f>
        <v/>
      </c>
      <c r="L144" s="15" t="str">
        <f aca="false">IF(AND(K144&lt;&gt;"",P143&lt;&gt;""),K144/P143,IF(K144&lt;&gt;"",K144/$D$2,""))</f>
        <v/>
      </c>
      <c r="M144" s="12"/>
      <c r="N144" s="12"/>
      <c r="O144" s="12"/>
      <c r="P144" s="16" t="str">
        <f aca="false">IF(K144&lt;&gt;"",P143+K144,IF(B144&lt;&gt;"",P143,""))</f>
        <v/>
      </c>
      <c r="Q144" s="17" t="str">
        <f aca="false">IF(P144&lt;&gt;"",MIN(0,P144-MAX($P$4:P144)),"")</f>
        <v/>
      </c>
    </row>
    <row r="145" customFormat="false" ht="15" hidden="false" customHeight="true" outlineLevel="0" collapsed="false">
      <c r="A145" s="11" t="str">
        <f aca="false">IF(B145&lt;&gt;"",COUNTA($B$4:B145),"")</f>
        <v/>
      </c>
      <c r="B145" s="20"/>
      <c r="C145" s="20"/>
      <c r="D145" s="20"/>
      <c r="E145" s="20"/>
      <c r="F145" s="20"/>
      <c r="G145" s="20"/>
      <c r="H145" s="20"/>
      <c r="I145" s="21"/>
      <c r="J145" s="20"/>
      <c r="K145" s="14" t="str">
        <f aca="false">IF(AND(I145&lt;&gt;"",H145&lt;&gt;"",J145&lt;&gt;""),IF(J145="W",I145*H145,IF(J145="L",-I145,IF(J145="P",I145*H145*0.5,""))),"")</f>
        <v/>
      </c>
      <c r="L145" s="15" t="str">
        <f aca="false">IF(AND(K145&lt;&gt;"",P144&lt;&gt;""),K145/P144,IF(K145&lt;&gt;"",K145/$D$2,""))</f>
        <v/>
      </c>
      <c r="M145" s="20"/>
      <c r="N145" s="20"/>
      <c r="O145" s="20"/>
      <c r="P145" s="16" t="str">
        <f aca="false">IF(K145&lt;&gt;"",P144+K145,IF(B145&lt;&gt;"",P144,""))</f>
        <v/>
      </c>
      <c r="Q145" s="17" t="str">
        <f aca="false">IF(P145&lt;&gt;"",MIN(0,P145-MAX($P$4:P145)),"")</f>
        <v/>
      </c>
    </row>
    <row r="146" customFormat="false" ht="15" hidden="false" customHeight="true" outlineLevel="0" collapsed="false">
      <c r="A146" s="11" t="str">
        <f aca="false">IF(B146&lt;&gt;"",COUNTA($B$4:B146),"")</f>
        <v/>
      </c>
      <c r="B146" s="12"/>
      <c r="C146" s="12"/>
      <c r="D146" s="12"/>
      <c r="E146" s="12"/>
      <c r="F146" s="12"/>
      <c r="G146" s="12"/>
      <c r="H146" s="12"/>
      <c r="I146" s="13"/>
      <c r="J146" s="12"/>
      <c r="K146" s="14" t="str">
        <f aca="false">IF(AND(I146&lt;&gt;"",H146&lt;&gt;"",J146&lt;&gt;""),IF(J146="W",I146*H146,IF(J146="L",-I146,IF(J146="P",I146*H146*0.5,""))),"")</f>
        <v/>
      </c>
      <c r="L146" s="15" t="str">
        <f aca="false">IF(AND(K146&lt;&gt;"",P145&lt;&gt;""),K146/P145,IF(K146&lt;&gt;"",K146/$D$2,""))</f>
        <v/>
      </c>
      <c r="M146" s="12"/>
      <c r="N146" s="12"/>
      <c r="O146" s="12"/>
      <c r="P146" s="16" t="str">
        <f aca="false">IF(K146&lt;&gt;"",P145+K146,IF(B146&lt;&gt;"",P145,""))</f>
        <v/>
      </c>
      <c r="Q146" s="17" t="str">
        <f aca="false">IF(P146&lt;&gt;"",MIN(0,P146-MAX($P$4:P146)),"")</f>
        <v/>
      </c>
    </row>
    <row r="147" customFormat="false" ht="15" hidden="false" customHeight="true" outlineLevel="0" collapsed="false">
      <c r="A147" s="11" t="str">
        <f aca="false">IF(B147&lt;&gt;"",COUNTA($B$4:B147),"")</f>
        <v/>
      </c>
      <c r="B147" s="20"/>
      <c r="C147" s="20"/>
      <c r="D147" s="20"/>
      <c r="E147" s="20"/>
      <c r="F147" s="20"/>
      <c r="G147" s="20"/>
      <c r="H147" s="20"/>
      <c r="I147" s="21"/>
      <c r="J147" s="20"/>
      <c r="K147" s="14" t="str">
        <f aca="false">IF(AND(I147&lt;&gt;"",H147&lt;&gt;"",J147&lt;&gt;""),IF(J147="W",I147*H147,IF(J147="L",-I147,IF(J147="P",I147*H147*0.5,""))),"")</f>
        <v/>
      </c>
      <c r="L147" s="15" t="str">
        <f aca="false">IF(AND(K147&lt;&gt;"",P146&lt;&gt;""),K147/P146,IF(K147&lt;&gt;"",K147/$D$2,""))</f>
        <v/>
      </c>
      <c r="M147" s="20"/>
      <c r="N147" s="20"/>
      <c r="O147" s="20"/>
      <c r="P147" s="16" t="str">
        <f aca="false">IF(K147&lt;&gt;"",P146+K147,IF(B147&lt;&gt;"",P146,""))</f>
        <v/>
      </c>
      <c r="Q147" s="17" t="str">
        <f aca="false">IF(P147&lt;&gt;"",MIN(0,P147-MAX($P$4:P147)),"")</f>
        <v/>
      </c>
    </row>
    <row r="148" customFormat="false" ht="15" hidden="false" customHeight="true" outlineLevel="0" collapsed="false">
      <c r="A148" s="11" t="str">
        <f aca="false">IF(B148&lt;&gt;"",COUNTA($B$4:B148),"")</f>
        <v/>
      </c>
      <c r="B148" s="12"/>
      <c r="C148" s="12"/>
      <c r="D148" s="12"/>
      <c r="E148" s="12"/>
      <c r="F148" s="12"/>
      <c r="G148" s="12"/>
      <c r="H148" s="12"/>
      <c r="I148" s="13"/>
      <c r="J148" s="12"/>
      <c r="K148" s="14" t="str">
        <f aca="false">IF(AND(I148&lt;&gt;"",H148&lt;&gt;"",J148&lt;&gt;""),IF(J148="W",I148*H148,IF(J148="L",-I148,IF(J148="P",I148*H148*0.5,""))),"")</f>
        <v/>
      </c>
      <c r="L148" s="15" t="str">
        <f aca="false">IF(AND(K148&lt;&gt;"",P147&lt;&gt;""),K148/P147,IF(K148&lt;&gt;"",K148/$D$2,""))</f>
        <v/>
      </c>
      <c r="M148" s="12"/>
      <c r="N148" s="12"/>
      <c r="O148" s="12"/>
      <c r="P148" s="16" t="str">
        <f aca="false">IF(K148&lt;&gt;"",P147+K148,IF(B148&lt;&gt;"",P147,""))</f>
        <v/>
      </c>
      <c r="Q148" s="17" t="str">
        <f aca="false">IF(P148&lt;&gt;"",MIN(0,P148-MAX($P$4:P148)),"")</f>
        <v/>
      </c>
    </row>
    <row r="149" customFormat="false" ht="15" hidden="false" customHeight="true" outlineLevel="0" collapsed="false">
      <c r="A149" s="11" t="str">
        <f aca="false">IF(B149&lt;&gt;"",COUNTA($B$4:B149),"")</f>
        <v/>
      </c>
      <c r="B149" s="20"/>
      <c r="C149" s="20"/>
      <c r="D149" s="20"/>
      <c r="E149" s="20"/>
      <c r="F149" s="20"/>
      <c r="G149" s="20"/>
      <c r="H149" s="20"/>
      <c r="I149" s="21"/>
      <c r="J149" s="20"/>
      <c r="K149" s="14" t="str">
        <f aca="false">IF(AND(I149&lt;&gt;"",H149&lt;&gt;"",J149&lt;&gt;""),IF(J149="W",I149*H149,IF(J149="L",-I149,IF(J149="P",I149*H149*0.5,""))),"")</f>
        <v/>
      </c>
      <c r="L149" s="15" t="str">
        <f aca="false">IF(AND(K149&lt;&gt;"",P148&lt;&gt;""),K149/P148,IF(K149&lt;&gt;"",K149/$D$2,""))</f>
        <v/>
      </c>
      <c r="M149" s="20"/>
      <c r="N149" s="20"/>
      <c r="O149" s="20"/>
      <c r="P149" s="16" t="str">
        <f aca="false">IF(K149&lt;&gt;"",P148+K149,IF(B149&lt;&gt;"",P148,""))</f>
        <v/>
      </c>
      <c r="Q149" s="17" t="str">
        <f aca="false">IF(P149&lt;&gt;"",MIN(0,P149-MAX($P$4:P149)),"")</f>
        <v/>
      </c>
    </row>
    <row r="150" customFormat="false" ht="15" hidden="false" customHeight="true" outlineLevel="0" collapsed="false">
      <c r="A150" s="11" t="str">
        <f aca="false">IF(B150&lt;&gt;"",COUNTA($B$4:B150),"")</f>
        <v/>
      </c>
      <c r="B150" s="12"/>
      <c r="C150" s="12"/>
      <c r="D150" s="12"/>
      <c r="E150" s="12"/>
      <c r="F150" s="12"/>
      <c r="G150" s="12"/>
      <c r="H150" s="12"/>
      <c r="I150" s="13"/>
      <c r="J150" s="12"/>
      <c r="K150" s="14" t="str">
        <f aca="false">IF(AND(I150&lt;&gt;"",H150&lt;&gt;"",J150&lt;&gt;""),IF(J150="W",I150*H150,IF(J150="L",-I150,IF(J150="P",I150*H150*0.5,""))),"")</f>
        <v/>
      </c>
      <c r="L150" s="15" t="str">
        <f aca="false">IF(AND(K150&lt;&gt;"",P149&lt;&gt;""),K150/P149,IF(K150&lt;&gt;"",K150/$D$2,""))</f>
        <v/>
      </c>
      <c r="M150" s="12"/>
      <c r="N150" s="12"/>
      <c r="O150" s="12"/>
      <c r="P150" s="16" t="str">
        <f aca="false">IF(K150&lt;&gt;"",P149+K150,IF(B150&lt;&gt;"",P149,""))</f>
        <v/>
      </c>
      <c r="Q150" s="17" t="str">
        <f aca="false">IF(P150&lt;&gt;"",MIN(0,P150-MAX($P$4:P150)),"")</f>
        <v/>
      </c>
    </row>
    <row r="151" customFormat="false" ht="15" hidden="false" customHeight="true" outlineLevel="0" collapsed="false">
      <c r="A151" s="11" t="str">
        <f aca="false">IF(B151&lt;&gt;"",COUNTA($B$4:B151),"")</f>
        <v/>
      </c>
      <c r="B151" s="20"/>
      <c r="C151" s="20"/>
      <c r="D151" s="20"/>
      <c r="E151" s="20"/>
      <c r="F151" s="20"/>
      <c r="G151" s="20"/>
      <c r="H151" s="20"/>
      <c r="I151" s="21"/>
      <c r="J151" s="20"/>
      <c r="K151" s="14" t="str">
        <f aca="false">IF(AND(I151&lt;&gt;"",H151&lt;&gt;"",J151&lt;&gt;""),IF(J151="W",I151*H151,IF(J151="L",-I151,IF(J151="P",I151*H151*0.5,""))),"")</f>
        <v/>
      </c>
      <c r="L151" s="15" t="str">
        <f aca="false">IF(AND(K151&lt;&gt;"",P150&lt;&gt;""),K151/P150,IF(K151&lt;&gt;"",K151/$D$2,""))</f>
        <v/>
      </c>
      <c r="M151" s="20"/>
      <c r="N151" s="20"/>
      <c r="O151" s="20"/>
      <c r="P151" s="16" t="str">
        <f aca="false">IF(K151&lt;&gt;"",P150+K151,IF(B151&lt;&gt;"",P150,""))</f>
        <v/>
      </c>
      <c r="Q151" s="17" t="str">
        <f aca="false">IF(P151&lt;&gt;"",MIN(0,P151-MAX($P$4:P151)),"")</f>
        <v/>
      </c>
    </row>
    <row r="152" customFormat="false" ht="15" hidden="false" customHeight="true" outlineLevel="0" collapsed="false">
      <c r="A152" s="11" t="str">
        <f aca="false">IF(B152&lt;&gt;"",COUNTA($B$4:B152),"")</f>
        <v/>
      </c>
      <c r="B152" s="12"/>
      <c r="C152" s="12"/>
      <c r="D152" s="12"/>
      <c r="E152" s="12"/>
      <c r="F152" s="12"/>
      <c r="G152" s="12"/>
      <c r="H152" s="12"/>
      <c r="I152" s="13"/>
      <c r="J152" s="12"/>
      <c r="K152" s="14" t="str">
        <f aca="false">IF(AND(I152&lt;&gt;"",H152&lt;&gt;"",J152&lt;&gt;""),IF(J152="W",I152*H152,IF(J152="L",-I152,IF(J152="P",I152*H152*0.5,""))),"")</f>
        <v/>
      </c>
      <c r="L152" s="15" t="str">
        <f aca="false">IF(AND(K152&lt;&gt;"",P151&lt;&gt;""),K152/P151,IF(K152&lt;&gt;"",K152/$D$2,""))</f>
        <v/>
      </c>
      <c r="M152" s="12"/>
      <c r="N152" s="12"/>
      <c r="O152" s="12"/>
      <c r="P152" s="16" t="str">
        <f aca="false">IF(K152&lt;&gt;"",P151+K152,IF(B152&lt;&gt;"",P151,""))</f>
        <v/>
      </c>
      <c r="Q152" s="17" t="str">
        <f aca="false">IF(P152&lt;&gt;"",MIN(0,P152-MAX($P$4:P152)),"")</f>
        <v/>
      </c>
    </row>
    <row r="153" customFormat="false" ht="15" hidden="false" customHeight="true" outlineLevel="0" collapsed="false">
      <c r="A153" s="11" t="str">
        <f aca="false">IF(B153&lt;&gt;"",COUNTA($B$4:B153),"")</f>
        <v/>
      </c>
      <c r="B153" s="20"/>
      <c r="C153" s="20"/>
      <c r="D153" s="20"/>
      <c r="E153" s="20"/>
      <c r="F153" s="20"/>
      <c r="G153" s="20"/>
      <c r="H153" s="20"/>
      <c r="I153" s="21"/>
      <c r="J153" s="20"/>
      <c r="K153" s="14" t="str">
        <f aca="false">IF(AND(I153&lt;&gt;"",H153&lt;&gt;"",J153&lt;&gt;""),IF(J153="W",I153*H153,IF(J153="L",-I153,IF(J153="P",I153*H153*0.5,""))),"")</f>
        <v/>
      </c>
      <c r="L153" s="15" t="str">
        <f aca="false">IF(AND(K153&lt;&gt;"",P152&lt;&gt;""),K153/P152,IF(K153&lt;&gt;"",K153/$D$2,""))</f>
        <v/>
      </c>
      <c r="M153" s="20"/>
      <c r="N153" s="20"/>
      <c r="O153" s="20"/>
      <c r="P153" s="16" t="str">
        <f aca="false">IF(K153&lt;&gt;"",P152+K153,IF(B153&lt;&gt;"",P152,""))</f>
        <v/>
      </c>
      <c r="Q153" s="17" t="str">
        <f aca="false">IF(P153&lt;&gt;"",MIN(0,P153-MAX($P$4:P153)),"")</f>
        <v/>
      </c>
    </row>
    <row r="154" customFormat="false" ht="15" hidden="false" customHeight="true" outlineLevel="0" collapsed="false">
      <c r="A154" s="11" t="str">
        <f aca="false">IF(B154&lt;&gt;"",COUNTA($B$4:B154),"")</f>
        <v/>
      </c>
      <c r="B154" s="12"/>
      <c r="C154" s="12"/>
      <c r="D154" s="12"/>
      <c r="E154" s="12"/>
      <c r="F154" s="12"/>
      <c r="G154" s="12"/>
      <c r="H154" s="12"/>
      <c r="I154" s="13"/>
      <c r="J154" s="12"/>
      <c r="K154" s="14" t="str">
        <f aca="false">IF(AND(I154&lt;&gt;"",H154&lt;&gt;"",J154&lt;&gt;""),IF(J154="W",I154*H154,IF(J154="L",-I154,IF(J154="P",I154*H154*0.5,""))),"")</f>
        <v/>
      </c>
      <c r="L154" s="15" t="str">
        <f aca="false">IF(AND(K154&lt;&gt;"",P153&lt;&gt;""),K154/P153,IF(K154&lt;&gt;"",K154/$D$2,""))</f>
        <v/>
      </c>
      <c r="M154" s="12"/>
      <c r="N154" s="12"/>
      <c r="O154" s="12"/>
      <c r="P154" s="16" t="str">
        <f aca="false">IF(K154&lt;&gt;"",P153+K154,IF(B154&lt;&gt;"",P153,""))</f>
        <v/>
      </c>
      <c r="Q154" s="17" t="str">
        <f aca="false">IF(P154&lt;&gt;"",MIN(0,P154-MAX($P$4:P154)),"")</f>
        <v/>
      </c>
    </row>
    <row r="155" customFormat="false" ht="15" hidden="false" customHeight="true" outlineLevel="0" collapsed="false">
      <c r="A155" s="11" t="str">
        <f aca="false">IF(B155&lt;&gt;"",COUNTA($B$4:B155),"")</f>
        <v/>
      </c>
      <c r="B155" s="20"/>
      <c r="C155" s="20"/>
      <c r="D155" s="20"/>
      <c r="E155" s="20"/>
      <c r="F155" s="20"/>
      <c r="G155" s="20"/>
      <c r="H155" s="20"/>
      <c r="I155" s="21"/>
      <c r="J155" s="20"/>
      <c r="K155" s="14" t="str">
        <f aca="false">IF(AND(I155&lt;&gt;"",H155&lt;&gt;"",J155&lt;&gt;""),IF(J155="W",I155*H155,IF(J155="L",-I155,IF(J155="P",I155*H155*0.5,""))),"")</f>
        <v/>
      </c>
      <c r="L155" s="15" t="str">
        <f aca="false">IF(AND(K155&lt;&gt;"",P154&lt;&gt;""),K155/P154,IF(K155&lt;&gt;"",K155/$D$2,""))</f>
        <v/>
      </c>
      <c r="M155" s="20"/>
      <c r="N155" s="20"/>
      <c r="O155" s="20"/>
      <c r="P155" s="16" t="str">
        <f aca="false">IF(K155&lt;&gt;"",P154+K155,IF(B155&lt;&gt;"",P154,""))</f>
        <v/>
      </c>
      <c r="Q155" s="17" t="str">
        <f aca="false">IF(P155&lt;&gt;"",MIN(0,P155-MAX($P$4:P155)),"")</f>
        <v/>
      </c>
    </row>
    <row r="156" customFormat="false" ht="15" hidden="false" customHeight="true" outlineLevel="0" collapsed="false">
      <c r="A156" s="11" t="str">
        <f aca="false">IF(B156&lt;&gt;"",COUNTA($B$4:B156),"")</f>
        <v/>
      </c>
      <c r="B156" s="12"/>
      <c r="C156" s="12"/>
      <c r="D156" s="12"/>
      <c r="E156" s="12"/>
      <c r="F156" s="12"/>
      <c r="G156" s="12"/>
      <c r="H156" s="12"/>
      <c r="I156" s="13"/>
      <c r="J156" s="12"/>
      <c r="K156" s="14" t="str">
        <f aca="false">IF(AND(I156&lt;&gt;"",H156&lt;&gt;"",J156&lt;&gt;""),IF(J156="W",I156*H156,IF(J156="L",-I156,IF(J156="P",I156*H156*0.5,""))),"")</f>
        <v/>
      </c>
      <c r="L156" s="15" t="str">
        <f aca="false">IF(AND(K156&lt;&gt;"",P155&lt;&gt;""),K156/P155,IF(K156&lt;&gt;"",K156/$D$2,""))</f>
        <v/>
      </c>
      <c r="M156" s="12"/>
      <c r="N156" s="12"/>
      <c r="O156" s="12"/>
      <c r="P156" s="16" t="str">
        <f aca="false">IF(K156&lt;&gt;"",P155+K156,IF(B156&lt;&gt;"",P155,""))</f>
        <v/>
      </c>
      <c r="Q156" s="17" t="str">
        <f aca="false">IF(P156&lt;&gt;"",MIN(0,P156-MAX($P$4:P156)),"")</f>
        <v/>
      </c>
    </row>
    <row r="157" customFormat="false" ht="15" hidden="false" customHeight="true" outlineLevel="0" collapsed="false">
      <c r="A157" s="11" t="str">
        <f aca="false">IF(B157&lt;&gt;"",COUNTA($B$4:B157),"")</f>
        <v/>
      </c>
      <c r="B157" s="20"/>
      <c r="C157" s="20"/>
      <c r="D157" s="20"/>
      <c r="E157" s="20"/>
      <c r="F157" s="20"/>
      <c r="G157" s="20"/>
      <c r="H157" s="20"/>
      <c r="I157" s="21"/>
      <c r="J157" s="20"/>
      <c r="K157" s="14" t="str">
        <f aca="false">IF(AND(I157&lt;&gt;"",H157&lt;&gt;"",J157&lt;&gt;""),IF(J157="W",I157*H157,IF(J157="L",-I157,IF(J157="P",I157*H157*0.5,""))),"")</f>
        <v/>
      </c>
      <c r="L157" s="15" t="str">
        <f aca="false">IF(AND(K157&lt;&gt;"",P156&lt;&gt;""),K157/P156,IF(K157&lt;&gt;"",K157/$D$2,""))</f>
        <v/>
      </c>
      <c r="M157" s="20"/>
      <c r="N157" s="20"/>
      <c r="O157" s="20"/>
      <c r="P157" s="16" t="str">
        <f aca="false">IF(K157&lt;&gt;"",P156+K157,IF(B157&lt;&gt;"",P156,""))</f>
        <v/>
      </c>
      <c r="Q157" s="17" t="str">
        <f aca="false">IF(P157&lt;&gt;"",MIN(0,P157-MAX($P$4:P157)),"")</f>
        <v/>
      </c>
    </row>
    <row r="158" customFormat="false" ht="15" hidden="false" customHeight="true" outlineLevel="0" collapsed="false">
      <c r="A158" s="11" t="str">
        <f aca="false">IF(B158&lt;&gt;"",COUNTA($B$4:B158),"")</f>
        <v/>
      </c>
      <c r="B158" s="12"/>
      <c r="C158" s="12"/>
      <c r="D158" s="12"/>
      <c r="E158" s="12"/>
      <c r="F158" s="12"/>
      <c r="G158" s="12"/>
      <c r="H158" s="12"/>
      <c r="I158" s="13"/>
      <c r="J158" s="12"/>
      <c r="K158" s="14" t="str">
        <f aca="false">IF(AND(I158&lt;&gt;"",H158&lt;&gt;"",J158&lt;&gt;""),IF(J158="W",I158*H158,IF(J158="L",-I158,IF(J158="P",I158*H158*0.5,""))),"")</f>
        <v/>
      </c>
      <c r="L158" s="15" t="str">
        <f aca="false">IF(AND(K158&lt;&gt;"",P157&lt;&gt;""),K158/P157,IF(K158&lt;&gt;"",K158/$D$2,""))</f>
        <v/>
      </c>
      <c r="M158" s="12"/>
      <c r="N158" s="12"/>
      <c r="O158" s="12"/>
      <c r="P158" s="16" t="str">
        <f aca="false">IF(K158&lt;&gt;"",P157+K158,IF(B158&lt;&gt;"",P157,""))</f>
        <v/>
      </c>
      <c r="Q158" s="17" t="str">
        <f aca="false">IF(P158&lt;&gt;"",MIN(0,P158-MAX($P$4:P158)),"")</f>
        <v/>
      </c>
    </row>
    <row r="159" customFormat="false" ht="15" hidden="false" customHeight="true" outlineLevel="0" collapsed="false">
      <c r="A159" s="11" t="str">
        <f aca="false">IF(B159&lt;&gt;"",COUNTA($B$4:B159),"")</f>
        <v/>
      </c>
      <c r="B159" s="20"/>
      <c r="C159" s="20"/>
      <c r="D159" s="20"/>
      <c r="E159" s="20"/>
      <c r="F159" s="20"/>
      <c r="G159" s="20"/>
      <c r="H159" s="20"/>
      <c r="I159" s="21"/>
      <c r="J159" s="20"/>
      <c r="K159" s="14" t="str">
        <f aca="false">IF(AND(I159&lt;&gt;"",H159&lt;&gt;"",J159&lt;&gt;""),IF(J159="W",I159*H159,IF(J159="L",-I159,IF(J159="P",I159*H159*0.5,""))),"")</f>
        <v/>
      </c>
      <c r="L159" s="15" t="str">
        <f aca="false">IF(AND(K159&lt;&gt;"",P158&lt;&gt;""),K159/P158,IF(K159&lt;&gt;"",K159/$D$2,""))</f>
        <v/>
      </c>
      <c r="M159" s="20"/>
      <c r="N159" s="20"/>
      <c r="O159" s="20"/>
      <c r="P159" s="16" t="str">
        <f aca="false">IF(K159&lt;&gt;"",P158+K159,IF(B159&lt;&gt;"",P158,""))</f>
        <v/>
      </c>
      <c r="Q159" s="17" t="str">
        <f aca="false">IF(P159&lt;&gt;"",MIN(0,P159-MAX($P$4:P159)),"")</f>
        <v/>
      </c>
    </row>
    <row r="160" customFormat="false" ht="15" hidden="false" customHeight="true" outlineLevel="0" collapsed="false">
      <c r="A160" s="11" t="str">
        <f aca="false">IF(B160&lt;&gt;"",COUNTA($B$4:B160),"")</f>
        <v/>
      </c>
      <c r="B160" s="12"/>
      <c r="C160" s="12"/>
      <c r="D160" s="12"/>
      <c r="E160" s="12"/>
      <c r="F160" s="12"/>
      <c r="G160" s="12"/>
      <c r="H160" s="12"/>
      <c r="I160" s="13"/>
      <c r="J160" s="12"/>
      <c r="K160" s="14" t="str">
        <f aca="false">IF(AND(I160&lt;&gt;"",H160&lt;&gt;"",J160&lt;&gt;""),IF(J160="W",I160*H160,IF(J160="L",-I160,IF(J160="P",I160*H160*0.5,""))),"")</f>
        <v/>
      </c>
      <c r="L160" s="15" t="str">
        <f aca="false">IF(AND(K160&lt;&gt;"",P159&lt;&gt;""),K160/P159,IF(K160&lt;&gt;"",K160/$D$2,""))</f>
        <v/>
      </c>
      <c r="M160" s="12"/>
      <c r="N160" s="12"/>
      <c r="O160" s="12"/>
      <c r="P160" s="16" t="str">
        <f aca="false">IF(K160&lt;&gt;"",P159+K160,IF(B160&lt;&gt;"",P159,""))</f>
        <v/>
      </c>
      <c r="Q160" s="17" t="str">
        <f aca="false">IF(P160&lt;&gt;"",MIN(0,P160-MAX($P$4:P160)),"")</f>
        <v/>
      </c>
    </row>
    <row r="161" customFormat="false" ht="15" hidden="false" customHeight="true" outlineLevel="0" collapsed="false">
      <c r="A161" s="11" t="str">
        <f aca="false">IF(B161&lt;&gt;"",COUNTA($B$4:B161),"")</f>
        <v/>
      </c>
      <c r="B161" s="20"/>
      <c r="C161" s="20"/>
      <c r="D161" s="20"/>
      <c r="E161" s="20"/>
      <c r="F161" s="20"/>
      <c r="G161" s="20"/>
      <c r="H161" s="20"/>
      <c r="I161" s="21"/>
      <c r="J161" s="20"/>
      <c r="K161" s="14" t="str">
        <f aca="false">IF(AND(I161&lt;&gt;"",H161&lt;&gt;"",J161&lt;&gt;""),IF(J161="W",I161*H161,IF(J161="L",-I161,IF(J161="P",I161*H161*0.5,""))),"")</f>
        <v/>
      </c>
      <c r="L161" s="15" t="str">
        <f aca="false">IF(AND(K161&lt;&gt;"",P160&lt;&gt;""),K161/P160,IF(K161&lt;&gt;"",K161/$D$2,""))</f>
        <v/>
      </c>
      <c r="M161" s="20"/>
      <c r="N161" s="20"/>
      <c r="O161" s="20"/>
      <c r="P161" s="16" t="str">
        <f aca="false">IF(K161&lt;&gt;"",P160+K161,IF(B161&lt;&gt;"",P160,""))</f>
        <v/>
      </c>
      <c r="Q161" s="17" t="str">
        <f aca="false">IF(P161&lt;&gt;"",MIN(0,P161-MAX($P$4:P161)),"")</f>
        <v/>
      </c>
    </row>
    <row r="162" customFormat="false" ht="15" hidden="false" customHeight="true" outlineLevel="0" collapsed="false">
      <c r="A162" s="11" t="str">
        <f aca="false">IF(B162&lt;&gt;"",COUNTA($B$4:B162),"")</f>
        <v/>
      </c>
      <c r="B162" s="12"/>
      <c r="C162" s="12"/>
      <c r="D162" s="12"/>
      <c r="E162" s="12"/>
      <c r="F162" s="12"/>
      <c r="G162" s="12"/>
      <c r="H162" s="12"/>
      <c r="I162" s="13"/>
      <c r="J162" s="12"/>
      <c r="K162" s="14" t="str">
        <f aca="false">IF(AND(I162&lt;&gt;"",H162&lt;&gt;"",J162&lt;&gt;""),IF(J162="W",I162*H162,IF(J162="L",-I162,IF(J162="P",I162*H162*0.5,""))),"")</f>
        <v/>
      </c>
      <c r="L162" s="15" t="str">
        <f aca="false">IF(AND(K162&lt;&gt;"",P161&lt;&gt;""),K162/P161,IF(K162&lt;&gt;"",K162/$D$2,""))</f>
        <v/>
      </c>
      <c r="M162" s="12"/>
      <c r="N162" s="12"/>
      <c r="O162" s="12"/>
      <c r="P162" s="16" t="str">
        <f aca="false">IF(K162&lt;&gt;"",P161+K162,IF(B162&lt;&gt;"",P161,""))</f>
        <v/>
      </c>
      <c r="Q162" s="17" t="str">
        <f aca="false">IF(P162&lt;&gt;"",MIN(0,P162-MAX($P$4:P162)),"")</f>
        <v/>
      </c>
    </row>
    <row r="163" customFormat="false" ht="15" hidden="false" customHeight="true" outlineLevel="0" collapsed="false">
      <c r="A163" s="11" t="str">
        <f aca="false">IF(B163&lt;&gt;"",COUNTA($B$4:B163),"")</f>
        <v/>
      </c>
      <c r="B163" s="20"/>
      <c r="C163" s="20"/>
      <c r="D163" s="20"/>
      <c r="E163" s="20"/>
      <c r="F163" s="20"/>
      <c r="G163" s="20"/>
      <c r="H163" s="20"/>
      <c r="I163" s="21"/>
      <c r="J163" s="20"/>
      <c r="K163" s="14" t="str">
        <f aca="false">IF(AND(I163&lt;&gt;"",H163&lt;&gt;"",J163&lt;&gt;""),IF(J163="W",I163*H163,IF(J163="L",-I163,IF(J163="P",I163*H163*0.5,""))),"")</f>
        <v/>
      </c>
      <c r="L163" s="15" t="str">
        <f aca="false">IF(AND(K163&lt;&gt;"",P162&lt;&gt;""),K163/P162,IF(K163&lt;&gt;"",K163/$D$2,""))</f>
        <v/>
      </c>
      <c r="M163" s="20"/>
      <c r="N163" s="20"/>
      <c r="O163" s="20"/>
      <c r="P163" s="16" t="str">
        <f aca="false">IF(K163&lt;&gt;"",P162+K163,IF(B163&lt;&gt;"",P162,""))</f>
        <v/>
      </c>
      <c r="Q163" s="17" t="str">
        <f aca="false">IF(P163&lt;&gt;"",MIN(0,P163-MAX($P$4:P163)),"")</f>
        <v/>
      </c>
    </row>
    <row r="164" customFormat="false" ht="15" hidden="false" customHeight="true" outlineLevel="0" collapsed="false">
      <c r="A164" s="11" t="str">
        <f aca="false">IF(B164&lt;&gt;"",COUNTA($B$4:B164),"")</f>
        <v/>
      </c>
      <c r="B164" s="12"/>
      <c r="C164" s="12"/>
      <c r="D164" s="12"/>
      <c r="E164" s="12"/>
      <c r="F164" s="12"/>
      <c r="G164" s="12"/>
      <c r="H164" s="12"/>
      <c r="I164" s="13"/>
      <c r="J164" s="12"/>
      <c r="K164" s="14" t="str">
        <f aca="false">IF(AND(I164&lt;&gt;"",H164&lt;&gt;"",J164&lt;&gt;""),IF(J164="W",I164*H164,IF(J164="L",-I164,IF(J164="P",I164*H164*0.5,""))),"")</f>
        <v/>
      </c>
      <c r="L164" s="15" t="str">
        <f aca="false">IF(AND(K164&lt;&gt;"",P163&lt;&gt;""),K164/P163,IF(K164&lt;&gt;"",K164/$D$2,""))</f>
        <v/>
      </c>
      <c r="M164" s="12"/>
      <c r="N164" s="12"/>
      <c r="O164" s="12"/>
      <c r="P164" s="16" t="str">
        <f aca="false">IF(K164&lt;&gt;"",P163+K164,IF(B164&lt;&gt;"",P163,""))</f>
        <v/>
      </c>
      <c r="Q164" s="17" t="str">
        <f aca="false">IF(P164&lt;&gt;"",MIN(0,P164-MAX($P$4:P164)),"")</f>
        <v/>
      </c>
    </row>
    <row r="165" customFormat="false" ht="15" hidden="false" customHeight="true" outlineLevel="0" collapsed="false">
      <c r="A165" s="11" t="str">
        <f aca="false">IF(B165&lt;&gt;"",COUNTA($B$4:B165),"")</f>
        <v/>
      </c>
      <c r="B165" s="20"/>
      <c r="C165" s="20"/>
      <c r="D165" s="20"/>
      <c r="E165" s="20"/>
      <c r="F165" s="20"/>
      <c r="G165" s="20"/>
      <c r="H165" s="20"/>
      <c r="I165" s="21"/>
      <c r="J165" s="20"/>
      <c r="K165" s="14" t="str">
        <f aca="false">IF(AND(I165&lt;&gt;"",H165&lt;&gt;"",J165&lt;&gt;""),IF(J165="W",I165*H165,IF(J165="L",-I165,IF(J165="P",I165*H165*0.5,""))),"")</f>
        <v/>
      </c>
      <c r="L165" s="15" t="str">
        <f aca="false">IF(AND(K165&lt;&gt;"",P164&lt;&gt;""),K165/P164,IF(K165&lt;&gt;"",K165/$D$2,""))</f>
        <v/>
      </c>
      <c r="M165" s="20"/>
      <c r="N165" s="20"/>
      <c r="O165" s="20"/>
      <c r="P165" s="16" t="str">
        <f aca="false">IF(K165&lt;&gt;"",P164+K165,IF(B165&lt;&gt;"",P164,""))</f>
        <v/>
      </c>
      <c r="Q165" s="17" t="str">
        <f aca="false">IF(P165&lt;&gt;"",MIN(0,P165-MAX($P$4:P165)),"")</f>
        <v/>
      </c>
    </row>
    <row r="166" customFormat="false" ht="15" hidden="false" customHeight="true" outlineLevel="0" collapsed="false">
      <c r="A166" s="11" t="str">
        <f aca="false">IF(B166&lt;&gt;"",COUNTA($B$4:B166),"")</f>
        <v/>
      </c>
      <c r="B166" s="12"/>
      <c r="C166" s="12"/>
      <c r="D166" s="12"/>
      <c r="E166" s="12"/>
      <c r="F166" s="12"/>
      <c r="G166" s="12"/>
      <c r="H166" s="12"/>
      <c r="I166" s="13"/>
      <c r="J166" s="12"/>
      <c r="K166" s="14" t="str">
        <f aca="false">IF(AND(I166&lt;&gt;"",H166&lt;&gt;"",J166&lt;&gt;""),IF(J166="W",I166*H166,IF(J166="L",-I166,IF(J166="P",I166*H166*0.5,""))),"")</f>
        <v/>
      </c>
      <c r="L166" s="15" t="str">
        <f aca="false">IF(AND(K166&lt;&gt;"",P165&lt;&gt;""),K166/P165,IF(K166&lt;&gt;"",K166/$D$2,""))</f>
        <v/>
      </c>
      <c r="M166" s="12"/>
      <c r="N166" s="12"/>
      <c r="O166" s="12"/>
      <c r="P166" s="16" t="str">
        <f aca="false">IF(K166&lt;&gt;"",P165+K166,IF(B166&lt;&gt;"",P165,""))</f>
        <v/>
      </c>
      <c r="Q166" s="17" t="str">
        <f aca="false">IF(P166&lt;&gt;"",MIN(0,P166-MAX($P$4:P166)),"")</f>
        <v/>
      </c>
    </row>
    <row r="167" customFormat="false" ht="15" hidden="false" customHeight="true" outlineLevel="0" collapsed="false">
      <c r="A167" s="11" t="str">
        <f aca="false">IF(B167&lt;&gt;"",COUNTA($B$4:B167),"")</f>
        <v/>
      </c>
      <c r="B167" s="20"/>
      <c r="C167" s="20"/>
      <c r="D167" s="20"/>
      <c r="E167" s="20"/>
      <c r="F167" s="20"/>
      <c r="G167" s="20"/>
      <c r="H167" s="20"/>
      <c r="I167" s="21"/>
      <c r="J167" s="20"/>
      <c r="K167" s="14" t="str">
        <f aca="false">IF(AND(I167&lt;&gt;"",H167&lt;&gt;"",J167&lt;&gt;""),IF(J167="W",I167*H167,IF(J167="L",-I167,IF(J167="P",I167*H167*0.5,""))),"")</f>
        <v/>
      </c>
      <c r="L167" s="15" t="str">
        <f aca="false">IF(AND(K167&lt;&gt;"",P166&lt;&gt;""),K167/P166,IF(K167&lt;&gt;"",K167/$D$2,""))</f>
        <v/>
      </c>
      <c r="M167" s="20"/>
      <c r="N167" s="20"/>
      <c r="O167" s="20"/>
      <c r="P167" s="16" t="str">
        <f aca="false">IF(K167&lt;&gt;"",P166+K167,IF(B167&lt;&gt;"",P166,""))</f>
        <v/>
      </c>
      <c r="Q167" s="17" t="str">
        <f aca="false">IF(P167&lt;&gt;"",MIN(0,P167-MAX($P$4:P167)),"")</f>
        <v/>
      </c>
    </row>
    <row r="168" customFormat="false" ht="15" hidden="false" customHeight="true" outlineLevel="0" collapsed="false">
      <c r="A168" s="11" t="str">
        <f aca="false">IF(B168&lt;&gt;"",COUNTA($B$4:B168),"")</f>
        <v/>
      </c>
      <c r="B168" s="12"/>
      <c r="C168" s="12"/>
      <c r="D168" s="12"/>
      <c r="E168" s="12"/>
      <c r="F168" s="12"/>
      <c r="G168" s="12"/>
      <c r="H168" s="12"/>
      <c r="I168" s="13"/>
      <c r="J168" s="12"/>
      <c r="K168" s="14" t="str">
        <f aca="false">IF(AND(I168&lt;&gt;"",H168&lt;&gt;"",J168&lt;&gt;""),IF(J168="W",I168*H168,IF(J168="L",-I168,IF(J168="P",I168*H168*0.5,""))),"")</f>
        <v/>
      </c>
      <c r="L168" s="15" t="str">
        <f aca="false">IF(AND(K168&lt;&gt;"",P167&lt;&gt;""),K168/P167,IF(K168&lt;&gt;"",K168/$D$2,""))</f>
        <v/>
      </c>
      <c r="M168" s="12"/>
      <c r="N168" s="12"/>
      <c r="O168" s="12"/>
      <c r="P168" s="16" t="str">
        <f aca="false">IF(K168&lt;&gt;"",P167+K168,IF(B168&lt;&gt;"",P167,""))</f>
        <v/>
      </c>
      <c r="Q168" s="17" t="str">
        <f aca="false">IF(P168&lt;&gt;"",MIN(0,P168-MAX($P$4:P168)),"")</f>
        <v/>
      </c>
    </row>
    <row r="169" customFormat="false" ht="15" hidden="false" customHeight="true" outlineLevel="0" collapsed="false">
      <c r="A169" s="11" t="str">
        <f aca="false">IF(B169&lt;&gt;"",COUNTA($B$4:B169),"")</f>
        <v/>
      </c>
      <c r="B169" s="20"/>
      <c r="C169" s="20"/>
      <c r="D169" s="20"/>
      <c r="E169" s="20"/>
      <c r="F169" s="20"/>
      <c r="G169" s="20"/>
      <c r="H169" s="20"/>
      <c r="I169" s="21"/>
      <c r="J169" s="20"/>
      <c r="K169" s="14" t="str">
        <f aca="false">IF(AND(I169&lt;&gt;"",H169&lt;&gt;"",J169&lt;&gt;""),IF(J169="W",I169*H169,IF(J169="L",-I169,IF(J169="P",I169*H169*0.5,""))),"")</f>
        <v/>
      </c>
      <c r="L169" s="15" t="str">
        <f aca="false">IF(AND(K169&lt;&gt;"",P168&lt;&gt;""),K169/P168,IF(K169&lt;&gt;"",K169/$D$2,""))</f>
        <v/>
      </c>
      <c r="M169" s="20"/>
      <c r="N169" s="20"/>
      <c r="O169" s="20"/>
      <c r="P169" s="16" t="str">
        <f aca="false">IF(K169&lt;&gt;"",P168+K169,IF(B169&lt;&gt;"",P168,""))</f>
        <v/>
      </c>
      <c r="Q169" s="17" t="str">
        <f aca="false">IF(P169&lt;&gt;"",MIN(0,P169-MAX($P$4:P169)),"")</f>
        <v/>
      </c>
    </row>
    <row r="170" customFormat="false" ht="15" hidden="false" customHeight="true" outlineLevel="0" collapsed="false">
      <c r="A170" s="11" t="str">
        <f aca="false">IF(B170&lt;&gt;"",COUNTA($B$4:B170),"")</f>
        <v/>
      </c>
      <c r="B170" s="12"/>
      <c r="C170" s="12"/>
      <c r="D170" s="12"/>
      <c r="E170" s="12"/>
      <c r="F170" s="12"/>
      <c r="G170" s="12"/>
      <c r="H170" s="12"/>
      <c r="I170" s="13"/>
      <c r="J170" s="12"/>
      <c r="K170" s="14" t="str">
        <f aca="false">IF(AND(I170&lt;&gt;"",H170&lt;&gt;"",J170&lt;&gt;""),IF(J170="W",I170*H170,IF(J170="L",-I170,IF(J170="P",I170*H170*0.5,""))),"")</f>
        <v/>
      </c>
      <c r="L170" s="15" t="str">
        <f aca="false">IF(AND(K170&lt;&gt;"",P169&lt;&gt;""),K170/P169,IF(K170&lt;&gt;"",K170/$D$2,""))</f>
        <v/>
      </c>
      <c r="M170" s="12"/>
      <c r="N170" s="12"/>
      <c r="O170" s="12"/>
      <c r="P170" s="16" t="str">
        <f aca="false">IF(K170&lt;&gt;"",P169+K170,IF(B170&lt;&gt;"",P169,""))</f>
        <v/>
      </c>
      <c r="Q170" s="17" t="str">
        <f aca="false">IF(P170&lt;&gt;"",MIN(0,P170-MAX($P$4:P170)),"")</f>
        <v/>
      </c>
    </row>
    <row r="171" customFormat="false" ht="15" hidden="false" customHeight="true" outlineLevel="0" collapsed="false">
      <c r="A171" s="11" t="str">
        <f aca="false">IF(B171&lt;&gt;"",COUNTA($B$4:B171),"")</f>
        <v/>
      </c>
      <c r="B171" s="20"/>
      <c r="C171" s="20"/>
      <c r="D171" s="20"/>
      <c r="E171" s="20"/>
      <c r="F171" s="20"/>
      <c r="G171" s="20"/>
      <c r="H171" s="20"/>
      <c r="I171" s="21"/>
      <c r="J171" s="20"/>
      <c r="K171" s="14" t="str">
        <f aca="false">IF(AND(I171&lt;&gt;"",H171&lt;&gt;"",J171&lt;&gt;""),IF(J171="W",I171*H171,IF(J171="L",-I171,IF(J171="P",I171*H171*0.5,""))),"")</f>
        <v/>
      </c>
      <c r="L171" s="15" t="str">
        <f aca="false">IF(AND(K171&lt;&gt;"",P170&lt;&gt;""),K171/P170,IF(K171&lt;&gt;"",K171/$D$2,""))</f>
        <v/>
      </c>
      <c r="M171" s="20"/>
      <c r="N171" s="20"/>
      <c r="O171" s="20"/>
      <c r="P171" s="16" t="str">
        <f aca="false">IF(K171&lt;&gt;"",P170+K171,IF(B171&lt;&gt;"",P170,""))</f>
        <v/>
      </c>
      <c r="Q171" s="17" t="str">
        <f aca="false">IF(P171&lt;&gt;"",MIN(0,P171-MAX($P$4:P171)),"")</f>
        <v/>
      </c>
    </row>
    <row r="172" customFormat="false" ht="15" hidden="false" customHeight="true" outlineLevel="0" collapsed="false">
      <c r="A172" s="11" t="str">
        <f aca="false">IF(B172&lt;&gt;"",COUNTA($B$4:B172),"")</f>
        <v/>
      </c>
      <c r="B172" s="12"/>
      <c r="C172" s="12"/>
      <c r="D172" s="12"/>
      <c r="E172" s="12"/>
      <c r="F172" s="12"/>
      <c r="G172" s="12"/>
      <c r="H172" s="12"/>
      <c r="I172" s="13"/>
      <c r="J172" s="12"/>
      <c r="K172" s="14" t="str">
        <f aca="false">IF(AND(I172&lt;&gt;"",H172&lt;&gt;"",J172&lt;&gt;""),IF(J172="W",I172*H172,IF(J172="L",-I172,IF(J172="P",I172*H172*0.5,""))),"")</f>
        <v/>
      </c>
      <c r="L172" s="15" t="str">
        <f aca="false">IF(AND(K172&lt;&gt;"",P171&lt;&gt;""),K172/P171,IF(K172&lt;&gt;"",K172/$D$2,""))</f>
        <v/>
      </c>
      <c r="M172" s="12"/>
      <c r="N172" s="12"/>
      <c r="O172" s="12"/>
      <c r="P172" s="16" t="str">
        <f aca="false">IF(K172&lt;&gt;"",P171+K172,IF(B172&lt;&gt;"",P171,""))</f>
        <v/>
      </c>
      <c r="Q172" s="17" t="str">
        <f aca="false">IF(P172&lt;&gt;"",MIN(0,P172-MAX($P$4:P172)),"")</f>
        <v/>
      </c>
    </row>
    <row r="173" customFormat="false" ht="15" hidden="false" customHeight="true" outlineLevel="0" collapsed="false">
      <c r="A173" s="11" t="str">
        <f aca="false">IF(B173&lt;&gt;"",COUNTA($B$4:B173),"")</f>
        <v/>
      </c>
      <c r="B173" s="20"/>
      <c r="C173" s="20"/>
      <c r="D173" s="20"/>
      <c r="E173" s="20"/>
      <c r="F173" s="20"/>
      <c r="G173" s="20"/>
      <c r="H173" s="20"/>
      <c r="I173" s="21"/>
      <c r="J173" s="20"/>
      <c r="K173" s="14" t="str">
        <f aca="false">IF(AND(I173&lt;&gt;"",H173&lt;&gt;"",J173&lt;&gt;""),IF(J173="W",I173*H173,IF(J173="L",-I173,IF(J173="P",I173*H173*0.5,""))),"")</f>
        <v/>
      </c>
      <c r="L173" s="15" t="str">
        <f aca="false">IF(AND(K173&lt;&gt;"",P172&lt;&gt;""),K173/P172,IF(K173&lt;&gt;"",K173/$D$2,""))</f>
        <v/>
      </c>
      <c r="M173" s="20"/>
      <c r="N173" s="20"/>
      <c r="O173" s="20"/>
      <c r="P173" s="16" t="str">
        <f aca="false">IF(K173&lt;&gt;"",P172+K173,IF(B173&lt;&gt;"",P172,""))</f>
        <v/>
      </c>
      <c r="Q173" s="17" t="str">
        <f aca="false">IF(P173&lt;&gt;"",MIN(0,P173-MAX($P$4:P173)),"")</f>
        <v/>
      </c>
    </row>
    <row r="174" customFormat="false" ht="15" hidden="false" customHeight="true" outlineLevel="0" collapsed="false">
      <c r="A174" s="11" t="str">
        <f aca="false">IF(B174&lt;&gt;"",COUNTA($B$4:B174),"")</f>
        <v/>
      </c>
      <c r="B174" s="12"/>
      <c r="C174" s="12"/>
      <c r="D174" s="12"/>
      <c r="E174" s="12"/>
      <c r="F174" s="12"/>
      <c r="G174" s="12"/>
      <c r="H174" s="12"/>
      <c r="I174" s="13"/>
      <c r="J174" s="12"/>
      <c r="K174" s="14" t="str">
        <f aca="false">IF(AND(I174&lt;&gt;"",H174&lt;&gt;"",J174&lt;&gt;""),IF(J174="W",I174*H174,IF(J174="L",-I174,IF(J174="P",I174*H174*0.5,""))),"")</f>
        <v/>
      </c>
      <c r="L174" s="15" t="str">
        <f aca="false">IF(AND(K174&lt;&gt;"",P173&lt;&gt;""),K174/P173,IF(K174&lt;&gt;"",K174/$D$2,""))</f>
        <v/>
      </c>
      <c r="M174" s="12"/>
      <c r="N174" s="12"/>
      <c r="O174" s="12"/>
      <c r="P174" s="16" t="str">
        <f aca="false">IF(K174&lt;&gt;"",P173+K174,IF(B174&lt;&gt;"",P173,""))</f>
        <v/>
      </c>
      <c r="Q174" s="17" t="str">
        <f aca="false">IF(P174&lt;&gt;"",MIN(0,P174-MAX($P$4:P174)),"")</f>
        <v/>
      </c>
    </row>
    <row r="175" customFormat="false" ht="15" hidden="false" customHeight="true" outlineLevel="0" collapsed="false">
      <c r="A175" s="11" t="str">
        <f aca="false">IF(B175&lt;&gt;"",COUNTA($B$4:B175),"")</f>
        <v/>
      </c>
      <c r="B175" s="20"/>
      <c r="C175" s="20"/>
      <c r="D175" s="20"/>
      <c r="E175" s="20"/>
      <c r="F175" s="20"/>
      <c r="G175" s="20"/>
      <c r="H175" s="20"/>
      <c r="I175" s="21"/>
      <c r="J175" s="20"/>
      <c r="K175" s="14" t="str">
        <f aca="false">IF(AND(I175&lt;&gt;"",H175&lt;&gt;"",J175&lt;&gt;""),IF(J175="W",I175*H175,IF(J175="L",-I175,IF(J175="P",I175*H175*0.5,""))),"")</f>
        <v/>
      </c>
      <c r="L175" s="15" t="str">
        <f aca="false">IF(AND(K175&lt;&gt;"",P174&lt;&gt;""),K175/P174,IF(K175&lt;&gt;"",K175/$D$2,""))</f>
        <v/>
      </c>
      <c r="M175" s="20"/>
      <c r="N175" s="20"/>
      <c r="O175" s="20"/>
      <c r="P175" s="16" t="str">
        <f aca="false">IF(K175&lt;&gt;"",P174+K175,IF(B175&lt;&gt;"",P174,""))</f>
        <v/>
      </c>
      <c r="Q175" s="17" t="str">
        <f aca="false">IF(P175&lt;&gt;"",MIN(0,P175-MAX($P$4:P175)),"")</f>
        <v/>
      </c>
    </row>
    <row r="176" customFormat="false" ht="15" hidden="false" customHeight="true" outlineLevel="0" collapsed="false">
      <c r="A176" s="11" t="str">
        <f aca="false">IF(B176&lt;&gt;"",COUNTA($B$4:B176),"")</f>
        <v/>
      </c>
      <c r="B176" s="12"/>
      <c r="C176" s="12"/>
      <c r="D176" s="12"/>
      <c r="E176" s="12"/>
      <c r="F176" s="12"/>
      <c r="G176" s="12"/>
      <c r="H176" s="12"/>
      <c r="I176" s="13"/>
      <c r="J176" s="12"/>
      <c r="K176" s="14" t="str">
        <f aca="false">IF(AND(I176&lt;&gt;"",H176&lt;&gt;"",J176&lt;&gt;""),IF(J176="W",I176*H176,IF(J176="L",-I176,IF(J176="P",I176*H176*0.5,""))),"")</f>
        <v/>
      </c>
      <c r="L176" s="15" t="str">
        <f aca="false">IF(AND(K176&lt;&gt;"",P175&lt;&gt;""),K176/P175,IF(K176&lt;&gt;"",K176/$D$2,""))</f>
        <v/>
      </c>
      <c r="M176" s="12"/>
      <c r="N176" s="12"/>
      <c r="O176" s="12"/>
      <c r="P176" s="16" t="str">
        <f aca="false">IF(K176&lt;&gt;"",P175+K176,IF(B176&lt;&gt;"",P175,""))</f>
        <v/>
      </c>
      <c r="Q176" s="17" t="str">
        <f aca="false">IF(P176&lt;&gt;"",MIN(0,P176-MAX($P$4:P176)),"")</f>
        <v/>
      </c>
    </row>
    <row r="177" customFormat="false" ht="15" hidden="false" customHeight="true" outlineLevel="0" collapsed="false">
      <c r="A177" s="11" t="str">
        <f aca="false">IF(B177&lt;&gt;"",COUNTA($B$4:B177),"")</f>
        <v/>
      </c>
      <c r="B177" s="20"/>
      <c r="C177" s="20"/>
      <c r="D177" s="20"/>
      <c r="E177" s="20"/>
      <c r="F177" s="20"/>
      <c r="G177" s="20"/>
      <c r="H177" s="20"/>
      <c r="I177" s="21"/>
      <c r="J177" s="20"/>
      <c r="K177" s="14" t="str">
        <f aca="false">IF(AND(I177&lt;&gt;"",H177&lt;&gt;"",J177&lt;&gt;""),IF(J177="W",I177*H177,IF(J177="L",-I177,IF(J177="P",I177*H177*0.5,""))),"")</f>
        <v/>
      </c>
      <c r="L177" s="15" t="str">
        <f aca="false">IF(AND(K177&lt;&gt;"",P176&lt;&gt;""),K177/P176,IF(K177&lt;&gt;"",K177/$D$2,""))</f>
        <v/>
      </c>
      <c r="M177" s="20"/>
      <c r="N177" s="20"/>
      <c r="O177" s="20"/>
      <c r="P177" s="16" t="str">
        <f aca="false">IF(K177&lt;&gt;"",P176+K177,IF(B177&lt;&gt;"",P176,""))</f>
        <v/>
      </c>
      <c r="Q177" s="17" t="str">
        <f aca="false">IF(P177&lt;&gt;"",MIN(0,P177-MAX($P$4:P177)),"")</f>
        <v/>
      </c>
    </row>
    <row r="178" customFormat="false" ht="15" hidden="false" customHeight="true" outlineLevel="0" collapsed="false">
      <c r="A178" s="11" t="str">
        <f aca="false">IF(B178&lt;&gt;"",COUNTA($B$4:B178),"")</f>
        <v/>
      </c>
      <c r="B178" s="12"/>
      <c r="C178" s="12"/>
      <c r="D178" s="12"/>
      <c r="E178" s="12"/>
      <c r="F178" s="12"/>
      <c r="G178" s="12"/>
      <c r="H178" s="12"/>
      <c r="I178" s="13"/>
      <c r="J178" s="12"/>
      <c r="K178" s="14" t="str">
        <f aca="false">IF(AND(I178&lt;&gt;"",H178&lt;&gt;"",J178&lt;&gt;""),IF(J178="W",I178*H178,IF(J178="L",-I178,IF(J178="P",I178*H178*0.5,""))),"")</f>
        <v/>
      </c>
      <c r="L178" s="15" t="str">
        <f aca="false">IF(AND(K178&lt;&gt;"",P177&lt;&gt;""),K178/P177,IF(K178&lt;&gt;"",K178/$D$2,""))</f>
        <v/>
      </c>
      <c r="M178" s="12"/>
      <c r="N178" s="12"/>
      <c r="O178" s="12"/>
      <c r="P178" s="16" t="str">
        <f aca="false">IF(K178&lt;&gt;"",P177+K178,IF(B178&lt;&gt;"",P177,""))</f>
        <v/>
      </c>
      <c r="Q178" s="17" t="str">
        <f aca="false">IF(P178&lt;&gt;"",MIN(0,P178-MAX($P$4:P178)),"")</f>
        <v/>
      </c>
    </row>
    <row r="179" customFormat="false" ht="15" hidden="false" customHeight="true" outlineLevel="0" collapsed="false">
      <c r="A179" s="11" t="str">
        <f aca="false">IF(B179&lt;&gt;"",COUNTA($B$4:B179),"")</f>
        <v/>
      </c>
      <c r="B179" s="20"/>
      <c r="C179" s="20"/>
      <c r="D179" s="20"/>
      <c r="E179" s="20"/>
      <c r="F179" s="20"/>
      <c r="G179" s="20"/>
      <c r="H179" s="20"/>
      <c r="I179" s="21"/>
      <c r="J179" s="20"/>
      <c r="K179" s="14" t="str">
        <f aca="false">IF(AND(I179&lt;&gt;"",H179&lt;&gt;"",J179&lt;&gt;""),IF(J179="W",I179*H179,IF(J179="L",-I179,IF(J179="P",I179*H179*0.5,""))),"")</f>
        <v/>
      </c>
      <c r="L179" s="15" t="str">
        <f aca="false">IF(AND(K179&lt;&gt;"",P178&lt;&gt;""),K179/P178,IF(K179&lt;&gt;"",K179/$D$2,""))</f>
        <v/>
      </c>
      <c r="M179" s="20"/>
      <c r="N179" s="20"/>
      <c r="O179" s="20"/>
      <c r="P179" s="16" t="str">
        <f aca="false">IF(K179&lt;&gt;"",P178+K179,IF(B179&lt;&gt;"",P178,""))</f>
        <v/>
      </c>
      <c r="Q179" s="17" t="str">
        <f aca="false">IF(P179&lt;&gt;"",MIN(0,P179-MAX($P$4:P179)),"")</f>
        <v/>
      </c>
    </row>
    <row r="180" customFormat="false" ht="15" hidden="false" customHeight="true" outlineLevel="0" collapsed="false">
      <c r="A180" s="11" t="str">
        <f aca="false">IF(B180&lt;&gt;"",COUNTA($B$4:B180),"")</f>
        <v/>
      </c>
      <c r="B180" s="12"/>
      <c r="C180" s="12"/>
      <c r="D180" s="12"/>
      <c r="E180" s="12"/>
      <c r="F180" s="12"/>
      <c r="G180" s="12"/>
      <c r="H180" s="12"/>
      <c r="I180" s="13"/>
      <c r="J180" s="12"/>
      <c r="K180" s="14" t="str">
        <f aca="false">IF(AND(I180&lt;&gt;"",H180&lt;&gt;"",J180&lt;&gt;""),IF(J180="W",I180*H180,IF(J180="L",-I180,IF(J180="P",I180*H180*0.5,""))),"")</f>
        <v/>
      </c>
      <c r="L180" s="15" t="str">
        <f aca="false">IF(AND(K180&lt;&gt;"",P179&lt;&gt;""),K180/P179,IF(K180&lt;&gt;"",K180/$D$2,""))</f>
        <v/>
      </c>
      <c r="M180" s="12"/>
      <c r="N180" s="12"/>
      <c r="O180" s="12"/>
      <c r="P180" s="16" t="str">
        <f aca="false">IF(K180&lt;&gt;"",P179+K180,IF(B180&lt;&gt;"",P179,""))</f>
        <v/>
      </c>
      <c r="Q180" s="17" t="str">
        <f aca="false">IF(P180&lt;&gt;"",MIN(0,P180-MAX($P$4:P180)),"")</f>
        <v/>
      </c>
    </row>
    <row r="181" customFormat="false" ht="15" hidden="false" customHeight="true" outlineLevel="0" collapsed="false">
      <c r="A181" s="11" t="str">
        <f aca="false">IF(B181&lt;&gt;"",COUNTA($B$4:B181),"")</f>
        <v/>
      </c>
      <c r="B181" s="20"/>
      <c r="C181" s="20"/>
      <c r="D181" s="20"/>
      <c r="E181" s="20"/>
      <c r="F181" s="20"/>
      <c r="G181" s="20"/>
      <c r="H181" s="20"/>
      <c r="I181" s="21"/>
      <c r="J181" s="20"/>
      <c r="K181" s="14" t="str">
        <f aca="false">IF(AND(I181&lt;&gt;"",H181&lt;&gt;"",J181&lt;&gt;""),IF(J181="W",I181*H181,IF(J181="L",-I181,IF(J181="P",I181*H181*0.5,""))),"")</f>
        <v/>
      </c>
      <c r="L181" s="15" t="str">
        <f aca="false">IF(AND(K181&lt;&gt;"",P180&lt;&gt;""),K181/P180,IF(K181&lt;&gt;"",K181/$D$2,""))</f>
        <v/>
      </c>
      <c r="M181" s="20"/>
      <c r="N181" s="20"/>
      <c r="O181" s="20"/>
      <c r="P181" s="16" t="str">
        <f aca="false">IF(K181&lt;&gt;"",P180+K181,IF(B181&lt;&gt;"",P180,""))</f>
        <v/>
      </c>
      <c r="Q181" s="17" t="str">
        <f aca="false">IF(P181&lt;&gt;"",MIN(0,P181-MAX($P$4:P181)),"")</f>
        <v/>
      </c>
    </row>
    <row r="182" customFormat="false" ht="15" hidden="false" customHeight="true" outlineLevel="0" collapsed="false">
      <c r="A182" s="11" t="str">
        <f aca="false">IF(B182&lt;&gt;"",COUNTA($B$4:B182),"")</f>
        <v/>
      </c>
      <c r="B182" s="12"/>
      <c r="C182" s="12"/>
      <c r="D182" s="12"/>
      <c r="E182" s="12"/>
      <c r="F182" s="12"/>
      <c r="G182" s="12"/>
      <c r="H182" s="12"/>
      <c r="I182" s="13"/>
      <c r="J182" s="12"/>
      <c r="K182" s="14" t="str">
        <f aca="false">IF(AND(I182&lt;&gt;"",H182&lt;&gt;"",J182&lt;&gt;""),IF(J182="W",I182*H182,IF(J182="L",-I182,IF(J182="P",I182*H182*0.5,""))),"")</f>
        <v/>
      </c>
      <c r="L182" s="15" t="str">
        <f aca="false">IF(AND(K182&lt;&gt;"",P181&lt;&gt;""),K182/P181,IF(K182&lt;&gt;"",K182/$D$2,""))</f>
        <v/>
      </c>
      <c r="M182" s="12"/>
      <c r="N182" s="12"/>
      <c r="O182" s="12"/>
      <c r="P182" s="16" t="str">
        <f aca="false">IF(K182&lt;&gt;"",P181+K182,IF(B182&lt;&gt;"",P181,""))</f>
        <v/>
      </c>
      <c r="Q182" s="17" t="str">
        <f aca="false">IF(P182&lt;&gt;"",MIN(0,P182-MAX($P$4:P182)),"")</f>
        <v/>
      </c>
    </row>
    <row r="183" customFormat="false" ht="15" hidden="false" customHeight="true" outlineLevel="0" collapsed="false">
      <c r="A183" s="11" t="str">
        <f aca="false">IF(B183&lt;&gt;"",COUNTA($B$4:B183),"")</f>
        <v/>
      </c>
      <c r="B183" s="20"/>
      <c r="C183" s="20"/>
      <c r="D183" s="20"/>
      <c r="E183" s="20"/>
      <c r="F183" s="20"/>
      <c r="G183" s="20"/>
      <c r="H183" s="20"/>
      <c r="I183" s="21"/>
      <c r="J183" s="20"/>
      <c r="K183" s="14" t="str">
        <f aca="false">IF(AND(I183&lt;&gt;"",H183&lt;&gt;"",J183&lt;&gt;""),IF(J183="W",I183*H183,IF(J183="L",-I183,IF(J183="P",I183*H183*0.5,""))),"")</f>
        <v/>
      </c>
      <c r="L183" s="15" t="str">
        <f aca="false">IF(AND(K183&lt;&gt;"",P182&lt;&gt;""),K183/P182,IF(K183&lt;&gt;"",K183/$D$2,""))</f>
        <v/>
      </c>
      <c r="M183" s="20"/>
      <c r="N183" s="20"/>
      <c r="O183" s="20"/>
      <c r="P183" s="16" t="str">
        <f aca="false">IF(K183&lt;&gt;"",P182+K183,IF(B183&lt;&gt;"",P182,""))</f>
        <v/>
      </c>
      <c r="Q183" s="17" t="str">
        <f aca="false">IF(P183&lt;&gt;"",MIN(0,P183-MAX($P$4:P183)),"")</f>
        <v/>
      </c>
    </row>
    <row r="184" customFormat="false" ht="15" hidden="false" customHeight="true" outlineLevel="0" collapsed="false">
      <c r="A184" s="11" t="str">
        <f aca="false">IF(B184&lt;&gt;"",COUNTA($B$4:B184),"")</f>
        <v/>
      </c>
      <c r="B184" s="12"/>
      <c r="C184" s="12"/>
      <c r="D184" s="12"/>
      <c r="E184" s="12"/>
      <c r="F184" s="12"/>
      <c r="G184" s="12"/>
      <c r="H184" s="12"/>
      <c r="I184" s="13"/>
      <c r="J184" s="12"/>
      <c r="K184" s="14" t="str">
        <f aca="false">IF(AND(I184&lt;&gt;"",H184&lt;&gt;"",J184&lt;&gt;""),IF(J184="W",I184*H184,IF(J184="L",-I184,IF(J184="P",I184*H184*0.5,""))),"")</f>
        <v/>
      </c>
      <c r="L184" s="15" t="str">
        <f aca="false">IF(AND(K184&lt;&gt;"",P183&lt;&gt;""),K184/P183,IF(K184&lt;&gt;"",K184/$D$2,""))</f>
        <v/>
      </c>
      <c r="M184" s="12"/>
      <c r="N184" s="12"/>
      <c r="O184" s="12"/>
      <c r="P184" s="16" t="str">
        <f aca="false">IF(K184&lt;&gt;"",P183+K184,IF(B184&lt;&gt;"",P183,""))</f>
        <v/>
      </c>
      <c r="Q184" s="17" t="str">
        <f aca="false">IF(P184&lt;&gt;"",MIN(0,P184-MAX($P$4:P184)),"")</f>
        <v/>
      </c>
    </row>
    <row r="185" customFormat="false" ht="15" hidden="false" customHeight="true" outlineLevel="0" collapsed="false">
      <c r="A185" s="11" t="str">
        <f aca="false">IF(B185&lt;&gt;"",COUNTA($B$4:B185),"")</f>
        <v/>
      </c>
      <c r="B185" s="20"/>
      <c r="C185" s="20"/>
      <c r="D185" s="20"/>
      <c r="E185" s="20"/>
      <c r="F185" s="20"/>
      <c r="G185" s="20"/>
      <c r="H185" s="20"/>
      <c r="I185" s="21"/>
      <c r="J185" s="20"/>
      <c r="K185" s="14" t="str">
        <f aca="false">IF(AND(I185&lt;&gt;"",H185&lt;&gt;"",J185&lt;&gt;""),IF(J185="W",I185*H185,IF(J185="L",-I185,IF(J185="P",I185*H185*0.5,""))),"")</f>
        <v/>
      </c>
      <c r="L185" s="15" t="str">
        <f aca="false">IF(AND(K185&lt;&gt;"",P184&lt;&gt;""),K185/P184,IF(K185&lt;&gt;"",K185/$D$2,""))</f>
        <v/>
      </c>
      <c r="M185" s="20"/>
      <c r="N185" s="20"/>
      <c r="O185" s="20"/>
      <c r="P185" s="16" t="str">
        <f aca="false">IF(K185&lt;&gt;"",P184+K185,IF(B185&lt;&gt;"",P184,""))</f>
        <v/>
      </c>
      <c r="Q185" s="17" t="str">
        <f aca="false">IF(P185&lt;&gt;"",MIN(0,P185-MAX($P$4:P185)),"")</f>
        <v/>
      </c>
    </row>
    <row r="186" customFormat="false" ht="15" hidden="false" customHeight="true" outlineLevel="0" collapsed="false">
      <c r="A186" s="11" t="str">
        <f aca="false">IF(B186&lt;&gt;"",COUNTA($B$4:B186),"")</f>
        <v/>
      </c>
      <c r="B186" s="12"/>
      <c r="C186" s="12"/>
      <c r="D186" s="12"/>
      <c r="E186" s="12"/>
      <c r="F186" s="12"/>
      <c r="G186" s="12"/>
      <c r="H186" s="12"/>
      <c r="I186" s="13"/>
      <c r="J186" s="12"/>
      <c r="K186" s="14" t="str">
        <f aca="false">IF(AND(I186&lt;&gt;"",H186&lt;&gt;"",J186&lt;&gt;""),IF(J186="W",I186*H186,IF(J186="L",-I186,IF(J186="P",I186*H186*0.5,""))),"")</f>
        <v/>
      </c>
      <c r="L186" s="15" t="str">
        <f aca="false">IF(AND(K186&lt;&gt;"",P185&lt;&gt;""),K186/P185,IF(K186&lt;&gt;"",K186/$D$2,""))</f>
        <v/>
      </c>
      <c r="M186" s="12"/>
      <c r="N186" s="12"/>
      <c r="O186" s="12"/>
      <c r="P186" s="16" t="str">
        <f aca="false">IF(K186&lt;&gt;"",P185+K186,IF(B186&lt;&gt;"",P185,""))</f>
        <v/>
      </c>
      <c r="Q186" s="17" t="str">
        <f aca="false">IF(P186&lt;&gt;"",MIN(0,P186-MAX($P$4:P186)),"")</f>
        <v/>
      </c>
    </row>
    <row r="187" customFormat="false" ht="15" hidden="false" customHeight="true" outlineLevel="0" collapsed="false">
      <c r="A187" s="11" t="str">
        <f aca="false">IF(B187&lt;&gt;"",COUNTA($B$4:B187),"")</f>
        <v/>
      </c>
      <c r="B187" s="20"/>
      <c r="C187" s="20"/>
      <c r="D187" s="20"/>
      <c r="E187" s="20"/>
      <c r="F187" s="20"/>
      <c r="G187" s="20"/>
      <c r="H187" s="20"/>
      <c r="I187" s="21"/>
      <c r="J187" s="20"/>
      <c r="K187" s="14" t="str">
        <f aca="false">IF(AND(I187&lt;&gt;"",H187&lt;&gt;"",J187&lt;&gt;""),IF(J187="W",I187*H187,IF(J187="L",-I187,IF(J187="P",I187*H187*0.5,""))),"")</f>
        <v/>
      </c>
      <c r="L187" s="15" t="str">
        <f aca="false">IF(AND(K187&lt;&gt;"",P186&lt;&gt;""),K187/P186,IF(K187&lt;&gt;"",K187/$D$2,""))</f>
        <v/>
      </c>
      <c r="M187" s="20"/>
      <c r="N187" s="20"/>
      <c r="O187" s="20"/>
      <c r="P187" s="16" t="str">
        <f aca="false">IF(K187&lt;&gt;"",P186+K187,IF(B187&lt;&gt;"",P186,""))</f>
        <v/>
      </c>
      <c r="Q187" s="17" t="str">
        <f aca="false">IF(P187&lt;&gt;"",MIN(0,P187-MAX($P$4:P187)),"")</f>
        <v/>
      </c>
    </row>
    <row r="188" customFormat="false" ht="15" hidden="false" customHeight="true" outlineLevel="0" collapsed="false">
      <c r="A188" s="11" t="str">
        <f aca="false">IF(B188&lt;&gt;"",COUNTA($B$4:B188),"")</f>
        <v/>
      </c>
      <c r="B188" s="12"/>
      <c r="C188" s="12"/>
      <c r="D188" s="12"/>
      <c r="E188" s="12"/>
      <c r="F188" s="12"/>
      <c r="G188" s="12"/>
      <c r="H188" s="12"/>
      <c r="I188" s="13"/>
      <c r="J188" s="12"/>
      <c r="K188" s="14" t="str">
        <f aca="false">IF(AND(I188&lt;&gt;"",H188&lt;&gt;"",J188&lt;&gt;""),IF(J188="W",I188*H188,IF(J188="L",-I188,IF(J188="P",I188*H188*0.5,""))),"")</f>
        <v/>
      </c>
      <c r="L188" s="15" t="str">
        <f aca="false">IF(AND(K188&lt;&gt;"",P187&lt;&gt;""),K188/P187,IF(K188&lt;&gt;"",K188/$D$2,""))</f>
        <v/>
      </c>
      <c r="M188" s="12"/>
      <c r="N188" s="12"/>
      <c r="O188" s="12"/>
      <c r="P188" s="16" t="str">
        <f aca="false">IF(K188&lt;&gt;"",P187+K188,IF(B188&lt;&gt;"",P187,""))</f>
        <v/>
      </c>
      <c r="Q188" s="17" t="str">
        <f aca="false">IF(P188&lt;&gt;"",MIN(0,P188-MAX($P$4:P188)),"")</f>
        <v/>
      </c>
    </row>
    <row r="189" customFormat="false" ht="15" hidden="false" customHeight="true" outlineLevel="0" collapsed="false">
      <c r="A189" s="11" t="str">
        <f aca="false">IF(B189&lt;&gt;"",COUNTA($B$4:B189),"")</f>
        <v/>
      </c>
      <c r="B189" s="20"/>
      <c r="C189" s="20"/>
      <c r="D189" s="20"/>
      <c r="E189" s="20"/>
      <c r="F189" s="20"/>
      <c r="G189" s="20"/>
      <c r="H189" s="20"/>
      <c r="I189" s="21"/>
      <c r="J189" s="20"/>
      <c r="K189" s="14" t="str">
        <f aca="false">IF(AND(I189&lt;&gt;"",H189&lt;&gt;"",J189&lt;&gt;""),IF(J189="W",I189*H189,IF(J189="L",-I189,IF(J189="P",I189*H189*0.5,""))),"")</f>
        <v/>
      </c>
      <c r="L189" s="15" t="str">
        <f aca="false">IF(AND(K189&lt;&gt;"",P188&lt;&gt;""),K189/P188,IF(K189&lt;&gt;"",K189/$D$2,""))</f>
        <v/>
      </c>
      <c r="M189" s="20"/>
      <c r="N189" s="20"/>
      <c r="O189" s="20"/>
      <c r="P189" s="16" t="str">
        <f aca="false">IF(K189&lt;&gt;"",P188+K189,IF(B189&lt;&gt;"",P188,""))</f>
        <v/>
      </c>
      <c r="Q189" s="17" t="str">
        <f aca="false">IF(P189&lt;&gt;"",MIN(0,P189-MAX($P$4:P189)),"")</f>
        <v/>
      </c>
    </row>
    <row r="190" customFormat="false" ht="15" hidden="false" customHeight="true" outlineLevel="0" collapsed="false">
      <c r="A190" s="11" t="str">
        <f aca="false">IF(B190&lt;&gt;"",COUNTA($B$4:B190),"")</f>
        <v/>
      </c>
      <c r="B190" s="12"/>
      <c r="C190" s="12"/>
      <c r="D190" s="12"/>
      <c r="E190" s="12"/>
      <c r="F190" s="12"/>
      <c r="G190" s="12"/>
      <c r="H190" s="12"/>
      <c r="I190" s="13"/>
      <c r="J190" s="12"/>
      <c r="K190" s="14" t="str">
        <f aca="false">IF(AND(I190&lt;&gt;"",H190&lt;&gt;"",J190&lt;&gt;""),IF(J190="W",I190*H190,IF(J190="L",-I190,IF(J190="P",I190*H190*0.5,""))),"")</f>
        <v/>
      </c>
      <c r="L190" s="15" t="str">
        <f aca="false">IF(AND(K190&lt;&gt;"",P189&lt;&gt;""),K190/P189,IF(K190&lt;&gt;"",K190/$D$2,""))</f>
        <v/>
      </c>
      <c r="M190" s="12"/>
      <c r="N190" s="12"/>
      <c r="O190" s="12"/>
      <c r="P190" s="16" t="str">
        <f aca="false">IF(K190&lt;&gt;"",P189+K190,IF(B190&lt;&gt;"",P189,""))</f>
        <v/>
      </c>
      <c r="Q190" s="17" t="str">
        <f aca="false">IF(P190&lt;&gt;"",MIN(0,P190-MAX($P$4:P190)),"")</f>
        <v/>
      </c>
    </row>
    <row r="191" customFormat="false" ht="15" hidden="false" customHeight="true" outlineLevel="0" collapsed="false">
      <c r="A191" s="11" t="str">
        <f aca="false">IF(B191&lt;&gt;"",COUNTA($B$4:B191),"")</f>
        <v/>
      </c>
      <c r="B191" s="20"/>
      <c r="C191" s="20"/>
      <c r="D191" s="20"/>
      <c r="E191" s="20"/>
      <c r="F191" s="20"/>
      <c r="G191" s="20"/>
      <c r="H191" s="20"/>
      <c r="I191" s="21"/>
      <c r="J191" s="20"/>
      <c r="K191" s="14" t="str">
        <f aca="false">IF(AND(I191&lt;&gt;"",H191&lt;&gt;"",J191&lt;&gt;""),IF(J191="W",I191*H191,IF(J191="L",-I191,IF(J191="P",I191*H191*0.5,""))),"")</f>
        <v/>
      </c>
      <c r="L191" s="15" t="str">
        <f aca="false">IF(AND(K191&lt;&gt;"",P190&lt;&gt;""),K191/P190,IF(K191&lt;&gt;"",K191/$D$2,""))</f>
        <v/>
      </c>
      <c r="M191" s="20"/>
      <c r="N191" s="20"/>
      <c r="O191" s="20"/>
      <c r="P191" s="16" t="str">
        <f aca="false">IF(K191&lt;&gt;"",P190+K191,IF(B191&lt;&gt;"",P190,""))</f>
        <v/>
      </c>
      <c r="Q191" s="17" t="str">
        <f aca="false">IF(P191&lt;&gt;"",MIN(0,P191-MAX($P$4:P191)),"")</f>
        <v/>
      </c>
    </row>
    <row r="192" customFormat="false" ht="15" hidden="false" customHeight="true" outlineLevel="0" collapsed="false">
      <c r="A192" s="11" t="str">
        <f aca="false">IF(B192&lt;&gt;"",COUNTA($B$4:B192),"")</f>
        <v/>
      </c>
      <c r="B192" s="12"/>
      <c r="C192" s="12"/>
      <c r="D192" s="12"/>
      <c r="E192" s="12"/>
      <c r="F192" s="12"/>
      <c r="G192" s="12"/>
      <c r="H192" s="12"/>
      <c r="I192" s="13"/>
      <c r="J192" s="12"/>
      <c r="K192" s="14" t="str">
        <f aca="false">IF(AND(I192&lt;&gt;"",H192&lt;&gt;"",J192&lt;&gt;""),IF(J192="W",I192*H192,IF(J192="L",-I192,IF(J192="P",I192*H192*0.5,""))),"")</f>
        <v/>
      </c>
      <c r="L192" s="15" t="str">
        <f aca="false">IF(AND(K192&lt;&gt;"",P191&lt;&gt;""),K192/P191,IF(K192&lt;&gt;"",K192/$D$2,""))</f>
        <v/>
      </c>
      <c r="M192" s="12"/>
      <c r="N192" s="12"/>
      <c r="O192" s="12"/>
      <c r="P192" s="16" t="str">
        <f aca="false">IF(K192&lt;&gt;"",P191+K192,IF(B192&lt;&gt;"",P191,""))</f>
        <v/>
      </c>
      <c r="Q192" s="17" t="str">
        <f aca="false">IF(P192&lt;&gt;"",MIN(0,P192-MAX($P$4:P192)),"")</f>
        <v/>
      </c>
    </row>
    <row r="193" customFormat="false" ht="15" hidden="false" customHeight="true" outlineLevel="0" collapsed="false">
      <c r="A193" s="11" t="str">
        <f aca="false">IF(B193&lt;&gt;"",COUNTA($B$4:B193),"")</f>
        <v/>
      </c>
      <c r="B193" s="20"/>
      <c r="C193" s="20"/>
      <c r="D193" s="20"/>
      <c r="E193" s="20"/>
      <c r="F193" s="20"/>
      <c r="G193" s="20"/>
      <c r="H193" s="20"/>
      <c r="I193" s="21"/>
      <c r="J193" s="20"/>
      <c r="K193" s="14" t="str">
        <f aca="false">IF(AND(I193&lt;&gt;"",H193&lt;&gt;"",J193&lt;&gt;""),IF(J193="W",I193*H193,IF(J193="L",-I193,IF(J193="P",I193*H193*0.5,""))),"")</f>
        <v/>
      </c>
      <c r="L193" s="15" t="str">
        <f aca="false">IF(AND(K193&lt;&gt;"",P192&lt;&gt;""),K193/P192,IF(K193&lt;&gt;"",K193/$D$2,""))</f>
        <v/>
      </c>
      <c r="M193" s="20"/>
      <c r="N193" s="20"/>
      <c r="O193" s="20"/>
      <c r="P193" s="16" t="str">
        <f aca="false">IF(K193&lt;&gt;"",P192+K193,IF(B193&lt;&gt;"",P192,""))</f>
        <v/>
      </c>
      <c r="Q193" s="17" t="str">
        <f aca="false">IF(P193&lt;&gt;"",MIN(0,P193-MAX($P$4:P193)),"")</f>
        <v/>
      </c>
    </row>
    <row r="194" customFormat="false" ht="15" hidden="false" customHeight="true" outlineLevel="0" collapsed="false">
      <c r="A194" s="11" t="str">
        <f aca="false">IF(B194&lt;&gt;"",COUNTA($B$4:B194),"")</f>
        <v/>
      </c>
      <c r="B194" s="12"/>
      <c r="C194" s="12"/>
      <c r="D194" s="12"/>
      <c r="E194" s="12"/>
      <c r="F194" s="12"/>
      <c r="G194" s="12"/>
      <c r="H194" s="12"/>
      <c r="I194" s="13"/>
      <c r="J194" s="12"/>
      <c r="K194" s="14" t="str">
        <f aca="false">IF(AND(I194&lt;&gt;"",H194&lt;&gt;"",J194&lt;&gt;""),IF(J194="W",I194*H194,IF(J194="L",-I194,IF(J194="P",I194*H194*0.5,""))),"")</f>
        <v/>
      </c>
      <c r="L194" s="15" t="str">
        <f aca="false">IF(AND(K194&lt;&gt;"",P193&lt;&gt;""),K194/P193,IF(K194&lt;&gt;"",K194/$D$2,""))</f>
        <v/>
      </c>
      <c r="M194" s="12"/>
      <c r="N194" s="12"/>
      <c r="O194" s="12"/>
      <c r="P194" s="16" t="str">
        <f aca="false">IF(K194&lt;&gt;"",P193+K194,IF(B194&lt;&gt;"",P193,""))</f>
        <v/>
      </c>
      <c r="Q194" s="17" t="str">
        <f aca="false">IF(P194&lt;&gt;"",MIN(0,P194-MAX($P$4:P194)),"")</f>
        <v/>
      </c>
    </row>
    <row r="195" customFormat="false" ht="15" hidden="false" customHeight="true" outlineLevel="0" collapsed="false">
      <c r="A195" s="11" t="str">
        <f aca="false">IF(B195&lt;&gt;"",COUNTA($B$4:B195),"")</f>
        <v/>
      </c>
      <c r="B195" s="20"/>
      <c r="C195" s="20"/>
      <c r="D195" s="20"/>
      <c r="E195" s="20"/>
      <c r="F195" s="20"/>
      <c r="G195" s="20"/>
      <c r="H195" s="20"/>
      <c r="I195" s="21"/>
      <c r="J195" s="20"/>
      <c r="K195" s="14" t="str">
        <f aca="false">IF(AND(I195&lt;&gt;"",H195&lt;&gt;"",J195&lt;&gt;""),IF(J195="W",I195*H195,IF(J195="L",-I195,IF(J195="P",I195*H195*0.5,""))),"")</f>
        <v/>
      </c>
      <c r="L195" s="15" t="str">
        <f aca="false">IF(AND(K195&lt;&gt;"",P194&lt;&gt;""),K195/P194,IF(K195&lt;&gt;"",K195/$D$2,""))</f>
        <v/>
      </c>
      <c r="M195" s="20"/>
      <c r="N195" s="20"/>
      <c r="O195" s="20"/>
      <c r="P195" s="16" t="str">
        <f aca="false">IF(K195&lt;&gt;"",P194+K195,IF(B195&lt;&gt;"",P194,""))</f>
        <v/>
      </c>
      <c r="Q195" s="17" t="str">
        <f aca="false">IF(P195&lt;&gt;"",MIN(0,P195-MAX($P$4:P195)),"")</f>
        <v/>
      </c>
    </row>
    <row r="196" customFormat="false" ht="15" hidden="false" customHeight="true" outlineLevel="0" collapsed="false">
      <c r="A196" s="11" t="str">
        <f aca="false">IF(B196&lt;&gt;"",COUNTA($B$4:B196),"")</f>
        <v/>
      </c>
      <c r="B196" s="12"/>
      <c r="C196" s="12"/>
      <c r="D196" s="12"/>
      <c r="E196" s="12"/>
      <c r="F196" s="12"/>
      <c r="G196" s="12"/>
      <c r="H196" s="12"/>
      <c r="I196" s="13"/>
      <c r="J196" s="12"/>
      <c r="K196" s="14" t="str">
        <f aca="false">IF(AND(I196&lt;&gt;"",H196&lt;&gt;"",J196&lt;&gt;""),IF(J196="W",I196*H196,IF(J196="L",-I196,IF(J196="P",I196*H196*0.5,""))),"")</f>
        <v/>
      </c>
      <c r="L196" s="15" t="str">
        <f aca="false">IF(AND(K196&lt;&gt;"",P195&lt;&gt;""),K196/P195,IF(K196&lt;&gt;"",K196/$D$2,""))</f>
        <v/>
      </c>
      <c r="M196" s="12"/>
      <c r="N196" s="12"/>
      <c r="O196" s="12"/>
      <c r="P196" s="16" t="str">
        <f aca="false">IF(K196&lt;&gt;"",P195+K196,IF(B196&lt;&gt;"",P195,""))</f>
        <v/>
      </c>
      <c r="Q196" s="17" t="str">
        <f aca="false">IF(P196&lt;&gt;"",MIN(0,P196-MAX($P$4:P196)),"")</f>
        <v/>
      </c>
    </row>
    <row r="197" customFormat="false" ht="15" hidden="false" customHeight="true" outlineLevel="0" collapsed="false">
      <c r="A197" s="11" t="str">
        <f aca="false">IF(B197&lt;&gt;"",COUNTA($B$4:B197),"")</f>
        <v/>
      </c>
      <c r="B197" s="20"/>
      <c r="C197" s="20"/>
      <c r="D197" s="20"/>
      <c r="E197" s="20"/>
      <c r="F197" s="20"/>
      <c r="G197" s="20"/>
      <c r="H197" s="20"/>
      <c r="I197" s="21"/>
      <c r="J197" s="20"/>
      <c r="K197" s="14" t="str">
        <f aca="false">IF(AND(I197&lt;&gt;"",H197&lt;&gt;"",J197&lt;&gt;""),IF(J197="W",I197*H197,IF(J197="L",-I197,IF(J197="P",I197*H197*0.5,""))),"")</f>
        <v/>
      </c>
      <c r="L197" s="15" t="str">
        <f aca="false">IF(AND(K197&lt;&gt;"",P196&lt;&gt;""),K197/P196,IF(K197&lt;&gt;"",K197/$D$2,""))</f>
        <v/>
      </c>
      <c r="M197" s="20"/>
      <c r="N197" s="20"/>
      <c r="O197" s="20"/>
      <c r="P197" s="16" t="str">
        <f aca="false">IF(K197&lt;&gt;"",P196+K197,IF(B197&lt;&gt;"",P196,""))</f>
        <v/>
      </c>
      <c r="Q197" s="17" t="str">
        <f aca="false">IF(P197&lt;&gt;"",MIN(0,P197-MAX($P$4:P197)),"")</f>
        <v/>
      </c>
    </row>
    <row r="198" customFormat="false" ht="15" hidden="false" customHeight="true" outlineLevel="0" collapsed="false">
      <c r="A198" s="11" t="str">
        <f aca="false">IF(B198&lt;&gt;"",COUNTA($B$4:B198),"")</f>
        <v/>
      </c>
      <c r="B198" s="12"/>
      <c r="C198" s="12"/>
      <c r="D198" s="12"/>
      <c r="E198" s="12"/>
      <c r="F198" s="12"/>
      <c r="G198" s="12"/>
      <c r="H198" s="12"/>
      <c r="I198" s="13"/>
      <c r="J198" s="12"/>
      <c r="K198" s="14" t="str">
        <f aca="false">IF(AND(I198&lt;&gt;"",H198&lt;&gt;"",J198&lt;&gt;""),IF(J198="W",I198*H198,IF(J198="L",-I198,IF(J198="P",I198*H198*0.5,""))),"")</f>
        <v/>
      </c>
      <c r="L198" s="15" t="str">
        <f aca="false">IF(AND(K198&lt;&gt;"",P197&lt;&gt;""),K198/P197,IF(K198&lt;&gt;"",K198/$D$2,""))</f>
        <v/>
      </c>
      <c r="M198" s="12"/>
      <c r="N198" s="12"/>
      <c r="O198" s="12"/>
      <c r="P198" s="16" t="str">
        <f aca="false">IF(K198&lt;&gt;"",P197+K198,IF(B198&lt;&gt;"",P197,""))</f>
        <v/>
      </c>
      <c r="Q198" s="17" t="str">
        <f aca="false">IF(P198&lt;&gt;"",MIN(0,P198-MAX($P$4:P198)),"")</f>
        <v/>
      </c>
    </row>
    <row r="199" customFormat="false" ht="15" hidden="false" customHeight="true" outlineLevel="0" collapsed="false">
      <c r="A199" s="11" t="str">
        <f aca="false">IF(B199&lt;&gt;"",COUNTA($B$4:B199),"")</f>
        <v/>
      </c>
      <c r="B199" s="20"/>
      <c r="C199" s="20"/>
      <c r="D199" s="20"/>
      <c r="E199" s="20"/>
      <c r="F199" s="20"/>
      <c r="G199" s="20"/>
      <c r="H199" s="20"/>
      <c r="I199" s="21"/>
      <c r="J199" s="20"/>
      <c r="K199" s="14" t="str">
        <f aca="false">IF(AND(I199&lt;&gt;"",H199&lt;&gt;"",J199&lt;&gt;""),IF(J199="W",I199*H199,IF(J199="L",-I199,IF(J199="P",I199*H199*0.5,""))),"")</f>
        <v/>
      </c>
      <c r="L199" s="15" t="str">
        <f aca="false">IF(AND(K199&lt;&gt;"",P198&lt;&gt;""),K199/P198,IF(K199&lt;&gt;"",K199/$D$2,""))</f>
        <v/>
      </c>
      <c r="M199" s="20"/>
      <c r="N199" s="20"/>
      <c r="O199" s="20"/>
      <c r="P199" s="16" t="str">
        <f aca="false">IF(K199&lt;&gt;"",P198+K199,IF(B199&lt;&gt;"",P198,""))</f>
        <v/>
      </c>
      <c r="Q199" s="17" t="str">
        <f aca="false">IF(P199&lt;&gt;"",MIN(0,P199-MAX($P$4:P199)),"")</f>
        <v/>
      </c>
    </row>
    <row r="200" customFormat="false" ht="15" hidden="false" customHeight="true" outlineLevel="0" collapsed="false">
      <c r="A200" s="11" t="str">
        <f aca="false">IF(B200&lt;&gt;"",COUNTA($B$4:B200),"")</f>
        <v/>
      </c>
      <c r="B200" s="12"/>
      <c r="C200" s="12"/>
      <c r="D200" s="12"/>
      <c r="E200" s="12"/>
      <c r="F200" s="12"/>
      <c r="G200" s="12"/>
      <c r="H200" s="12"/>
      <c r="I200" s="13"/>
      <c r="J200" s="12"/>
      <c r="K200" s="14" t="str">
        <f aca="false">IF(AND(I200&lt;&gt;"",H200&lt;&gt;"",J200&lt;&gt;""),IF(J200="W",I200*H200,IF(J200="L",-I200,IF(J200="P",I200*H200*0.5,""))),"")</f>
        <v/>
      </c>
      <c r="L200" s="15" t="str">
        <f aca="false">IF(AND(K200&lt;&gt;"",P199&lt;&gt;""),K200/P199,IF(K200&lt;&gt;"",K200/$D$2,""))</f>
        <v/>
      </c>
      <c r="M200" s="12"/>
      <c r="N200" s="12"/>
      <c r="O200" s="12"/>
      <c r="P200" s="16" t="str">
        <f aca="false">IF(K200&lt;&gt;"",P199+K200,IF(B200&lt;&gt;"",P199,""))</f>
        <v/>
      </c>
      <c r="Q200" s="17" t="str">
        <f aca="false">IF(P200&lt;&gt;"",MIN(0,P200-MAX($P$4:P200)),"")</f>
        <v/>
      </c>
    </row>
    <row r="201" customFormat="false" ht="15" hidden="false" customHeight="true" outlineLevel="0" collapsed="false">
      <c r="A201" s="11" t="str">
        <f aca="false">IF(B201&lt;&gt;"",COUNTA($B$4:B201),"")</f>
        <v/>
      </c>
      <c r="B201" s="20"/>
      <c r="C201" s="20"/>
      <c r="D201" s="20"/>
      <c r="E201" s="20"/>
      <c r="F201" s="20"/>
      <c r="G201" s="20"/>
      <c r="H201" s="20"/>
      <c r="I201" s="21"/>
      <c r="J201" s="20"/>
      <c r="K201" s="14" t="str">
        <f aca="false">IF(AND(I201&lt;&gt;"",H201&lt;&gt;"",J201&lt;&gt;""),IF(J201="W",I201*H201,IF(J201="L",-I201,IF(J201="P",I201*H201*0.5,""))),"")</f>
        <v/>
      </c>
      <c r="L201" s="15" t="str">
        <f aca="false">IF(AND(K201&lt;&gt;"",P200&lt;&gt;""),K201/P200,IF(K201&lt;&gt;"",K201/$D$2,""))</f>
        <v/>
      </c>
      <c r="M201" s="20"/>
      <c r="N201" s="20"/>
      <c r="O201" s="20"/>
      <c r="P201" s="16" t="str">
        <f aca="false">IF(K201&lt;&gt;"",P200+K201,IF(B201&lt;&gt;"",P200,""))</f>
        <v/>
      </c>
      <c r="Q201" s="17" t="str">
        <f aca="false">IF(P201&lt;&gt;"",MIN(0,P201-MAX($P$4:P201)),"")</f>
        <v/>
      </c>
    </row>
    <row r="202" customFormat="false" ht="15" hidden="false" customHeight="true" outlineLevel="0" collapsed="false">
      <c r="A202" s="11" t="str">
        <f aca="false">IF(B202&lt;&gt;"",COUNTA($B$4:B202),"")</f>
        <v/>
      </c>
      <c r="B202" s="12"/>
      <c r="C202" s="12"/>
      <c r="D202" s="12"/>
      <c r="E202" s="12"/>
      <c r="F202" s="12"/>
      <c r="G202" s="12"/>
      <c r="H202" s="12"/>
      <c r="I202" s="13"/>
      <c r="J202" s="12"/>
      <c r="K202" s="14" t="str">
        <f aca="false">IF(AND(I202&lt;&gt;"",H202&lt;&gt;"",J202&lt;&gt;""),IF(J202="W",I202*H202,IF(J202="L",-I202,IF(J202="P",I202*H202*0.5,""))),"")</f>
        <v/>
      </c>
      <c r="L202" s="15" t="str">
        <f aca="false">IF(AND(K202&lt;&gt;"",P201&lt;&gt;""),K202/P201,IF(K202&lt;&gt;"",K202/$D$2,""))</f>
        <v/>
      </c>
      <c r="M202" s="12"/>
      <c r="N202" s="12"/>
      <c r="O202" s="12"/>
      <c r="P202" s="16" t="str">
        <f aca="false">IF(K202&lt;&gt;"",P201+K202,IF(B202&lt;&gt;"",P201,""))</f>
        <v/>
      </c>
      <c r="Q202" s="17" t="str">
        <f aca="false">IF(P202&lt;&gt;"",MIN(0,P202-MAX($P$4:P202)),"")</f>
        <v/>
      </c>
    </row>
    <row r="203" customFormat="false" ht="15" hidden="false" customHeight="true" outlineLevel="0" collapsed="false">
      <c r="A203" s="11" t="str">
        <f aca="false">IF(B203&lt;&gt;"",COUNTA($B$4:B203),"")</f>
        <v/>
      </c>
      <c r="B203" s="20"/>
      <c r="C203" s="20"/>
      <c r="D203" s="20"/>
      <c r="E203" s="20"/>
      <c r="F203" s="20"/>
      <c r="G203" s="20"/>
      <c r="H203" s="20"/>
      <c r="I203" s="21"/>
      <c r="J203" s="20"/>
      <c r="K203" s="14" t="str">
        <f aca="false">IF(AND(I203&lt;&gt;"",H203&lt;&gt;"",J203&lt;&gt;""),IF(J203="W",I203*H203,IF(J203="L",-I203,IF(J203="P",I203*H203*0.5,""))),"")</f>
        <v/>
      </c>
      <c r="L203" s="15" t="str">
        <f aca="false">IF(AND(K203&lt;&gt;"",P202&lt;&gt;""),K203/P202,IF(K203&lt;&gt;"",K203/$D$2,""))</f>
        <v/>
      </c>
      <c r="M203" s="20"/>
      <c r="N203" s="20"/>
      <c r="O203" s="20"/>
      <c r="P203" s="16" t="str">
        <f aca="false">IF(K203&lt;&gt;"",P202+K203,IF(B203&lt;&gt;"",P202,""))</f>
        <v/>
      </c>
      <c r="Q203" s="17" t="str">
        <f aca="false">IF(P203&lt;&gt;"",MIN(0,P203-MAX($P$4:P203)),"")</f>
        <v/>
      </c>
    </row>
    <row r="204" customFormat="false" ht="15" hidden="false" customHeight="true" outlineLevel="0" collapsed="false">
      <c r="A204" s="11" t="str">
        <f aca="false">IF(B204&lt;&gt;"",COUNTA($B$4:B204),"")</f>
        <v/>
      </c>
      <c r="B204" s="12"/>
      <c r="C204" s="12"/>
      <c r="D204" s="12"/>
      <c r="E204" s="12"/>
      <c r="F204" s="12"/>
      <c r="G204" s="12"/>
      <c r="H204" s="12"/>
      <c r="I204" s="13"/>
      <c r="J204" s="12"/>
      <c r="K204" s="14" t="str">
        <f aca="false">IF(AND(I204&lt;&gt;"",H204&lt;&gt;"",J204&lt;&gt;""),IF(J204="W",I204*H204,IF(J204="L",-I204,IF(J204="P",I204*H204*0.5,""))),"")</f>
        <v/>
      </c>
      <c r="L204" s="15" t="str">
        <f aca="false">IF(AND(K204&lt;&gt;"",P203&lt;&gt;""),K204/P203,IF(K204&lt;&gt;"",K204/$D$2,""))</f>
        <v/>
      </c>
      <c r="M204" s="12"/>
      <c r="N204" s="12"/>
      <c r="O204" s="12"/>
      <c r="P204" s="16" t="str">
        <f aca="false">IF(K204&lt;&gt;"",P203+K204,IF(B204&lt;&gt;"",P203,""))</f>
        <v/>
      </c>
      <c r="Q204" s="17" t="str">
        <f aca="false">IF(P204&lt;&gt;"",MIN(0,P204-MAX($P$4:P204)),"")</f>
        <v/>
      </c>
    </row>
    <row r="205" customFormat="false" ht="15" hidden="false" customHeight="true" outlineLevel="0" collapsed="false">
      <c r="A205" s="11" t="str">
        <f aca="false">IF(B205&lt;&gt;"",COUNTA($B$4:B205),"")</f>
        <v/>
      </c>
      <c r="B205" s="20"/>
      <c r="C205" s="20"/>
      <c r="D205" s="20"/>
      <c r="E205" s="20"/>
      <c r="F205" s="20"/>
      <c r="G205" s="20"/>
      <c r="H205" s="20"/>
      <c r="I205" s="21"/>
      <c r="J205" s="20"/>
      <c r="K205" s="14" t="str">
        <f aca="false">IF(AND(I205&lt;&gt;"",H205&lt;&gt;"",J205&lt;&gt;""),IF(J205="W",I205*H205,IF(J205="L",-I205,IF(J205="P",I205*H205*0.5,""))),"")</f>
        <v/>
      </c>
      <c r="L205" s="15" t="str">
        <f aca="false">IF(AND(K205&lt;&gt;"",P204&lt;&gt;""),K205/P204,IF(K205&lt;&gt;"",K205/$D$2,""))</f>
        <v/>
      </c>
      <c r="M205" s="20"/>
      <c r="N205" s="20"/>
      <c r="O205" s="20"/>
      <c r="P205" s="16" t="str">
        <f aca="false">IF(K205&lt;&gt;"",P204+K205,IF(B205&lt;&gt;"",P204,""))</f>
        <v/>
      </c>
      <c r="Q205" s="17" t="str">
        <f aca="false">IF(P205&lt;&gt;"",MIN(0,P205-MAX($P$4:P205)),"")</f>
        <v/>
      </c>
    </row>
    <row r="206" customFormat="false" ht="15" hidden="false" customHeight="true" outlineLevel="0" collapsed="false">
      <c r="A206" s="11" t="str">
        <f aca="false">IF(B206&lt;&gt;"",COUNTA($B$4:B206),"")</f>
        <v/>
      </c>
      <c r="B206" s="12"/>
      <c r="C206" s="12"/>
      <c r="D206" s="12"/>
      <c r="E206" s="12"/>
      <c r="F206" s="12"/>
      <c r="G206" s="12"/>
      <c r="H206" s="12"/>
      <c r="I206" s="13"/>
      <c r="J206" s="12"/>
      <c r="K206" s="14" t="str">
        <f aca="false">IF(AND(I206&lt;&gt;"",H206&lt;&gt;"",J206&lt;&gt;""),IF(J206="W",I206*H206,IF(J206="L",-I206,IF(J206="P",I206*H206*0.5,""))),"")</f>
        <v/>
      </c>
      <c r="L206" s="15" t="str">
        <f aca="false">IF(AND(K206&lt;&gt;"",P205&lt;&gt;""),K206/P205,IF(K206&lt;&gt;"",K206/$D$2,""))</f>
        <v/>
      </c>
      <c r="M206" s="12"/>
      <c r="N206" s="12"/>
      <c r="O206" s="12"/>
      <c r="P206" s="16" t="str">
        <f aca="false">IF(K206&lt;&gt;"",P205+K206,IF(B206&lt;&gt;"",P205,""))</f>
        <v/>
      </c>
      <c r="Q206" s="17" t="str">
        <f aca="false">IF(P206&lt;&gt;"",MIN(0,P206-MAX($P$4:P206)),"")</f>
        <v/>
      </c>
    </row>
    <row r="207" customFormat="false" ht="15" hidden="false" customHeight="true" outlineLevel="0" collapsed="false">
      <c r="A207" s="11" t="str">
        <f aca="false">IF(B207&lt;&gt;"",COUNTA($B$4:B207),"")</f>
        <v/>
      </c>
      <c r="B207" s="20"/>
      <c r="C207" s="20"/>
      <c r="D207" s="20"/>
      <c r="E207" s="20"/>
      <c r="F207" s="20"/>
      <c r="G207" s="20"/>
      <c r="H207" s="20"/>
      <c r="I207" s="21"/>
      <c r="J207" s="20"/>
      <c r="K207" s="14" t="str">
        <f aca="false">IF(AND(I207&lt;&gt;"",H207&lt;&gt;"",J207&lt;&gt;""),IF(J207="W",I207*H207,IF(J207="L",-I207,IF(J207="P",I207*H207*0.5,""))),"")</f>
        <v/>
      </c>
      <c r="L207" s="15" t="str">
        <f aca="false">IF(AND(K207&lt;&gt;"",P206&lt;&gt;""),K207/P206,IF(K207&lt;&gt;"",K207/$D$2,""))</f>
        <v/>
      </c>
      <c r="M207" s="20"/>
      <c r="N207" s="20"/>
      <c r="O207" s="20"/>
      <c r="P207" s="16" t="str">
        <f aca="false">IF(K207&lt;&gt;"",P206+K207,IF(B207&lt;&gt;"",P206,""))</f>
        <v/>
      </c>
      <c r="Q207" s="17" t="str">
        <f aca="false">IF(P207&lt;&gt;"",MIN(0,P207-MAX($P$4:P207)),"")</f>
        <v/>
      </c>
    </row>
    <row r="208" customFormat="false" ht="15" hidden="false" customHeight="true" outlineLevel="0" collapsed="false">
      <c r="A208" s="11" t="str">
        <f aca="false">IF(B208&lt;&gt;"",COUNTA($B$4:B208),"")</f>
        <v/>
      </c>
      <c r="B208" s="12"/>
      <c r="C208" s="12"/>
      <c r="D208" s="12"/>
      <c r="E208" s="12"/>
      <c r="F208" s="12"/>
      <c r="G208" s="12"/>
      <c r="H208" s="12"/>
      <c r="I208" s="13"/>
      <c r="J208" s="12"/>
      <c r="K208" s="14" t="str">
        <f aca="false">IF(AND(I208&lt;&gt;"",H208&lt;&gt;"",J208&lt;&gt;""),IF(J208="W",I208*H208,IF(J208="L",-I208,IF(J208="P",I208*H208*0.5,""))),"")</f>
        <v/>
      </c>
      <c r="L208" s="15" t="str">
        <f aca="false">IF(AND(K208&lt;&gt;"",P207&lt;&gt;""),K208/P207,IF(K208&lt;&gt;"",K208/$D$2,""))</f>
        <v/>
      </c>
      <c r="M208" s="12"/>
      <c r="N208" s="12"/>
      <c r="O208" s="12"/>
      <c r="P208" s="16" t="str">
        <f aca="false">IF(K208&lt;&gt;"",P207+K208,IF(B208&lt;&gt;"",P207,""))</f>
        <v/>
      </c>
      <c r="Q208" s="17" t="str">
        <f aca="false">IF(P208&lt;&gt;"",MIN(0,P208-MAX($P$4:P208)),"")</f>
        <v/>
      </c>
    </row>
    <row r="209" customFormat="false" ht="15" hidden="false" customHeight="true" outlineLevel="0" collapsed="false">
      <c r="A209" s="11" t="str">
        <f aca="false">IF(B209&lt;&gt;"",COUNTA($B$4:B209),"")</f>
        <v/>
      </c>
      <c r="B209" s="20"/>
      <c r="C209" s="20"/>
      <c r="D209" s="20"/>
      <c r="E209" s="20"/>
      <c r="F209" s="20"/>
      <c r="G209" s="20"/>
      <c r="H209" s="20"/>
      <c r="I209" s="21"/>
      <c r="J209" s="20"/>
      <c r="K209" s="14" t="str">
        <f aca="false">IF(AND(I209&lt;&gt;"",H209&lt;&gt;"",J209&lt;&gt;""),IF(J209="W",I209*H209,IF(J209="L",-I209,IF(J209="P",I209*H209*0.5,""))),"")</f>
        <v/>
      </c>
      <c r="L209" s="15" t="str">
        <f aca="false">IF(AND(K209&lt;&gt;"",P208&lt;&gt;""),K209/P208,IF(K209&lt;&gt;"",K209/$D$2,""))</f>
        <v/>
      </c>
      <c r="M209" s="20"/>
      <c r="N209" s="20"/>
      <c r="O209" s="20"/>
      <c r="P209" s="16" t="str">
        <f aca="false">IF(K209&lt;&gt;"",P208+K209,IF(B209&lt;&gt;"",P208,""))</f>
        <v/>
      </c>
      <c r="Q209" s="17" t="str">
        <f aca="false">IF(P209&lt;&gt;"",MIN(0,P209-MAX($P$4:P209)),"")</f>
        <v/>
      </c>
    </row>
    <row r="210" customFormat="false" ht="15" hidden="false" customHeight="true" outlineLevel="0" collapsed="false">
      <c r="A210" s="11" t="str">
        <f aca="false">IF(B210&lt;&gt;"",COUNTA($B$4:B210),"")</f>
        <v/>
      </c>
      <c r="B210" s="12"/>
      <c r="C210" s="12"/>
      <c r="D210" s="12"/>
      <c r="E210" s="12"/>
      <c r="F210" s="12"/>
      <c r="G210" s="12"/>
      <c r="H210" s="12"/>
      <c r="I210" s="13"/>
      <c r="J210" s="12"/>
      <c r="K210" s="14" t="str">
        <f aca="false">IF(AND(I210&lt;&gt;"",H210&lt;&gt;"",J210&lt;&gt;""),IF(J210="W",I210*H210,IF(J210="L",-I210,IF(J210="P",I210*H210*0.5,""))),"")</f>
        <v/>
      </c>
      <c r="L210" s="15" t="str">
        <f aca="false">IF(AND(K210&lt;&gt;"",P209&lt;&gt;""),K210/P209,IF(K210&lt;&gt;"",K210/$D$2,""))</f>
        <v/>
      </c>
      <c r="M210" s="12"/>
      <c r="N210" s="12"/>
      <c r="O210" s="12"/>
      <c r="P210" s="16" t="str">
        <f aca="false">IF(K210&lt;&gt;"",P209+K210,IF(B210&lt;&gt;"",P209,""))</f>
        <v/>
      </c>
      <c r="Q210" s="17" t="str">
        <f aca="false">IF(P210&lt;&gt;"",MIN(0,P210-MAX($P$4:P210)),"")</f>
        <v/>
      </c>
    </row>
    <row r="211" customFormat="false" ht="15" hidden="false" customHeight="true" outlineLevel="0" collapsed="false">
      <c r="A211" s="11" t="str">
        <f aca="false">IF(B211&lt;&gt;"",COUNTA($B$4:B211),"")</f>
        <v/>
      </c>
      <c r="B211" s="20"/>
      <c r="C211" s="20"/>
      <c r="D211" s="20"/>
      <c r="E211" s="20"/>
      <c r="F211" s="20"/>
      <c r="G211" s="20"/>
      <c r="H211" s="20"/>
      <c r="I211" s="21"/>
      <c r="J211" s="20"/>
      <c r="K211" s="14" t="str">
        <f aca="false">IF(AND(I211&lt;&gt;"",H211&lt;&gt;"",J211&lt;&gt;""),IF(J211="W",I211*H211,IF(J211="L",-I211,IF(J211="P",I211*H211*0.5,""))),"")</f>
        <v/>
      </c>
      <c r="L211" s="15" t="str">
        <f aca="false">IF(AND(K211&lt;&gt;"",P210&lt;&gt;""),K211/P210,IF(K211&lt;&gt;"",K211/$D$2,""))</f>
        <v/>
      </c>
      <c r="M211" s="20"/>
      <c r="N211" s="20"/>
      <c r="O211" s="20"/>
      <c r="P211" s="16" t="str">
        <f aca="false">IF(K211&lt;&gt;"",P210+K211,IF(B211&lt;&gt;"",P210,""))</f>
        <v/>
      </c>
      <c r="Q211" s="17" t="str">
        <f aca="false">IF(P211&lt;&gt;"",MIN(0,P211-MAX($P$4:P211)),"")</f>
        <v/>
      </c>
    </row>
    <row r="212" customFormat="false" ht="15" hidden="false" customHeight="true" outlineLevel="0" collapsed="false">
      <c r="A212" s="11" t="str">
        <f aca="false">IF(B212&lt;&gt;"",COUNTA($B$4:B212),"")</f>
        <v/>
      </c>
      <c r="B212" s="12"/>
      <c r="C212" s="12"/>
      <c r="D212" s="12"/>
      <c r="E212" s="12"/>
      <c r="F212" s="12"/>
      <c r="G212" s="12"/>
      <c r="H212" s="12"/>
      <c r="I212" s="13"/>
      <c r="J212" s="12"/>
      <c r="K212" s="14" t="str">
        <f aca="false">IF(AND(I212&lt;&gt;"",H212&lt;&gt;"",J212&lt;&gt;""),IF(J212="W",I212*H212,IF(J212="L",-I212,IF(J212="P",I212*H212*0.5,""))),"")</f>
        <v/>
      </c>
      <c r="L212" s="15" t="str">
        <f aca="false">IF(AND(K212&lt;&gt;"",P211&lt;&gt;""),K212/P211,IF(K212&lt;&gt;"",K212/$D$2,""))</f>
        <v/>
      </c>
      <c r="M212" s="12"/>
      <c r="N212" s="12"/>
      <c r="O212" s="12"/>
      <c r="P212" s="16" t="str">
        <f aca="false">IF(K212&lt;&gt;"",P211+K212,IF(B212&lt;&gt;"",P211,""))</f>
        <v/>
      </c>
      <c r="Q212" s="17" t="str">
        <f aca="false">IF(P212&lt;&gt;"",MIN(0,P212-MAX($P$4:P212)),"")</f>
        <v/>
      </c>
    </row>
    <row r="213" customFormat="false" ht="15" hidden="false" customHeight="true" outlineLevel="0" collapsed="false">
      <c r="A213" s="11" t="str">
        <f aca="false">IF(B213&lt;&gt;"",COUNTA($B$4:B213),"")</f>
        <v/>
      </c>
      <c r="B213" s="20"/>
      <c r="C213" s="20"/>
      <c r="D213" s="20"/>
      <c r="E213" s="20"/>
      <c r="F213" s="20"/>
      <c r="G213" s="20"/>
      <c r="H213" s="20"/>
      <c r="I213" s="21"/>
      <c r="J213" s="20"/>
      <c r="K213" s="14" t="str">
        <f aca="false">IF(AND(I213&lt;&gt;"",H213&lt;&gt;"",J213&lt;&gt;""),IF(J213="W",I213*H213,IF(J213="L",-I213,IF(J213="P",I213*H213*0.5,""))),"")</f>
        <v/>
      </c>
      <c r="L213" s="15" t="str">
        <f aca="false">IF(AND(K213&lt;&gt;"",P212&lt;&gt;""),K213/P212,IF(K213&lt;&gt;"",K213/$D$2,""))</f>
        <v/>
      </c>
      <c r="M213" s="20"/>
      <c r="N213" s="20"/>
      <c r="O213" s="20"/>
      <c r="P213" s="16" t="str">
        <f aca="false">IF(K213&lt;&gt;"",P212+K213,IF(B213&lt;&gt;"",P212,""))</f>
        <v/>
      </c>
      <c r="Q213" s="17" t="str">
        <f aca="false">IF(P213&lt;&gt;"",MIN(0,P213-MAX($P$4:P213)),"")</f>
        <v/>
      </c>
    </row>
    <row r="214" customFormat="false" ht="15" hidden="false" customHeight="true" outlineLevel="0" collapsed="false">
      <c r="A214" s="11" t="str">
        <f aca="false">IF(B214&lt;&gt;"",COUNTA($B$4:B214),"")</f>
        <v/>
      </c>
      <c r="B214" s="12"/>
      <c r="C214" s="12"/>
      <c r="D214" s="12"/>
      <c r="E214" s="12"/>
      <c r="F214" s="12"/>
      <c r="G214" s="12"/>
      <c r="H214" s="12"/>
      <c r="I214" s="13"/>
      <c r="J214" s="12"/>
      <c r="K214" s="14" t="str">
        <f aca="false">IF(AND(I214&lt;&gt;"",H214&lt;&gt;"",J214&lt;&gt;""),IF(J214="W",I214*H214,IF(J214="L",-I214,IF(J214="P",I214*H214*0.5,""))),"")</f>
        <v/>
      </c>
      <c r="L214" s="15" t="str">
        <f aca="false">IF(AND(K214&lt;&gt;"",P213&lt;&gt;""),K214/P213,IF(K214&lt;&gt;"",K214/$D$2,""))</f>
        <v/>
      </c>
      <c r="M214" s="12"/>
      <c r="N214" s="12"/>
      <c r="O214" s="12"/>
      <c r="P214" s="16" t="str">
        <f aca="false">IF(K214&lt;&gt;"",P213+K214,IF(B214&lt;&gt;"",P213,""))</f>
        <v/>
      </c>
      <c r="Q214" s="17" t="str">
        <f aca="false">IF(P214&lt;&gt;"",MIN(0,P214-MAX($P$4:P214)),"")</f>
        <v/>
      </c>
    </row>
    <row r="215" customFormat="false" ht="15" hidden="false" customHeight="true" outlineLevel="0" collapsed="false">
      <c r="A215" s="11" t="str">
        <f aca="false">IF(B215&lt;&gt;"",COUNTA($B$4:B215),"")</f>
        <v/>
      </c>
      <c r="B215" s="20"/>
      <c r="C215" s="20"/>
      <c r="D215" s="20"/>
      <c r="E215" s="20"/>
      <c r="F215" s="20"/>
      <c r="G215" s="20"/>
      <c r="H215" s="20"/>
      <c r="I215" s="21"/>
      <c r="J215" s="20"/>
      <c r="K215" s="14" t="str">
        <f aca="false">IF(AND(I215&lt;&gt;"",H215&lt;&gt;"",J215&lt;&gt;""),IF(J215="W",I215*H215,IF(J215="L",-I215,IF(J215="P",I215*H215*0.5,""))),"")</f>
        <v/>
      </c>
      <c r="L215" s="15" t="str">
        <f aca="false">IF(AND(K215&lt;&gt;"",P214&lt;&gt;""),K215/P214,IF(K215&lt;&gt;"",K215/$D$2,""))</f>
        <v/>
      </c>
      <c r="M215" s="20"/>
      <c r="N215" s="20"/>
      <c r="O215" s="20"/>
      <c r="P215" s="16" t="str">
        <f aca="false">IF(K215&lt;&gt;"",P214+K215,IF(B215&lt;&gt;"",P214,""))</f>
        <v/>
      </c>
      <c r="Q215" s="17" t="str">
        <f aca="false">IF(P215&lt;&gt;"",MIN(0,P215-MAX($P$4:P215)),"")</f>
        <v/>
      </c>
    </row>
    <row r="216" customFormat="false" ht="15" hidden="false" customHeight="true" outlineLevel="0" collapsed="false">
      <c r="A216" s="11" t="str">
        <f aca="false">IF(B216&lt;&gt;"",COUNTA($B$4:B216),"")</f>
        <v/>
      </c>
      <c r="B216" s="12"/>
      <c r="C216" s="12"/>
      <c r="D216" s="12"/>
      <c r="E216" s="12"/>
      <c r="F216" s="12"/>
      <c r="G216" s="12"/>
      <c r="H216" s="12"/>
      <c r="I216" s="13"/>
      <c r="J216" s="12"/>
      <c r="K216" s="14" t="str">
        <f aca="false">IF(AND(I216&lt;&gt;"",H216&lt;&gt;"",J216&lt;&gt;""),IF(J216="W",I216*H216,IF(J216="L",-I216,IF(J216="P",I216*H216*0.5,""))),"")</f>
        <v/>
      </c>
      <c r="L216" s="15" t="str">
        <f aca="false">IF(AND(K216&lt;&gt;"",P215&lt;&gt;""),K216/P215,IF(K216&lt;&gt;"",K216/$D$2,""))</f>
        <v/>
      </c>
      <c r="M216" s="12"/>
      <c r="N216" s="12"/>
      <c r="O216" s="12"/>
      <c r="P216" s="16" t="str">
        <f aca="false">IF(K216&lt;&gt;"",P215+K216,IF(B216&lt;&gt;"",P215,""))</f>
        <v/>
      </c>
      <c r="Q216" s="17" t="str">
        <f aca="false">IF(P216&lt;&gt;"",MIN(0,P216-MAX($P$4:P216)),"")</f>
        <v/>
      </c>
    </row>
    <row r="217" customFormat="false" ht="15" hidden="false" customHeight="true" outlineLevel="0" collapsed="false">
      <c r="A217" s="11" t="str">
        <f aca="false">IF(B217&lt;&gt;"",COUNTA($B$4:B217),"")</f>
        <v/>
      </c>
      <c r="B217" s="20"/>
      <c r="C217" s="20"/>
      <c r="D217" s="20"/>
      <c r="E217" s="20"/>
      <c r="F217" s="20"/>
      <c r="G217" s="20"/>
      <c r="H217" s="20"/>
      <c r="I217" s="21"/>
      <c r="J217" s="20"/>
      <c r="K217" s="14" t="str">
        <f aca="false">IF(AND(I217&lt;&gt;"",H217&lt;&gt;"",J217&lt;&gt;""),IF(J217="W",I217*H217,IF(J217="L",-I217,IF(J217="P",I217*H217*0.5,""))),"")</f>
        <v/>
      </c>
      <c r="L217" s="15" t="str">
        <f aca="false">IF(AND(K217&lt;&gt;"",P216&lt;&gt;""),K217/P216,IF(K217&lt;&gt;"",K217/$D$2,""))</f>
        <v/>
      </c>
      <c r="M217" s="20"/>
      <c r="N217" s="20"/>
      <c r="O217" s="20"/>
      <c r="P217" s="16" t="str">
        <f aca="false">IF(K217&lt;&gt;"",P216+K217,IF(B217&lt;&gt;"",P216,""))</f>
        <v/>
      </c>
      <c r="Q217" s="17" t="str">
        <f aca="false">IF(P217&lt;&gt;"",MIN(0,P217-MAX($P$4:P217)),"")</f>
        <v/>
      </c>
    </row>
    <row r="218" customFormat="false" ht="15" hidden="false" customHeight="true" outlineLevel="0" collapsed="false">
      <c r="A218" s="11" t="str">
        <f aca="false">IF(B218&lt;&gt;"",COUNTA($B$4:B218),"")</f>
        <v/>
      </c>
      <c r="B218" s="12"/>
      <c r="C218" s="12"/>
      <c r="D218" s="12"/>
      <c r="E218" s="12"/>
      <c r="F218" s="12"/>
      <c r="G218" s="12"/>
      <c r="H218" s="12"/>
      <c r="I218" s="13"/>
      <c r="J218" s="12"/>
      <c r="K218" s="14" t="str">
        <f aca="false">IF(AND(I218&lt;&gt;"",H218&lt;&gt;"",J218&lt;&gt;""),IF(J218="W",I218*H218,IF(J218="L",-I218,IF(J218="P",I218*H218*0.5,""))),"")</f>
        <v/>
      </c>
      <c r="L218" s="15" t="str">
        <f aca="false">IF(AND(K218&lt;&gt;"",P217&lt;&gt;""),K218/P217,IF(K218&lt;&gt;"",K218/$D$2,""))</f>
        <v/>
      </c>
      <c r="M218" s="12"/>
      <c r="N218" s="12"/>
      <c r="O218" s="12"/>
      <c r="P218" s="16" t="str">
        <f aca="false">IF(K218&lt;&gt;"",P217+K218,IF(B218&lt;&gt;"",P217,""))</f>
        <v/>
      </c>
      <c r="Q218" s="17" t="str">
        <f aca="false">IF(P218&lt;&gt;"",MIN(0,P218-MAX($P$4:P218)),"")</f>
        <v/>
      </c>
    </row>
    <row r="219" customFormat="false" ht="15" hidden="false" customHeight="true" outlineLevel="0" collapsed="false">
      <c r="A219" s="11" t="str">
        <f aca="false">IF(B219&lt;&gt;"",COUNTA($B$4:B219),"")</f>
        <v/>
      </c>
      <c r="B219" s="20"/>
      <c r="C219" s="20"/>
      <c r="D219" s="20"/>
      <c r="E219" s="20"/>
      <c r="F219" s="20"/>
      <c r="G219" s="20"/>
      <c r="H219" s="20"/>
      <c r="I219" s="21"/>
      <c r="J219" s="20"/>
      <c r="K219" s="14" t="str">
        <f aca="false">IF(AND(I219&lt;&gt;"",H219&lt;&gt;"",J219&lt;&gt;""),IF(J219="W",I219*H219,IF(J219="L",-I219,IF(J219="P",I219*H219*0.5,""))),"")</f>
        <v/>
      </c>
      <c r="L219" s="15" t="str">
        <f aca="false">IF(AND(K219&lt;&gt;"",P218&lt;&gt;""),K219/P218,IF(K219&lt;&gt;"",K219/$D$2,""))</f>
        <v/>
      </c>
      <c r="M219" s="20"/>
      <c r="N219" s="20"/>
      <c r="O219" s="20"/>
      <c r="P219" s="16" t="str">
        <f aca="false">IF(K219&lt;&gt;"",P218+K219,IF(B219&lt;&gt;"",P218,""))</f>
        <v/>
      </c>
      <c r="Q219" s="17" t="str">
        <f aca="false">IF(P219&lt;&gt;"",MIN(0,P219-MAX($P$4:P219)),"")</f>
        <v/>
      </c>
    </row>
    <row r="220" customFormat="false" ht="15" hidden="false" customHeight="true" outlineLevel="0" collapsed="false">
      <c r="A220" s="11" t="str">
        <f aca="false">IF(B220&lt;&gt;"",COUNTA($B$4:B220),"")</f>
        <v/>
      </c>
      <c r="B220" s="12"/>
      <c r="C220" s="12"/>
      <c r="D220" s="12"/>
      <c r="E220" s="12"/>
      <c r="F220" s="12"/>
      <c r="G220" s="12"/>
      <c r="H220" s="12"/>
      <c r="I220" s="13"/>
      <c r="J220" s="12"/>
      <c r="K220" s="14" t="str">
        <f aca="false">IF(AND(I220&lt;&gt;"",H220&lt;&gt;"",J220&lt;&gt;""),IF(J220="W",I220*H220,IF(J220="L",-I220,IF(J220="P",I220*H220*0.5,""))),"")</f>
        <v/>
      </c>
      <c r="L220" s="15" t="str">
        <f aca="false">IF(AND(K220&lt;&gt;"",P219&lt;&gt;""),K220/P219,IF(K220&lt;&gt;"",K220/$D$2,""))</f>
        <v/>
      </c>
      <c r="M220" s="12"/>
      <c r="N220" s="12"/>
      <c r="O220" s="12"/>
      <c r="P220" s="16" t="str">
        <f aca="false">IF(K220&lt;&gt;"",P219+K220,IF(B220&lt;&gt;"",P219,""))</f>
        <v/>
      </c>
      <c r="Q220" s="17" t="str">
        <f aca="false">IF(P220&lt;&gt;"",MIN(0,P220-MAX($P$4:P220)),"")</f>
        <v/>
      </c>
    </row>
    <row r="221" customFormat="false" ht="15" hidden="false" customHeight="true" outlineLevel="0" collapsed="false">
      <c r="A221" s="11" t="str">
        <f aca="false">IF(B221&lt;&gt;"",COUNTA($B$4:B221),"")</f>
        <v/>
      </c>
      <c r="B221" s="20"/>
      <c r="C221" s="20"/>
      <c r="D221" s="20"/>
      <c r="E221" s="20"/>
      <c r="F221" s="20"/>
      <c r="G221" s="20"/>
      <c r="H221" s="20"/>
      <c r="I221" s="21"/>
      <c r="J221" s="20"/>
      <c r="K221" s="14" t="str">
        <f aca="false">IF(AND(I221&lt;&gt;"",H221&lt;&gt;"",J221&lt;&gt;""),IF(J221="W",I221*H221,IF(J221="L",-I221,IF(J221="P",I221*H221*0.5,""))),"")</f>
        <v/>
      </c>
      <c r="L221" s="15" t="str">
        <f aca="false">IF(AND(K221&lt;&gt;"",P220&lt;&gt;""),K221/P220,IF(K221&lt;&gt;"",K221/$D$2,""))</f>
        <v/>
      </c>
      <c r="M221" s="20"/>
      <c r="N221" s="20"/>
      <c r="O221" s="20"/>
      <c r="P221" s="16" t="str">
        <f aca="false">IF(K221&lt;&gt;"",P220+K221,IF(B221&lt;&gt;"",P220,""))</f>
        <v/>
      </c>
      <c r="Q221" s="17" t="str">
        <f aca="false">IF(P221&lt;&gt;"",MIN(0,P221-MAX($P$4:P221)),"")</f>
        <v/>
      </c>
    </row>
    <row r="222" customFormat="false" ht="15" hidden="false" customHeight="true" outlineLevel="0" collapsed="false">
      <c r="A222" s="11" t="str">
        <f aca="false">IF(B222&lt;&gt;"",COUNTA($B$4:B222),"")</f>
        <v/>
      </c>
      <c r="B222" s="12"/>
      <c r="C222" s="12"/>
      <c r="D222" s="12"/>
      <c r="E222" s="12"/>
      <c r="F222" s="12"/>
      <c r="G222" s="12"/>
      <c r="H222" s="12"/>
      <c r="I222" s="13"/>
      <c r="J222" s="12"/>
      <c r="K222" s="14" t="str">
        <f aca="false">IF(AND(I222&lt;&gt;"",H222&lt;&gt;"",J222&lt;&gt;""),IF(J222="W",I222*H222,IF(J222="L",-I222,IF(J222="P",I222*H222*0.5,""))),"")</f>
        <v/>
      </c>
      <c r="L222" s="15" t="str">
        <f aca="false">IF(AND(K222&lt;&gt;"",P221&lt;&gt;""),K222/P221,IF(K222&lt;&gt;"",K222/$D$2,""))</f>
        <v/>
      </c>
      <c r="M222" s="12"/>
      <c r="N222" s="12"/>
      <c r="O222" s="12"/>
      <c r="P222" s="16" t="str">
        <f aca="false">IF(K222&lt;&gt;"",P221+K222,IF(B222&lt;&gt;"",P221,""))</f>
        <v/>
      </c>
      <c r="Q222" s="17" t="str">
        <f aca="false">IF(P222&lt;&gt;"",MIN(0,P222-MAX($P$4:P222)),"")</f>
        <v/>
      </c>
    </row>
    <row r="223" customFormat="false" ht="15" hidden="false" customHeight="true" outlineLevel="0" collapsed="false">
      <c r="A223" s="11" t="str">
        <f aca="false">IF(B223&lt;&gt;"",COUNTA($B$4:B223),"")</f>
        <v/>
      </c>
      <c r="B223" s="20"/>
      <c r="C223" s="20"/>
      <c r="D223" s="20"/>
      <c r="E223" s="20"/>
      <c r="F223" s="20"/>
      <c r="G223" s="20"/>
      <c r="H223" s="20"/>
      <c r="I223" s="21"/>
      <c r="J223" s="20"/>
      <c r="K223" s="14" t="str">
        <f aca="false">IF(AND(I223&lt;&gt;"",H223&lt;&gt;"",J223&lt;&gt;""),IF(J223="W",I223*H223,IF(J223="L",-I223,IF(J223="P",I223*H223*0.5,""))),"")</f>
        <v/>
      </c>
      <c r="L223" s="15" t="str">
        <f aca="false">IF(AND(K223&lt;&gt;"",P222&lt;&gt;""),K223/P222,IF(K223&lt;&gt;"",K223/$D$2,""))</f>
        <v/>
      </c>
      <c r="M223" s="20"/>
      <c r="N223" s="20"/>
      <c r="O223" s="20"/>
      <c r="P223" s="16" t="str">
        <f aca="false">IF(K223&lt;&gt;"",P222+K223,IF(B223&lt;&gt;"",P222,""))</f>
        <v/>
      </c>
      <c r="Q223" s="17" t="str">
        <f aca="false">IF(P223&lt;&gt;"",MIN(0,P223-MAX($P$4:P223)),"")</f>
        <v/>
      </c>
    </row>
    <row r="224" customFormat="false" ht="15" hidden="false" customHeight="true" outlineLevel="0" collapsed="false">
      <c r="A224" s="11" t="str">
        <f aca="false">IF(B224&lt;&gt;"",COUNTA($B$4:B224),"")</f>
        <v/>
      </c>
      <c r="B224" s="12"/>
      <c r="C224" s="12"/>
      <c r="D224" s="12"/>
      <c r="E224" s="12"/>
      <c r="F224" s="12"/>
      <c r="G224" s="12"/>
      <c r="H224" s="12"/>
      <c r="I224" s="13"/>
      <c r="J224" s="12"/>
      <c r="K224" s="14" t="str">
        <f aca="false">IF(AND(I224&lt;&gt;"",H224&lt;&gt;"",J224&lt;&gt;""),IF(J224="W",I224*H224,IF(J224="L",-I224,IF(J224="P",I224*H224*0.5,""))),"")</f>
        <v/>
      </c>
      <c r="L224" s="15" t="str">
        <f aca="false">IF(AND(K224&lt;&gt;"",P223&lt;&gt;""),K224/P223,IF(K224&lt;&gt;"",K224/$D$2,""))</f>
        <v/>
      </c>
      <c r="M224" s="12"/>
      <c r="N224" s="12"/>
      <c r="O224" s="12"/>
      <c r="P224" s="16" t="str">
        <f aca="false">IF(K224&lt;&gt;"",P223+K224,IF(B224&lt;&gt;"",P223,""))</f>
        <v/>
      </c>
      <c r="Q224" s="17" t="str">
        <f aca="false">IF(P224&lt;&gt;"",MIN(0,P224-MAX($P$4:P224)),"")</f>
        <v/>
      </c>
    </row>
    <row r="225" customFormat="false" ht="15" hidden="false" customHeight="true" outlineLevel="0" collapsed="false">
      <c r="A225" s="11" t="str">
        <f aca="false">IF(B225&lt;&gt;"",COUNTA($B$4:B225),"")</f>
        <v/>
      </c>
      <c r="B225" s="20"/>
      <c r="C225" s="20"/>
      <c r="D225" s="20"/>
      <c r="E225" s="20"/>
      <c r="F225" s="20"/>
      <c r="G225" s="20"/>
      <c r="H225" s="20"/>
      <c r="I225" s="21"/>
      <c r="J225" s="20"/>
      <c r="K225" s="14" t="str">
        <f aca="false">IF(AND(I225&lt;&gt;"",H225&lt;&gt;"",J225&lt;&gt;""),IF(J225="W",I225*H225,IF(J225="L",-I225,IF(J225="P",I225*H225*0.5,""))),"")</f>
        <v/>
      </c>
      <c r="L225" s="15" t="str">
        <f aca="false">IF(AND(K225&lt;&gt;"",P224&lt;&gt;""),K225/P224,IF(K225&lt;&gt;"",K225/$D$2,""))</f>
        <v/>
      </c>
      <c r="M225" s="20"/>
      <c r="N225" s="20"/>
      <c r="O225" s="20"/>
      <c r="P225" s="16" t="str">
        <f aca="false">IF(K225&lt;&gt;"",P224+K225,IF(B225&lt;&gt;"",P224,""))</f>
        <v/>
      </c>
      <c r="Q225" s="17" t="str">
        <f aca="false">IF(P225&lt;&gt;"",MIN(0,P225-MAX($P$4:P225)),"")</f>
        <v/>
      </c>
    </row>
    <row r="226" customFormat="false" ht="15" hidden="false" customHeight="true" outlineLevel="0" collapsed="false">
      <c r="A226" s="11" t="str">
        <f aca="false">IF(B226&lt;&gt;"",COUNTA($B$4:B226),"")</f>
        <v/>
      </c>
      <c r="B226" s="12"/>
      <c r="C226" s="12"/>
      <c r="D226" s="12"/>
      <c r="E226" s="12"/>
      <c r="F226" s="12"/>
      <c r="G226" s="12"/>
      <c r="H226" s="12"/>
      <c r="I226" s="13"/>
      <c r="J226" s="12"/>
      <c r="K226" s="14" t="str">
        <f aca="false">IF(AND(I226&lt;&gt;"",H226&lt;&gt;"",J226&lt;&gt;""),IF(J226="W",I226*H226,IF(J226="L",-I226,IF(J226="P",I226*H226*0.5,""))),"")</f>
        <v/>
      </c>
      <c r="L226" s="15" t="str">
        <f aca="false">IF(AND(K226&lt;&gt;"",P225&lt;&gt;""),K226/P225,IF(K226&lt;&gt;"",K226/$D$2,""))</f>
        <v/>
      </c>
      <c r="M226" s="12"/>
      <c r="N226" s="12"/>
      <c r="O226" s="12"/>
      <c r="P226" s="16" t="str">
        <f aca="false">IF(K226&lt;&gt;"",P225+K226,IF(B226&lt;&gt;"",P225,""))</f>
        <v/>
      </c>
      <c r="Q226" s="17" t="str">
        <f aca="false">IF(P226&lt;&gt;"",MIN(0,P226-MAX($P$4:P226)),"")</f>
        <v/>
      </c>
    </row>
    <row r="227" customFormat="false" ht="15" hidden="false" customHeight="true" outlineLevel="0" collapsed="false">
      <c r="A227" s="11" t="str">
        <f aca="false">IF(B227&lt;&gt;"",COUNTA($B$4:B227),"")</f>
        <v/>
      </c>
      <c r="B227" s="20"/>
      <c r="C227" s="20"/>
      <c r="D227" s="20"/>
      <c r="E227" s="20"/>
      <c r="F227" s="20"/>
      <c r="G227" s="20"/>
      <c r="H227" s="20"/>
      <c r="I227" s="21"/>
      <c r="J227" s="20"/>
      <c r="K227" s="14" t="str">
        <f aca="false">IF(AND(I227&lt;&gt;"",H227&lt;&gt;"",J227&lt;&gt;""),IF(J227="W",I227*H227,IF(J227="L",-I227,IF(J227="P",I227*H227*0.5,""))),"")</f>
        <v/>
      </c>
      <c r="L227" s="15" t="str">
        <f aca="false">IF(AND(K227&lt;&gt;"",P226&lt;&gt;""),K227/P226,IF(K227&lt;&gt;"",K227/$D$2,""))</f>
        <v/>
      </c>
      <c r="M227" s="20"/>
      <c r="N227" s="20"/>
      <c r="O227" s="20"/>
      <c r="P227" s="16" t="str">
        <f aca="false">IF(K227&lt;&gt;"",P226+K227,IF(B227&lt;&gt;"",P226,""))</f>
        <v/>
      </c>
      <c r="Q227" s="17" t="str">
        <f aca="false">IF(P227&lt;&gt;"",MIN(0,P227-MAX($P$4:P227)),"")</f>
        <v/>
      </c>
    </row>
    <row r="228" customFormat="false" ht="15" hidden="false" customHeight="true" outlineLevel="0" collapsed="false">
      <c r="A228" s="11" t="str">
        <f aca="false">IF(B228&lt;&gt;"",COUNTA($B$4:B228),"")</f>
        <v/>
      </c>
      <c r="B228" s="12"/>
      <c r="C228" s="12"/>
      <c r="D228" s="12"/>
      <c r="E228" s="12"/>
      <c r="F228" s="12"/>
      <c r="G228" s="12"/>
      <c r="H228" s="12"/>
      <c r="I228" s="13"/>
      <c r="J228" s="12"/>
      <c r="K228" s="14" t="str">
        <f aca="false">IF(AND(I228&lt;&gt;"",H228&lt;&gt;"",J228&lt;&gt;""),IF(J228="W",I228*H228,IF(J228="L",-I228,IF(J228="P",I228*H228*0.5,""))),"")</f>
        <v/>
      </c>
      <c r="L228" s="15" t="str">
        <f aca="false">IF(AND(K228&lt;&gt;"",P227&lt;&gt;""),K228/P227,IF(K228&lt;&gt;"",K228/$D$2,""))</f>
        <v/>
      </c>
      <c r="M228" s="12"/>
      <c r="N228" s="12"/>
      <c r="O228" s="12"/>
      <c r="P228" s="16" t="str">
        <f aca="false">IF(K228&lt;&gt;"",P227+K228,IF(B228&lt;&gt;"",P227,""))</f>
        <v/>
      </c>
      <c r="Q228" s="17" t="str">
        <f aca="false">IF(P228&lt;&gt;"",MIN(0,P228-MAX($P$4:P228)),"")</f>
        <v/>
      </c>
    </row>
    <row r="229" customFormat="false" ht="15" hidden="false" customHeight="true" outlineLevel="0" collapsed="false">
      <c r="A229" s="11" t="str">
        <f aca="false">IF(B229&lt;&gt;"",COUNTA($B$4:B229),"")</f>
        <v/>
      </c>
      <c r="B229" s="20"/>
      <c r="C229" s="20"/>
      <c r="D229" s="20"/>
      <c r="E229" s="20"/>
      <c r="F229" s="20"/>
      <c r="G229" s="20"/>
      <c r="H229" s="20"/>
      <c r="I229" s="21"/>
      <c r="J229" s="20"/>
      <c r="K229" s="14" t="str">
        <f aca="false">IF(AND(I229&lt;&gt;"",H229&lt;&gt;"",J229&lt;&gt;""),IF(J229="W",I229*H229,IF(J229="L",-I229,IF(J229="P",I229*H229*0.5,""))),"")</f>
        <v/>
      </c>
      <c r="L229" s="15" t="str">
        <f aca="false">IF(AND(K229&lt;&gt;"",P228&lt;&gt;""),K229/P228,IF(K229&lt;&gt;"",K229/$D$2,""))</f>
        <v/>
      </c>
      <c r="M229" s="20"/>
      <c r="N229" s="20"/>
      <c r="O229" s="20"/>
      <c r="P229" s="16" t="str">
        <f aca="false">IF(K229&lt;&gt;"",P228+K229,IF(B229&lt;&gt;"",P228,""))</f>
        <v/>
      </c>
      <c r="Q229" s="17" t="str">
        <f aca="false">IF(P229&lt;&gt;"",MIN(0,P229-MAX($P$4:P229)),"")</f>
        <v/>
      </c>
    </row>
    <row r="230" customFormat="false" ht="15" hidden="false" customHeight="true" outlineLevel="0" collapsed="false">
      <c r="A230" s="11" t="str">
        <f aca="false">IF(B230&lt;&gt;"",COUNTA($B$4:B230),"")</f>
        <v/>
      </c>
      <c r="B230" s="12"/>
      <c r="C230" s="12"/>
      <c r="D230" s="12"/>
      <c r="E230" s="12"/>
      <c r="F230" s="12"/>
      <c r="G230" s="12"/>
      <c r="H230" s="12"/>
      <c r="I230" s="13"/>
      <c r="J230" s="12"/>
      <c r="K230" s="14" t="str">
        <f aca="false">IF(AND(I230&lt;&gt;"",H230&lt;&gt;"",J230&lt;&gt;""),IF(J230="W",I230*H230,IF(J230="L",-I230,IF(J230="P",I230*H230*0.5,""))),"")</f>
        <v/>
      </c>
      <c r="L230" s="15" t="str">
        <f aca="false">IF(AND(K230&lt;&gt;"",P229&lt;&gt;""),K230/P229,IF(K230&lt;&gt;"",K230/$D$2,""))</f>
        <v/>
      </c>
      <c r="M230" s="12"/>
      <c r="N230" s="12"/>
      <c r="O230" s="12"/>
      <c r="P230" s="16" t="str">
        <f aca="false">IF(K230&lt;&gt;"",P229+K230,IF(B230&lt;&gt;"",P229,""))</f>
        <v/>
      </c>
      <c r="Q230" s="17" t="str">
        <f aca="false">IF(P230&lt;&gt;"",MIN(0,P230-MAX($P$4:P230)),"")</f>
        <v/>
      </c>
    </row>
    <row r="231" customFormat="false" ht="15" hidden="false" customHeight="true" outlineLevel="0" collapsed="false">
      <c r="A231" s="11" t="str">
        <f aca="false">IF(B231&lt;&gt;"",COUNTA($B$4:B231),"")</f>
        <v/>
      </c>
      <c r="B231" s="20"/>
      <c r="C231" s="20"/>
      <c r="D231" s="20"/>
      <c r="E231" s="20"/>
      <c r="F231" s="20"/>
      <c r="G231" s="20"/>
      <c r="H231" s="20"/>
      <c r="I231" s="21"/>
      <c r="J231" s="20"/>
      <c r="K231" s="14" t="str">
        <f aca="false">IF(AND(I231&lt;&gt;"",H231&lt;&gt;"",J231&lt;&gt;""),IF(J231="W",I231*H231,IF(J231="L",-I231,IF(J231="P",I231*H231*0.5,""))),"")</f>
        <v/>
      </c>
      <c r="L231" s="15" t="str">
        <f aca="false">IF(AND(K231&lt;&gt;"",P230&lt;&gt;""),K231/P230,IF(K231&lt;&gt;"",K231/$D$2,""))</f>
        <v/>
      </c>
      <c r="M231" s="20"/>
      <c r="N231" s="20"/>
      <c r="O231" s="20"/>
      <c r="P231" s="16" t="str">
        <f aca="false">IF(K231&lt;&gt;"",P230+K231,IF(B231&lt;&gt;"",P230,""))</f>
        <v/>
      </c>
      <c r="Q231" s="17" t="str">
        <f aca="false">IF(P231&lt;&gt;"",MIN(0,P231-MAX($P$4:P231)),"")</f>
        <v/>
      </c>
    </row>
    <row r="232" customFormat="false" ht="15" hidden="false" customHeight="true" outlineLevel="0" collapsed="false">
      <c r="A232" s="11" t="str">
        <f aca="false">IF(B232&lt;&gt;"",COUNTA($B$4:B232),"")</f>
        <v/>
      </c>
      <c r="B232" s="12"/>
      <c r="C232" s="12"/>
      <c r="D232" s="12"/>
      <c r="E232" s="12"/>
      <c r="F232" s="12"/>
      <c r="G232" s="12"/>
      <c r="H232" s="12"/>
      <c r="I232" s="13"/>
      <c r="J232" s="12"/>
      <c r="K232" s="14" t="str">
        <f aca="false">IF(AND(I232&lt;&gt;"",H232&lt;&gt;"",J232&lt;&gt;""),IF(J232="W",I232*H232,IF(J232="L",-I232,IF(J232="P",I232*H232*0.5,""))),"")</f>
        <v/>
      </c>
      <c r="L232" s="15" t="str">
        <f aca="false">IF(AND(K232&lt;&gt;"",P231&lt;&gt;""),K232/P231,IF(K232&lt;&gt;"",K232/$D$2,""))</f>
        <v/>
      </c>
      <c r="M232" s="12"/>
      <c r="N232" s="12"/>
      <c r="O232" s="12"/>
      <c r="P232" s="16" t="str">
        <f aca="false">IF(K232&lt;&gt;"",P231+K232,IF(B232&lt;&gt;"",P231,""))</f>
        <v/>
      </c>
      <c r="Q232" s="17" t="str">
        <f aca="false">IF(P232&lt;&gt;"",MIN(0,P232-MAX($P$4:P232)),"")</f>
        <v/>
      </c>
    </row>
    <row r="233" customFormat="false" ht="15" hidden="false" customHeight="true" outlineLevel="0" collapsed="false">
      <c r="A233" s="11" t="str">
        <f aca="false">IF(B233&lt;&gt;"",COUNTA($B$4:B233),"")</f>
        <v/>
      </c>
      <c r="B233" s="20"/>
      <c r="C233" s="20"/>
      <c r="D233" s="20"/>
      <c r="E233" s="20"/>
      <c r="F233" s="20"/>
      <c r="G233" s="20"/>
      <c r="H233" s="20"/>
      <c r="I233" s="21"/>
      <c r="J233" s="20"/>
      <c r="K233" s="14" t="str">
        <f aca="false">IF(AND(I233&lt;&gt;"",H233&lt;&gt;"",J233&lt;&gt;""),IF(J233="W",I233*H233,IF(J233="L",-I233,IF(J233="P",I233*H233*0.5,""))),"")</f>
        <v/>
      </c>
      <c r="L233" s="15" t="str">
        <f aca="false">IF(AND(K233&lt;&gt;"",P232&lt;&gt;""),K233/P232,IF(K233&lt;&gt;"",K233/$D$2,""))</f>
        <v/>
      </c>
      <c r="M233" s="20"/>
      <c r="N233" s="20"/>
      <c r="O233" s="20"/>
      <c r="P233" s="16" t="str">
        <f aca="false">IF(K233&lt;&gt;"",P232+K233,IF(B233&lt;&gt;"",P232,""))</f>
        <v/>
      </c>
      <c r="Q233" s="17" t="str">
        <f aca="false">IF(P233&lt;&gt;"",MIN(0,P233-MAX($P$4:P233)),"")</f>
        <v/>
      </c>
    </row>
    <row r="234" customFormat="false" ht="15" hidden="false" customHeight="true" outlineLevel="0" collapsed="false">
      <c r="A234" s="11" t="str">
        <f aca="false">IF(B234&lt;&gt;"",COUNTA($B$4:B234),"")</f>
        <v/>
      </c>
      <c r="B234" s="12"/>
      <c r="C234" s="12"/>
      <c r="D234" s="12"/>
      <c r="E234" s="12"/>
      <c r="F234" s="12"/>
      <c r="G234" s="12"/>
      <c r="H234" s="12"/>
      <c r="I234" s="13"/>
      <c r="J234" s="12"/>
      <c r="K234" s="14" t="str">
        <f aca="false">IF(AND(I234&lt;&gt;"",H234&lt;&gt;"",J234&lt;&gt;""),IF(J234="W",I234*H234,IF(J234="L",-I234,IF(J234="P",I234*H234*0.5,""))),"")</f>
        <v/>
      </c>
      <c r="L234" s="15" t="str">
        <f aca="false">IF(AND(K234&lt;&gt;"",P233&lt;&gt;""),K234/P233,IF(K234&lt;&gt;"",K234/$D$2,""))</f>
        <v/>
      </c>
      <c r="M234" s="12"/>
      <c r="N234" s="12"/>
      <c r="O234" s="12"/>
      <c r="P234" s="16" t="str">
        <f aca="false">IF(K234&lt;&gt;"",P233+K234,IF(B234&lt;&gt;"",P233,""))</f>
        <v/>
      </c>
      <c r="Q234" s="17" t="str">
        <f aca="false">IF(P234&lt;&gt;"",MIN(0,P234-MAX($P$4:P234)),"")</f>
        <v/>
      </c>
    </row>
    <row r="235" customFormat="false" ht="15" hidden="false" customHeight="true" outlineLevel="0" collapsed="false">
      <c r="A235" s="11" t="str">
        <f aca="false">IF(B235&lt;&gt;"",COUNTA($B$4:B235),"")</f>
        <v/>
      </c>
      <c r="B235" s="20"/>
      <c r="C235" s="20"/>
      <c r="D235" s="20"/>
      <c r="E235" s="20"/>
      <c r="F235" s="20"/>
      <c r="G235" s="20"/>
      <c r="H235" s="20"/>
      <c r="I235" s="21"/>
      <c r="J235" s="20"/>
      <c r="K235" s="14" t="str">
        <f aca="false">IF(AND(I235&lt;&gt;"",H235&lt;&gt;"",J235&lt;&gt;""),IF(J235="W",I235*H235,IF(J235="L",-I235,IF(J235="P",I235*H235*0.5,""))),"")</f>
        <v/>
      </c>
      <c r="L235" s="15" t="str">
        <f aca="false">IF(AND(K235&lt;&gt;"",P234&lt;&gt;""),K235/P234,IF(K235&lt;&gt;"",K235/$D$2,""))</f>
        <v/>
      </c>
      <c r="M235" s="20"/>
      <c r="N235" s="20"/>
      <c r="O235" s="20"/>
      <c r="P235" s="16" t="str">
        <f aca="false">IF(K235&lt;&gt;"",P234+K235,IF(B235&lt;&gt;"",P234,""))</f>
        <v/>
      </c>
      <c r="Q235" s="17" t="str">
        <f aca="false">IF(P235&lt;&gt;"",MIN(0,P235-MAX($P$4:P235)),"")</f>
        <v/>
      </c>
    </row>
    <row r="236" customFormat="false" ht="15" hidden="false" customHeight="true" outlineLevel="0" collapsed="false">
      <c r="A236" s="11" t="str">
        <f aca="false">IF(B236&lt;&gt;"",COUNTA($B$4:B236),"")</f>
        <v/>
      </c>
      <c r="B236" s="12"/>
      <c r="C236" s="12"/>
      <c r="D236" s="12"/>
      <c r="E236" s="12"/>
      <c r="F236" s="12"/>
      <c r="G236" s="12"/>
      <c r="H236" s="12"/>
      <c r="I236" s="13"/>
      <c r="J236" s="12"/>
      <c r="K236" s="14" t="str">
        <f aca="false">IF(AND(I236&lt;&gt;"",H236&lt;&gt;"",J236&lt;&gt;""),IF(J236="W",I236*H236,IF(J236="L",-I236,IF(J236="P",I236*H236*0.5,""))),"")</f>
        <v/>
      </c>
      <c r="L236" s="15" t="str">
        <f aca="false">IF(AND(K236&lt;&gt;"",P235&lt;&gt;""),K236/P235,IF(K236&lt;&gt;"",K236/$D$2,""))</f>
        <v/>
      </c>
      <c r="M236" s="12"/>
      <c r="N236" s="12"/>
      <c r="O236" s="12"/>
      <c r="P236" s="16" t="str">
        <f aca="false">IF(K236&lt;&gt;"",P235+K236,IF(B236&lt;&gt;"",P235,""))</f>
        <v/>
      </c>
      <c r="Q236" s="17" t="str">
        <f aca="false">IF(P236&lt;&gt;"",MIN(0,P236-MAX($P$4:P236)),"")</f>
        <v/>
      </c>
    </row>
    <row r="237" customFormat="false" ht="15" hidden="false" customHeight="true" outlineLevel="0" collapsed="false">
      <c r="A237" s="11" t="str">
        <f aca="false">IF(B237&lt;&gt;"",COUNTA($B$4:B237),"")</f>
        <v/>
      </c>
      <c r="B237" s="20"/>
      <c r="C237" s="20"/>
      <c r="D237" s="20"/>
      <c r="E237" s="20"/>
      <c r="F237" s="20"/>
      <c r="G237" s="20"/>
      <c r="H237" s="20"/>
      <c r="I237" s="21"/>
      <c r="J237" s="20"/>
      <c r="K237" s="14" t="str">
        <f aca="false">IF(AND(I237&lt;&gt;"",H237&lt;&gt;"",J237&lt;&gt;""),IF(J237="W",I237*H237,IF(J237="L",-I237,IF(J237="P",I237*H237*0.5,""))),"")</f>
        <v/>
      </c>
      <c r="L237" s="15" t="str">
        <f aca="false">IF(AND(K237&lt;&gt;"",P236&lt;&gt;""),K237/P236,IF(K237&lt;&gt;"",K237/$D$2,""))</f>
        <v/>
      </c>
      <c r="M237" s="20"/>
      <c r="N237" s="20"/>
      <c r="O237" s="20"/>
      <c r="P237" s="16" t="str">
        <f aca="false">IF(K237&lt;&gt;"",P236+K237,IF(B237&lt;&gt;"",P236,""))</f>
        <v/>
      </c>
      <c r="Q237" s="17" t="str">
        <f aca="false">IF(P237&lt;&gt;"",MIN(0,P237-MAX($P$4:P237)),"")</f>
        <v/>
      </c>
    </row>
    <row r="238" customFormat="false" ht="15" hidden="false" customHeight="true" outlineLevel="0" collapsed="false">
      <c r="A238" s="11" t="str">
        <f aca="false">IF(B238&lt;&gt;"",COUNTA($B$4:B238),"")</f>
        <v/>
      </c>
      <c r="B238" s="12"/>
      <c r="C238" s="12"/>
      <c r="D238" s="12"/>
      <c r="E238" s="12"/>
      <c r="F238" s="12"/>
      <c r="G238" s="12"/>
      <c r="H238" s="12"/>
      <c r="I238" s="13"/>
      <c r="J238" s="12"/>
      <c r="K238" s="14" t="str">
        <f aca="false">IF(AND(I238&lt;&gt;"",H238&lt;&gt;"",J238&lt;&gt;""),IF(J238="W",I238*H238,IF(J238="L",-I238,IF(J238="P",I238*H238*0.5,""))),"")</f>
        <v/>
      </c>
      <c r="L238" s="15" t="str">
        <f aca="false">IF(AND(K238&lt;&gt;"",P237&lt;&gt;""),K238/P237,IF(K238&lt;&gt;"",K238/$D$2,""))</f>
        <v/>
      </c>
      <c r="M238" s="12"/>
      <c r="N238" s="12"/>
      <c r="O238" s="12"/>
      <c r="P238" s="16" t="str">
        <f aca="false">IF(K238&lt;&gt;"",P237+K238,IF(B238&lt;&gt;"",P237,""))</f>
        <v/>
      </c>
      <c r="Q238" s="17" t="str">
        <f aca="false">IF(P238&lt;&gt;"",MIN(0,P238-MAX($P$4:P238)),"")</f>
        <v/>
      </c>
    </row>
    <row r="239" customFormat="false" ht="15" hidden="false" customHeight="true" outlineLevel="0" collapsed="false">
      <c r="A239" s="11" t="str">
        <f aca="false">IF(B239&lt;&gt;"",COUNTA($B$4:B239),"")</f>
        <v/>
      </c>
      <c r="B239" s="20"/>
      <c r="C239" s="20"/>
      <c r="D239" s="20"/>
      <c r="E239" s="20"/>
      <c r="F239" s="20"/>
      <c r="G239" s="20"/>
      <c r="H239" s="20"/>
      <c r="I239" s="21"/>
      <c r="J239" s="20"/>
      <c r="K239" s="14" t="str">
        <f aca="false">IF(AND(I239&lt;&gt;"",H239&lt;&gt;"",J239&lt;&gt;""),IF(J239="W",I239*H239,IF(J239="L",-I239,IF(J239="P",I239*H239*0.5,""))),"")</f>
        <v/>
      </c>
      <c r="L239" s="15" t="str">
        <f aca="false">IF(AND(K239&lt;&gt;"",P238&lt;&gt;""),K239/P238,IF(K239&lt;&gt;"",K239/$D$2,""))</f>
        <v/>
      </c>
      <c r="M239" s="20"/>
      <c r="N239" s="20"/>
      <c r="O239" s="20"/>
      <c r="P239" s="16" t="str">
        <f aca="false">IF(K239&lt;&gt;"",P238+K239,IF(B239&lt;&gt;"",P238,""))</f>
        <v/>
      </c>
      <c r="Q239" s="17" t="str">
        <f aca="false">IF(P239&lt;&gt;"",MIN(0,P239-MAX($P$4:P239)),"")</f>
        <v/>
      </c>
    </row>
    <row r="240" customFormat="false" ht="15" hidden="false" customHeight="true" outlineLevel="0" collapsed="false">
      <c r="A240" s="11" t="str">
        <f aca="false">IF(B240&lt;&gt;"",COUNTA($B$4:B240),"")</f>
        <v/>
      </c>
      <c r="B240" s="12"/>
      <c r="C240" s="12"/>
      <c r="D240" s="12"/>
      <c r="E240" s="12"/>
      <c r="F240" s="12"/>
      <c r="G240" s="12"/>
      <c r="H240" s="12"/>
      <c r="I240" s="13"/>
      <c r="J240" s="12"/>
      <c r="K240" s="14" t="str">
        <f aca="false">IF(AND(I240&lt;&gt;"",H240&lt;&gt;"",J240&lt;&gt;""),IF(J240="W",I240*H240,IF(J240="L",-I240,IF(J240="P",I240*H240*0.5,""))),"")</f>
        <v/>
      </c>
      <c r="L240" s="15" t="str">
        <f aca="false">IF(AND(K240&lt;&gt;"",P239&lt;&gt;""),K240/P239,IF(K240&lt;&gt;"",K240/$D$2,""))</f>
        <v/>
      </c>
      <c r="M240" s="12"/>
      <c r="N240" s="12"/>
      <c r="O240" s="12"/>
      <c r="P240" s="16" t="str">
        <f aca="false">IF(K240&lt;&gt;"",P239+K240,IF(B240&lt;&gt;"",P239,""))</f>
        <v/>
      </c>
      <c r="Q240" s="17" t="str">
        <f aca="false">IF(P240&lt;&gt;"",MIN(0,P240-MAX($P$4:P240)),"")</f>
        <v/>
      </c>
    </row>
    <row r="241" customFormat="false" ht="15" hidden="false" customHeight="true" outlineLevel="0" collapsed="false">
      <c r="A241" s="11" t="str">
        <f aca="false">IF(B241&lt;&gt;"",COUNTA($B$4:B241),"")</f>
        <v/>
      </c>
      <c r="B241" s="20"/>
      <c r="C241" s="20"/>
      <c r="D241" s="20"/>
      <c r="E241" s="20"/>
      <c r="F241" s="20"/>
      <c r="G241" s="20"/>
      <c r="H241" s="20"/>
      <c r="I241" s="21"/>
      <c r="J241" s="20"/>
      <c r="K241" s="14" t="str">
        <f aca="false">IF(AND(I241&lt;&gt;"",H241&lt;&gt;"",J241&lt;&gt;""),IF(J241="W",I241*H241,IF(J241="L",-I241,IF(J241="P",I241*H241*0.5,""))),"")</f>
        <v/>
      </c>
      <c r="L241" s="15" t="str">
        <f aca="false">IF(AND(K241&lt;&gt;"",P240&lt;&gt;""),K241/P240,IF(K241&lt;&gt;"",K241/$D$2,""))</f>
        <v/>
      </c>
      <c r="M241" s="20"/>
      <c r="N241" s="20"/>
      <c r="O241" s="20"/>
      <c r="P241" s="16" t="str">
        <f aca="false">IF(K241&lt;&gt;"",P240+K241,IF(B241&lt;&gt;"",P240,""))</f>
        <v/>
      </c>
      <c r="Q241" s="17" t="str">
        <f aca="false">IF(P241&lt;&gt;"",MIN(0,P241-MAX($P$4:P241)),"")</f>
        <v/>
      </c>
    </row>
    <row r="242" customFormat="false" ht="15" hidden="false" customHeight="true" outlineLevel="0" collapsed="false">
      <c r="A242" s="11" t="str">
        <f aca="false">IF(B242&lt;&gt;"",COUNTA($B$4:B242),"")</f>
        <v/>
      </c>
      <c r="B242" s="12"/>
      <c r="C242" s="12"/>
      <c r="D242" s="12"/>
      <c r="E242" s="12"/>
      <c r="F242" s="12"/>
      <c r="G242" s="12"/>
      <c r="H242" s="12"/>
      <c r="I242" s="13"/>
      <c r="J242" s="12"/>
      <c r="K242" s="14" t="str">
        <f aca="false">IF(AND(I242&lt;&gt;"",H242&lt;&gt;"",J242&lt;&gt;""),IF(J242="W",I242*H242,IF(J242="L",-I242,IF(J242="P",I242*H242*0.5,""))),"")</f>
        <v/>
      </c>
      <c r="L242" s="15" t="str">
        <f aca="false">IF(AND(K242&lt;&gt;"",P241&lt;&gt;""),K242/P241,IF(K242&lt;&gt;"",K242/$D$2,""))</f>
        <v/>
      </c>
      <c r="M242" s="12"/>
      <c r="N242" s="12"/>
      <c r="O242" s="12"/>
      <c r="P242" s="16" t="str">
        <f aca="false">IF(K242&lt;&gt;"",P241+K242,IF(B242&lt;&gt;"",P241,""))</f>
        <v/>
      </c>
      <c r="Q242" s="17" t="str">
        <f aca="false">IF(P242&lt;&gt;"",MIN(0,P242-MAX($P$4:P242)),"")</f>
        <v/>
      </c>
    </row>
    <row r="243" customFormat="false" ht="15" hidden="false" customHeight="true" outlineLevel="0" collapsed="false">
      <c r="A243" s="11" t="str">
        <f aca="false">IF(B243&lt;&gt;"",COUNTA($B$4:B243),"")</f>
        <v/>
      </c>
      <c r="B243" s="20"/>
      <c r="C243" s="20"/>
      <c r="D243" s="20"/>
      <c r="E243" s="20"/>
      <c r="F243" s="20"/>
      <c r="G243" s="20"/>
      <c r="H243" s="20"/>
      <c r="I243" s="21"/>
      <c r="J243" s="20"/>
      <c r="K243" s="14" t="str">
        <f aca="false">IF(AND(I243&lt;&gt;"",H243&lt;&gt;"",J243&lt;&gt;""),IF(J243="W",I243*H243,IF(J243="L",-I243,IF(J243="P",I243*H243*0.5,""))),"")</f>
        <v/>
      </c>
      <c r="L243" s="15" t="str">
        <f aca="false">IF(AND(K243&lt;&gt;"",P242&lt;&gt;""),K243/P242,IF(K243&lt;&gt;"",K243/$D$2,""))</f>
        <v/>
      </c>
      <c r="M243" s="20"/>
      <c r="N243" s="20"/>
      <c r="O243" s="20"/>
      <c r="P243" s="16" t="str">
        <f aca="false">IF(K243&lt;&gt;"",P242+K243,IF(B243&lt;&gt;"",P242,""))</f>
        <v/>
      </c>
      <c r="Q243" s="17" t="str">
        <f aca="false">IF(P243&lt;&gt;"",MIN(0,P243-MAX($P$4:P243)),"")</f>
        <v/>
      </c>
    </row>
    <row r="244" customFormat="false" ht="15" hidden="false" customHeight="true" outlineLevel="0" collapsed="false">
      <c r="A244" s="11" t="str">
        <f aca="false">IF(B244&lt;&gt;"",COUNTA($B$4:B244),"")</f>
        <v/>
      </c>
      <c r="B244" s="12"/>
      <c r="C244" s="12"/>
      <c r="D244" s="12"/>
      <c r="E244" s="12"/>
      <c r="F244" s="12"/>
      <c r="G244" s="12"/>
      <c r="H244" s="12"/>
      <c r="I244" s="13"/>
      <c r="J244" s="12"/>
      <c r="K244" s="14" t="str">
        <f aca="false">IF(AND(I244&lt;&gt;"",H244&lt;&gt;"",J244&lt;&gt;""),IF(J244="W",I244*H244,IF(J244="L",-I244,IF(J244="P",I244*H244*0.5,""))),"")</f>
        <v/>
      </c>
      <c r="L244" s="15" t="str">
        <f aca="false">IF(AND(K244&lt;&gt;"",P243&lt;&gt;""),K244/P243,IF(K244&lt;&gt;"",K244/$D$2,""))</f>
        <v/>
      </c>
      <c r="M244" s="12"/>
      <c r="N244" s="12"/>
      <c r="O244" s="12"/>
      <c r="P244" s="16" t="str">
        <f aca="false">IF(K244&lt;&gt;"",P243+K244,IF(B244&lt;&gt;"",P243,""))</f>
        <v/>
      </c>
      <c r="Q244" s="17" t="str">
        <f aca="false">IF(P244&lt;&gt;"",MIN(0,P244-MAX($P$4:P244)),"")</f>
        <v/>
      </c>
    </row>
    <row r="245" customFormat="false" ht="15" hidden="false" customHeight="true" outlineLevel="0" collapsed="false">
      <c r="A245" s="11" t="str">
        <f aca="false">IF(B245&lt;&gt;"",COUNTA($B$4:B245),"")</f>
        <v/>
      </c>
      <c r="B245" s="20"/>
      <c r="C245" s="20"/>
      <c r="D245" s="20"/>
      <c r="E245" s="20"/>
      <c r="F245" s="20"/>
      <c r="G245" s="20"/>
      <c r="H245" s="20"/>
      <c r="I245" s="21"/>
      <c r="J245" s="20"/>
      <c r="K245" s="14" t="str">
        <f aca="false">IF(AND(I245&lt;&gt;"",H245&lt;&gt;"",J245&lt;&gt;""),IF(J245="W",I245*H245,IF(J245="L",-I245,IF(J245="P",I245*H245*0.5,""))),"")</f>
        <v/>
      </c>
      <c r="L245" s="15" t="str">
        <f aca="false">IF(AND(K245&lt;&gt;"",P244&lt;&gt;""),K245/P244,IF(K245&lt;&gt;"",K245/$D$2,""))</f>
        <v/>
      </c>
      <c r="M245" s="20"/>
      <c r="N245" s="20"/>
      <c r="O245" s="20"/>
      <c r="P245" s="16" t="str">
        <f aca="false">IF(K245&lt;&gt;"",P244+K245,IF(B245&lt;&gt;"",P244,""))</f>
        <v/>
      </c>
      <c r="Q245" s="17" t="str">
        <f aca="false">IF(P245&lt;&gt;"",MIN(0,P245-MAX($P$4:P245)),"")</f>
        <v/>
      </c>
    </row>
    <row r="246" customFormat="false" ht="15" hidden="false" customHeight="true" outlineLevel="0" collapsed="false">
      <c r="A246" s="11" t="str">
        <f aca="false">IF(B246&lt;&gt;"",COUNTA($B$4:B246),"")</f>
        <v/>
      </c>
      <c r="B246" s="12"/>
      <c r="C246" s="12"/>
      <c r="D246" s="12"/>
      <c r="E246" s="12"/>
      <c r="F246" s="12"/>
      <c r="G246" s="12"/>
      <c r="H246" s="12"/>
      <c r="I246" s="13"/>
      <c r="J246" s="12"/>
      <c r="K246" s="14" t="str">
        <f aca="false">IF(AND(I246&lt;&gt;"",H246&lt;&gt;"",J246&lt;&gt;""),IF(J246="W",I246*H246,IF(J246="L",-I246,IF(J246="P",I246*H246*0.5,""))),"")</f>
        <v/>
      </c>
      <c r="L246" s="15" t="str">
        <f aca="false">IF(AND(K246&lt;&gt;"",P245&lt;&gt;""),K246/P245,IF(K246&lt;&gt;"",K246/$D$2,""))</f>
        <v/>
      </c>
      <c r="M246" s="12"/>
      <c r="N246" s="12"/>
      <c r="O246" s="12"/>
      <c r="P246" s="16" t="str">
        <f aca="false">IF(K246&lt;&gt;"",P245+K246,IF(B246&lt;&gt;"",P245,""))</f>
        <v/>
      </c>
      <c r="Q246" s="17" t="str">
        <f aca="false">IF(P246&lt;&gt;"",MIN(0,P246-MAX($P$4:P246)),"")</f>
        <v/>
      </c>
    </row>
    <row r="247" customFormat="false" ht="15" hidden="false" customHeight="true" outlineLevel="0" collapsed="false">
      <c r="A247" s="11" t="str">
        <f aca="false">IF(B247&lt;&gt;"",COUNTA($B$4:B247),"")</f>
        <v/>
      </c>
      <c r="B247" s="20"/>
      <c r="C247" s="20"/>
      <c r="D247" s="20"/>
      <c r="E247" s="20"/>
      <c r="F247" s="20"/>
      <c r="G247" s="20"/>
      <c r="H247" s="20"/>
      <c r="I247" s="21"/>
      <c r="J247" s="20"/>
      <c r="K247" s="14" t="str">
        <f aca="false">IF(AND(I247&lt;&gt;"",H247&lt;&gt;"",J247&lt;&gt;""),IF(J247="W",I247*H247,IF(J247="L",-I247,IF(J247="P",I247*H247*0.5,""))),"")</f>
        <v/>
      </c>
      <c r="L247" s="15" t="str">
        <f aca="false">IF(AND(K247&lt;&gt;"",P246&lt;&gt;""),K247/P246,IF(K247&lt;&gt;"",K247/$D$2,""))</f>
        <v/>
      </c>
      <c r="M247" s="20"/>
      <c r="N247" s="20"/>
      <c r="O247" s="20"/>
      <c r="P247" s="16" t="str">
        <f aca="false">IF(K247&lt;&gt;"",P246+K247,IF(B247&lt;&gt;"",P246,""))</f>
        <v/>
      </c>
      <c r="Q247" s="17" t="str">
        <f aca="false">IF(P247&lt;&gt;"",MIN(0,P247-MAX($P$4:P247)),"")</f>
        <v/>
      </c>
    </row>
    <row r="248" customFormat="false" ht="15" hidden="false" customHeight="true" outlineLevel="0" collapsed="false">
      <c r="A248" s="11" t="str">
        <f aca="false">IF(B248&lt;&gt;"",COUNTA($B$4:B248),"")</f>
        <v/>
      </c>
      <c r="B248" s="12"/>
      <c r="C248" s="12"/>
      <c r="D248" s="12"/>
      <c r="E248" s="12"/>
      <c r="F248" s="12"/>
      <c r="G248" s="12"/>
      <c r="H248" s="12"/>
      <c r="I248" s="13"/>
      <c r="J248" s="12"/>
      <c r="K248" s="14" t="str">
        <f aca="false">IF(AND(I248&lt;&gt;"",H248&lt;&gt;"",J248&lt;&gt;""),IF(J248="W",I248*H248,IF(J248="L",-I248,IF(J248="P",I248*H248*0.5,""))),"")</f>
        <v/>
      </c>
      <c r="L248" s="15" t="str">
        <f aca="false">IF(AND(K248&lt;&gt;"",P247&lt;&gt;""),K248/P247,IF(K248&lt;&gt;"",K248/$D$2,""))</f>
        <v/>
      </c>
      <c r="M248" s="12"/>
      <c r="N248" s="12"/>
      <c r="O248" s="12"/>
      <c r="P248" s="16" t="str">
        <f aca="false">IF(K248&lt;&gt;"",P247+K248,IF(B248&lt;&gt;"",P247,""))</f>
        <v/>
      </c>
      <c r="Q248" s="17" t="str">
        <f aca="false">IF(P248&lt;&gt;"",MIN(0,P248-MAX($P$4:P248)),"")</f>
        <v/>
      </c>
    </row>
    <row r="249" customFormat="false" ht="15" hidden="false" customHeight="true" outlineLevel="0" collapsed="false">
      <c r="A249" s="11" t="str">
        <f aca="false">IF(B249&lt;&gt;"",COUNTA($B$4:B249),"")</f>
        <v/>
      </c>
      <c r="B249" s="20"/>
      <c r="C249" s="20"/>
      <c r="D249" s="20"/>
      <c r="E249" s="20"/>
      <c r="F249" s="20"/>
      <c r="G249" s="20"/>
      <c r="H249" s="20"/>
      <c r="I249" s="21"/>
      <c r="J249" s="20"/>
      <c r="K249" s="14" t="str">
        <f aca="false">IF(AND(I249&lt;&gt;"",H249&lt;&gt;"",J249&lt;&gt;""),IF(J249="W",I249*H249,IF(J249="L",-I249,IF(J249="P",I249*H249*0.5,""))),"")</f>
        <v/>
      </c>
      <c r="L249" s="15" t="str">
        <f aca="false">IF(AND(K249&lt;&gt;"",P248&lt;&gt;""),K249/P248,IF(K249&lt;&gt;"",K249/$D$2,""))</f>
        <v/>
      </c>
      <c r="M249" s="20"/>
      <c r="N249" s="20"/>
      <c r="O249" s="20"/>
      <c r="P249" s="16" t="str">
        <f aca="false">IF(K249&lt;&gt;"",P248+K249,IF(B249&lt;&gt;"",P248,""))</f>
        <v/>
      </c>
      <c r="Q249" s="17" t="str">
        <f aca="false">IF(P249&lt;&gt;"",MIN(0,P249-MAX($P$4:P249)),"")</f>
        <v/>
      </c>
    </row>
    <row r="250" customFormat="false" ht="15" hidden="false" customHeight="true" outlineLevel="0" collapsed="false">
      <c r="A250" s="11" t="str">
        <f aca="false">IF(B250&lt;&gt;"",COUNTA($B$4:B250),"")</f>
        <v/>
      </c>
      <c r="B250" s="12"/>
      <c r="C250" s="12"/>
      <c r="D250" s="12"/>
      <c r="E250" s="12"/>
      <c r="F250" s="12"/>
      <c r="G250" s="12"/>
      <c r="H250" s="12"/>
      <c r="I250" s="13"/>
      <c r="J250" s="12"/>
      <c r="K250" s="14" t="str">
        <f aca="false">IF(AND(I250&lt;&gt;"",H250&lt;&gt;"",J250&lt;&gt;""),IF(J250="W",I250*H250,IF(J250="L",-I250,IF(J250="P",I250*H250*0.5,""))),"")</f>
        <v/>
      </c>
      <c r="L250" s="15" t="str">
        <f aca="false">IF(AND(K250&lt;&gt;"",P249&lt;&gt;""),K250/P249,IF(K250&lt;&gt;"",K250/$D$2,""))</f>
        <v/>
      </c>
      <c r="M250" s="12"/>
      <c r="N250" s="12"/>
      <c r="O250" s="12"/>
      <c r="P250" s="16" t="str">
        <f aca="false">IF(K250&lt;&gt;"",P249+K250,IF(B250&lt;&gt;"",P249,""))</f>
        <v/>
      </c>
      <c r="Q250" s="17" t="str">
        <f aca="false">IF(P250&lt;&gt;"",MIN(0,P250-MAX($P$4:P250)),"")</f>
        <v/>
      </c>
    </row>
    <row r="251" customFormat="false" ht="15" hidden="false" customHeight="true" outlineLevel="0" collapsed="false">
      <c r="A251" s="11" t="str">
        <f aca="false">IF(B251&lt;&gt;"",COUNTA($B$4:B251),"")</f>
        <v/>
      </c>
      <c r="B251" s="20"/>
      <c r="C251" s="20"/>
      <c r="D251" s="20"/>
      <c r="E251" s="20"/>
      <c r="F251" s="20"/>
      <c r="G251" s="20"/>
      <c r="H251" s="20"/>
      <c r="I251" s="21"/>
      <c r="J251" s="20"/>
      <c r="K251" s="14" t="str">
        <f aca="false">IF(AND(I251&lt;&gt;"",H251&lt;&gt;"",J251&lt;&gt;""),IF(J251="W",I251*H251,IF(J251="L",-I251,IF(J251="P",I251*H251*0.5,""))),"")</f>
        <v/>
      </c>
      <c r="L251" s="15" t="str">
        <f aca="false">IF(AND(K251&lt;&gt;"",P250&lt;&gt;""),K251/P250,IF(K251&lt;&gt;"",K251/$D$2,""))</f>
        <v/>
      </c>
      <c r="M251" s="20"/>
      <c r="N251" s="20"/>
      <c r="O251" s="20"/>
      <c r="P251" s="16" t="str">
        <f aca="false">IF(K251&lt;&gt;"",P250+K251,IF(B251&lt;&gt;"",P250,""))</f>
        <v/>
      </c>
      <c r="Q251" s="17" t="str">
        <f aca="false">IF(P251&lt;&gt;"",MIN(0,P251-MAX($P$4:P251)),"")</f>
        <v/>
      </c>
    </row>
    <row r="252" customFormat="false" ht="15" hidden="false" customHeight="true" outlineLevel="0" collapsed="false">
      <c r="A252" s="11" t="str">
        <f aca="false">IF(B252&lt;&gt;"",COUNTA($B$4:B252),"")</f>
        <v/>
      </c>
      <c r="B252" s="12"/>
      <c r="C252" s="12"/>
      <c r="D252" s="12"/>
      <c r="E252" s="12"/>
      <c r="F252" s="12"/>
      <c r="G252" s="12"/>
      <c r="H252" s="12"/>
      <c r="I252" s="13"/>
      <c r="J252" s="12"/>
      <c r="K252" s="14" t="str">
        <f aca="false">IF(AND(I252&lt;&gt;"",H252&lt;&gt;"",J252&lt;&gt;""),IF(J252="W",I252*H252,IF(J252="L",-I252,IF(J252="P",I252*H252*0.5,""))),"")</f>
        <v/>
      </c>
      <c r="L252" s="15" t="str">
        <f aca="false">IF(AND(K252&lt;&gt;"",P251&lt;&gt;""),K252/P251,IF(K252&lt;&gt;"",K252/$D$2,""))</f>
        <v/>
      </c>
      <c r="M252" s="12"/>
      <c r="N252" s="12"/>
      <c r="O252" s="12"/>
      <c r="P252" s="16" t="str">
        <f aca="false">IF(K252&lt;&gt;"",P251+K252,IF(B252&lt;&gt;"",P251,""))</f>
        <v/>
      </c>
      <c r="Q252" s="17" t="str">
        <f aca="false">IF(P252&lt;&gt;"",MIN(0,P252-MAX($P$4:P252)),"")</f>
        <v/>
      </c>
    </row>
    <row r="253" customFormat="false" ht="15" hidden="false" customHeight="true" outlineLevel="0" collapsed="false">
      <c r="A253" s="11" t="str">
        <f aca="false">IF(B253&lt;&gt;"",COUNTA($B$4:B253),"")</f>
        <v/>
      </c>
      <c r="B253" s="20"/>
      <c r="C253" s="20"/>
      <c r="D253" s="20"/>
      <c r="E253" s="20"/>
      <c r="F253" s="20"/>
      <c r="G253" s="20"/>
      <c r="H253" s="20"/>
      <c r="I253" s="21"/>
      <c r="J253" s="20"/>
      <c r="K253" s="14" t="str">
        <f aca="false">IF(AND(I253&lt;&gt;"",H253&lt;&gt;"",J253&lt;&gt;""),IF(J253="W",I253*H253,IF(J253="L",-I253,IF(J253="P",I253*H253*0.5,""))),"")</f>
        <v/>
      </c>
      <c r="L253" s="15" t="str">
        <f aca="false">IF(AND(K253&lt;&gt;"",P252&lt;&gt;""),K253/P252,IF(K253&lt;&gt;"",K253/$D$2,""))</f>
        <v/>
      </c>
      <c r="M253" s="20"/>
      <c r="N253" s="20"/>
      <c r="O253" s="20"/>
      <c r="P253" s="16" t="str">
        <f aca="false">IF(K253&lt;&gt;"",P252+K253,IF(B253&lt;&gt;"",P252,""))</f>
        <v/>
      </c>
      <c r="Q253" s="17" t="str">
        <f aca="false">IF(P253&lt;&gt;"",MIN(0,P253-MAX($P$4:P253)),"")</f>
        <v/>
      </c>
    </row>
    <row r="254" customFormat="false" ht="15" hidden="false" customHeight="true" outlineLevel="0" collapsed="false">
      <c r="A254" s="11" t="str">
        <f aca="false">IF(B254&lt;&gt;"",COUNTA($B$4:B254),"")</f>
        <v/>
      </c>
      <c r="B254" s="12"/>
      <c r="C254" s="12"/>
      <c r="D254" s="12"/>
      <c r="E254" s="12"/>
      <c r="F254" s="12"/>
      <c r="G254" s="12"/>
      <c r="H254" s="12"/>
      <c r="I254" s="13"/>
      <c r="J254" s="12"/>
      <c r="K254" s="14" t="str">
        <f aca="false">IF(AND(I254&lt;&gt;"",H254&lt;&gt;"",J254&lt;&gt;""),IF(J254="W",I254*H254,IF(J254="L",-I254,IF(J254="P",I254*H254*0.5,""))),"")</f>
        <v/>
      </c>
      <c r="L254" s="15" t="str">
        <f aca="false">IF(AND(K254&lt;&gt;"",P253&lt;&gt;""),K254/P253,IF(K254&lt;&gt;"",K254/$D$2,""))</f>
        <v/>
      </c>
      <c r="M254" s="12"/>
      <c r="N254" s="12"/>
      <c r="O254" s="12"/>
      <c r="P254" s="16" t="str">
        <f aca="false">IF(K254&lt;&gt;"",P253+K254,IF(B254&lt;&gt;"",P253,""))</f>
        <v/>
      </c>
      <c r="Q254" s="17" t="str">
        <f aca="false">IF(P254&lt;&gt;"",MIN(0,P254-MAX($P$4:P254)),"")</f>
        <v/>
      </c>
    </row>
    <row r="255" customFormat="false" ht="15" hidden="false" customHeight="true" outlineLevel="0" collapsed="false">
      <c r="A255" s="11" t="str">
        <f aca="false">IF(B255&lt;&gt;"",COUNTA($B$4:B255),"")</f>
        <v/>
      </c>
      <c r="B255" s="20"/>
      <c r="C255" s="20"/>
      <c r="D255" s="20"/>
      <c r="E255" s="20"/>
      <c r="F255" s="20"/>
      <c r="G255" s="20"/>
      <c r="H255" s="20"/>
      <c r="I255" s="21"/>
      <c r="J255" s="20"/>
      <c r="K255" s="14" t="str">
        <f aca="false">IF(AND(I255&lt;&gt;"",H255&lt;&gt;"",J255&lt;&gt;""),IF(J255="W",I255*H255,IF(J255="L",-I255,IF(J255="P",I255*H255*0.5,""))),"")</f>
        <v/>
      </c>
      <c r="L255" s="15" t="str">
        <f aca="false">IF(AND(K255&lt;&gt;"",P254&lt;&gt;""),K255/P254,IF(K255&lt;&gt;"",K255/$D$2,""))</f>
        <v/>
      </c>
      <c r="M255" s="20"/>
      <c r="N255" s="20"/>
      <c r="O255" s="20"/>
      <c r="P255" s="16" t="str">
        <f aca="false">IF(K255&lt;&gt;"",P254+K255,IF(B255&lt;&gt;"",P254,""))</f>
        <v/>
      </c>
      <c r="Q255" s="17" t="str">
        <f aca="false">IF(P255&lt;&gt;"",MIN(0,P255-MAX($P$4:P255)),"")</f>
        <v/>
      </c>
    </row>
    <row r="256" customFormat="false" ht="15" hidden="false" customHeight="true" outlineLevel="0" collapsed="false">
      <c r="A256" s="11" t="str">
        <f aca="false">IF(B256&lt;&gt;"",COUNTA($B$4:B256),"")</f>
        <v/>
      </c>
      <c r="B256" s="12"/>
      <c r="C256" s="12"/>
      <c r="D256" s="12"/>
      <c r="E256" s="12"/>
      <c r="F256" s="12"/>
      <c r="G256" s="12"/>
      <c r="H256" s="12"/>
      <c r="I256" s="13"/>
      <c r="J256" s="12"/>
      <c r="K256" s="14" t="str">
        <f aca="false">IF(AND(I256&lt;&gt;"",H256&lt;&gt;"",J256&lt;&gt;""),IF(J256="W",I256*H256,IF(J256="L",-I256,IF(J256="P",I256*H256*0.5,""))),"")</f>
        <v/>
      </c>
      <c r="L256" s="15" t="str">
        <f aca="false">IF(AND(K256&lt;&gt;"",P255&lt;&gt;""),K256/P255,IF(K256&lt;&gt;"",K256/$D$2,""))</f>
        <v/>
      </c>
      <c r="M256" s="12"/>
      <c r="N256" s="12"/>
      <c r="O256" s="12"/>
      <c r="P256" s="16" t="str">
        <f aca="false">IF(K256&lt;&gt;"",P255+K256,IF(B256&lt;&gt;"",P255,""))</f>
        <v/>
      </c>
      <c r="Q256" s="17" t="str">
        <f aca="false">IF(P256&lt;&gt;"",MIN(0,P256-MAX($P$4:P256)),"")</f>
        <v/>
      </c>
    </row>
    <row r="257" customFormat="false" ht="15" hidden="false" customHeight="true" outlineLevel="0" collapsed="false">
      <c r="A257" s="11" t="str">
        <f aca="false">IF(B257&lt;&gt;"",COUNTA($B$4:B257),"")</f>
        <v/>
      </c>
      <c r="B257" s="20"/>
      <c r="C257" s="20"/>
      <c r="D257" s="20"/>
      <c r="E257" s="20"/>
      <c r="F257" s="20"/>
      <c r="G257" s="20"/>
      <c r="H257" s="20"/>
      <c r="I257" s="21"/>
      <c r="J257" s="20"/>
      <c r="K257" s="14" t="str">
        <f aca="false">IF(AND(I257&lt;&gt;"",H257&lt;&gt;"",J257&lt;&gt;""),IF(J257="W",I257*H257,IF(J257="L",-I257,IF(J257="P",I257*H257*0.5,""))),"")</f>
        <v/>
      </c>
      <c r="L257" s="15" t="str">
        <f aca="false">IF(AND(K257&lt;&gt;"",P256&lt;&gt;""),K257/P256,IF(K257&lt;&gt;"",K257/$D$2,""))</f>
        <v/>
      </c>
      <c r="M257" s="20"/>
      <c r="N257" s="20"/>
      <c r="O257" s="20"/>
      <c r="P257" s="16" t="str">
        <f aca="false">IF(K257&lt;&gt;"",P256+K257,IF(B257&lt;&gt;"",P256,""))</f>
        <v/>
      </c>
      <c r="Q257" s="17" t="str">
        <f aca="false">IF(P257&lt;&gt;"",MIN(0,P257-MAX($P$4:P257)),"")</f>
        <v/>
      </c>
    </row>
    <row r="258" customFormat="false" ht="15" hidden="false" customHeight="true" outlineLevel="0" collapsed="false">
      <c r="A258" s="11" t="str">
        <f aca="false">IF(B258&lt;&gt;"",COUNTA($B$4:B258),"")</f>
        <v/>
      </c>
      <c r="B258" s="12"/>
      <c r="C258" s="12"/>
      <c r="D258" s="12"/>
      <c r="E258" s="12"/>
      <c r="F258" s="12"/>
      <c r="G258" s="12"/>
      <c r="H258" s="12"/>
      <c r="I258" s="13"/>
      <c r="J258" s="12"/>
      <c r="K258" s="14" t="str">
        <f aca="false">IF(AND(I258&lt;&gt;"",H258&lt;&gt;"",J258&lt;&gt;""),IF(J258="W",I258*H258,IF(J258="L",-I258,IF(J258="P",I258*H258*0.5,""))),"")</f>
        <v/>
      </c>
      <c r="L258" s="15" t="str">
        <f aca="false">IF(AND(K258&lt;&gt;"",P257&lt;&gt;""),K258/P257,IF(K258&lt;&gt;"",K258/$D$2,""))</f>
        <v/>
      </c>
      <c r="M258" s="12"/>
      <c r="N258" s="12"/>
      <c r="O258" s="12"/>
      <c r="P258" s="16" t="str">
        <f aca="false">IF(K258&lt;&gt;"",P257+K258,IF(B258&lt;&gt;"",P257,""))</f>
        <v/>
      </c>
      <c r="Q258" s="17" t="str">
        <f aca="false">IF(P258&lt;&gt;"",MIN(0,P258-MAX($P$4:P258)),"")</f>
        <v/>
      </c>
    </row>
    <row r="259" customFormat="false" ht="15" hidden="false" customHeight="true" outlineLevel="0" collapsed="false">
      <c r="A259" s="11" t="str">
        <f aca="false">IF(B259&lt;&gt;"",COUNTA($B$4:B259),"")</f>
        <v/>
      </c>
      <c r="B259" s="20"/>
      <c r="C259" s="20"/>
      <c r="D259" s="20"/>
      <c r="E259" s="20"/>
      <c r="F259" s="20"/>
      <c r="G259" s="20"/>
      <c r="H259" s="20"/>
      <c r="I259" s="21"/>
      <c r="J259" s="20"/>
      <c r="K259" s="14" t="str">
        <f aca="false">IF(AND(I259&lt;&gt;"",H259&lt;&gt;"",J259&lt;&gt;""),IF(J259="W",I259*H259,IF(J259="L",-I259,IF(J259="P",I259*H259*0.5,""))),"")</f>
        <v/>
      </c>
      <c r="L259" s="15" t="str">
        <f aca="false">IF(AND(K259&lt;&gt;"",P258&lt;&gt;""),K259/P258,IF(K259&lt;&gt;"",K259/$D$2,""))</f>
        <v/>
      </c>
      <c r="M259" s="20"/>
      <c r="N259" s="20"/>
      <c r="O259" s="20"/>
      <c r="P259" s="16" t="str">
        <f aca="false">IF(K259&lt;&gt;"",P258+K259,IF(B259&lt;&gt;"",P258,""))</f>
        <v/>
      </c>
      <c r="Q259" s="17" t="str">
        <f aca="false">IF(P259&lt;&gt;"",MIN(0,P259-MAX($P$4:P259)),"")</f>
        <v/>
      </c>
    </row>
    <row r="260" customFormat="false" ht="15" hidden="false" customHeight="true" outlineLevel="0" collapsed="false">
      <c r="A260" s="11" t="str">
        <f aca="false">IF(B260&lt;&gt;"",COUNTA($B$4:B260),"")</f>
        <v/>
      </c>
      <c r="B260" s="12"/>
      <c r="C260" s="12"/>
      <c r="D260" s="12"/>
      <c r="E260" s="12"/>
      <c r="F260" s="12"/>
      <c r="G260" s="12"/>
      <c r="H260" s="12"/>
      <c r="I260" s="13"/>
      <c r="J260" s="12"/>
      <c r="K260" s="14" t="str">
        <f aca="false">IF(AND(I260&lt;&gt;"",H260&lt;&gt;"",J260&lt;&gt;""),IF(J260="W",I260*H260,IF(J260="L",-I260,IF(J260="P",I260*H260*0.5,""))),"")</f>
        <v/>
      </c>
      <c r="L260" s="15" t="str">
        <f aca="false">IF(AND(K260&lt;&gt;"",P259&lt;&gt;""),K260/P259,IF(K260&lt;&gt;"",K260/$D$2,""))</f>
        <v/>
      </c>
      <c r="M260" s="12"/>
      <c r="N260" s="12"/>
      <c r="O260" s="12"/>
      <c r="P260" s="16" t="str">
        <f aca="false">IF(K260&lt;&gt;"",P259+K260,IF(B260&lt;&gt;"",P259,""))</f>
        <v/>
      </c>
      <c r="Q260" s="17" t="str">
        <f aca="false">IF(P260&lt;&gt;"",MIN(0,P260-MAX($P$4:P260)),"")</f>
        <v/>
      </c>
    </row>
    <row r="261" customFormat="false" ht="15" hidden="false" customHeight="true" outlineLevel="0" collapsed="false">
      <c r="A261" s="11" t="str">
        <f aca="false">IF(B261&lt;&gt;"",COUNTA($B$4:B261),"")</f>
        <v/>
      </c>
      <c r="B261" s="20"/>
      <c r="C261" s="20"/>
      <c r="D261" s="20"/>
      <c r="E261" s="20"/>
      <c r="F261" s="20"/>
      <c r="G261" s="20"/>
      <c r="H261" s="20"/>
      <c r="I261" s="21"/>
      <c r="J261" s="20"/>
      <c r="K261" s="14" t="str">
        <f aca="false">IF(AND(I261&lt;&gt;"",H261&lt;&gt;"",J261&lt;&gt;""),IF(J261="W",I261*H261,IF(J261="L",-I261,IF(J261="P",I261*H261*0.5,""))),"")</f>
        <v/>
      </c>
      <c r="L261" s="15" t="str">
        <f aca="false">IF(AND(K261&lt;&gt;"",P260&lt;&gt;""),K261/P260,IF(K261&lt;&gt;"",K261/$D$2,""))</f>
        <v/>
      </c>
      <c r="M261" s="20"/>
      <c r="N261" s="20"/>
      <c r="O261" s="20"/>
      <c r="P261" s="16" t="str">
        <f aca="false">IF(K261&lt;&gt;"",P260+K261,IF(B261&lt;&gt;"",P260,""))</f>
        <v/>
      </c>
      <c r="Q261" s="17" t="str">
        <f aca="false">IF(P261&lt;&gt;"",MIN(0,P261-MAX($P$4:P261)),"")</f>
        <v/>
      </c>
    </row>
    <row r="262" customFormat="false" ht="15" hidden="false" customHeight="true" outlineLevel="0" collapsed="false">
      <c r="A262" s="11" t="str">
        <f aca="false">IF(B262&lt;&gt;"",COUNTA($B$4:B262),"")</f>
        <v/>
      </c>
      <c r="B262" s="12"/>
      <c r="C262" s="12"/>
      <c r="D262" s="12"/>
      <c r="E262" s="12"/>
      <c r="F262" s="12"/>
      <c r="G262" s="12"/>
      <c r="H262" s="12"/>
      <c r="I262" s="13"/>
      <c r="J262" s="12"/>
      <c r="K262" s="14" t="str">
        <f aca="false">IF(AND(I262&lt;&gt;"",H262&lt;&gt;"",J262&lt;&gt;""),IF(J262="W",I262*H262,IF(J262="L",-I262,IF(J262="P",I262*H262*0.5,""))),"")</f>
        <v/>
      </c>
      <c r="L262" s="15" t="str">
        <f aca="false">IF(AND(K262&lt;&gt;"",P261&lt;&gt;""),K262/P261,IF(K262&lt;&gt;"",K262/$D$2,""))</f>
        <v/>
      </c>
      <c r="M262" s="12"/>
      <c r="N262" s="12"/>
      <c r="O262" s="12"/>
      <c r="P262" s="16" t="str">
        <f aca="false">IF(K262&lt;&gt;"",P261+K262,IF(B262&lt;&gt;"",P261,""))</f>
        <v/>
      </c>
      <c r="Q262" s="17" t="str">
        <f aca="false">IF(P262&lt;&gt;"",MIN(0,P262-MAX($P$4:P262)),"")</f>
        <v/>
      </c>
    </row>
    <row r="263" customFormat="false" ht="15" hidden="false" customHeight="true" outlineLevel="0" collapsed="false">
      <c r="A263" s="11" t="str">
        <f aca="false">IF(B263&lt;&gt;"",COUNTA($B$4:B263),"")</f>
        <v/>
      </c>
      <c r="B263" s="20"/>
      <c r="C263" s="20"/>
      <c r="D263" s="20"/>
      <c r="E263" s="20"/>
      <c r="F263" s="20"/>
      <c r="G263" s="20"/>
      <c r="H263" s="20"/>
      <c r="I263" s="21"/>
      <c r="J263" s="20"/>
      <c r="K263" s="14" t="str">
        <f aca="false">IF(AND(I263&lt;&gt;"",H263&lt;&gt;"",J263&lt;&gt;""),IF(J263="W",I263*H263,IF(J263="L",-I263,IF(J263="P",I263*H263*0.5,""))),"")</f>
        <v/>
      </c>
      <c r="L263" s="15" t="str">
        <f aca="false">IF(AND(K263&lt;&gt;"",P262&lt;&gt;""),K263/P262,IF(K263&lt;&gt;"",K263/$D$2,""))</f>
        <v/>
      </c>
      <c r="M263" s="20"/>
      <c r="N263" s="20"/>
      <c r="O263" s="20"/>
      <c r="P263" s="16" t="str">
        <f aca="false">IF(K263&lt;&gt;"",P262+K263,IF(B263&lt;&gt;"",P262,""))</f>
        <v/>
      </c>
      <c r="Q263" s="17" t="str">
        <f aca="false">IF(P263&lt;&gt;"",MIN(0,P263-MAX($P$4:P263)),"")</f>
        <v/>
      </c>
    </row>
    <row r="264" customFormat="false" ht="15" hidden="false" customHeight="true" outlineLevel="0" collapsed="false">
      <c r="A264" s="11" t="str">
        <f aca="false">IF(B264&lt;&gt;"",COUNTA($B$4:B264),"")</f>
        <v/>
      </c>
      <c r="B264" s="12"/>
      <c r="C264" s="12"/>
      <c r="D264" s="12"/>
      <c r="E264" s="12"/>
      <c r="F264" s="12"/>
      <c r="G264" s="12"/>
      <c r="H264" s="12"/>
      <c r="I264" s="13"/>
      <c r="J264" s="12"/>
      <c r="K264" s="14" t="str">
        <f aca="false">IF(AND(I264&lt;&gt;"",H264&lt;&gt;"",J264&lt;&gt;""),IF(J264="W",I264*H264,IF(J264="L",-I264,IF(J264="P",I264*H264*0.5,""))),"")</f>
        <v/>
      </c>
      <c r="L264" s="15" t="str">
        <f aca="false">IF(AND(K264&lt;&gt;"",P263&lt;&gt;""),K264/P263,IF(K264&lt;&gt;"",K264/$D$2,""))</f>
        <v/>
      </c>
      <c r="M264" s="12"/>
      <c r="N264" s="12"/>
      <c r="O264" s="12"/>
      <c r="P264" s="16" t="str">
        <f aca="false">IF(K264&lt;&gt;"",P263+K264,IF(B264&lt;&gt;"",P263,""))</f>
        <v/>
      </c>
      <c r="Q264" s="17" t="str">
        <f aca="false">IF(P264&lt;&gt;"",MIN(0,P264-MAX($P$4:P264)),"")</f>
        <v/>
      </c>
    </row>
    <row r="265" customFormat="false" ht="15" hidden="false" customHeight="true" outlineLevel="0" collapsed="false">
      <c r="A265" s="11" t="str">
        <f aca="false">IF(B265&lt;&gt;"",COUNTA($B$4:B265),"")</f>
        <v/>
      </c>
      <c r="B265" s="20"/>
      <c r="C265" s="20"/>
      <c r="D265" s="20"/>
      <c r="E265" s="20"/>
      <c r="F265" s="20"/>
      <c r="G265" s="20"/>
      <c r="H265" s="20"/>
      <c r="I265" s="21"/>
      <c r="J265" s="20"/>
      <c r="K265" s="14" t="str">
        <f aca="false">IF(AND(I265&lt;&gt;"",H265&lt;&gt;"",J265&lt;&gt;""),IF(J265="W",I265*H265,IF(J265="L",-I265,IF(J265="P",I265*H265*0.5,""))),"")</f>
        <v/>
      </c>
      <c r="L265" s="15" t="str">
        <f aca="false">IF(AND(K265&lt;&gt;"",P264&lt;&gt;""),K265/P264,IF(K265&lt;&gt;"",K265/$D$2,""))</f>
        <v/>
      </c>
      <c r="M265" s="20"/>
      <c r="N265" s="20"/>
      <c r="O265" s="20"/>
      <c r="P265" s="16" t="str">
        <f aca="false">IF(K265&lt;&gt;"",P264+K265,IF(B265&lt;&gt;"",P264,""))</f>
        <v/>
      </c>
      <c r="Q265" s="17" t="str">
        <f aca="false">IF(P265&lt;&gt;"",MIN(0,P265-MAX($P$4:P265)),"")</f>
        <v/>
      </c>
    </row>
    <row r="266" customFormat="false" ht="15" hidden="false" customHeight="true" outlineLevel="0" collapsed="false">
      <c r="A266" s="11" t="str">
        <f aca="false">IF(B266&lt;&gt;"",COUNTA($B$4:B266),"")</f>
        <v/>
      </c>
      <c r="B266" s="12"/>
      <c r="C266" s="12"/>
      <c r="D266" s="12"/>
      <c r="E266" s="12"/>
      <c r="F266" s="12"/>
      <c r="G266" s="12"/>
      <c r="H266" s="12"/>
      <c r="I266" s="13"/>
      <c r="J266" s="12"/>
      <c r="K266" s="14" t="str">
        <f aca="false">IF(AND(I266&lt;&gt;"",H266&lt;&gt;"",J266&lt;&gt;""),IF(J266="W",I266*H266,IF(J266="L",-I266,IF(J266="P",I266*H266*0.5,""))),"")</f>
        <v/>
      </c>
      <c r="L266" s="15" t="str">
        <f aca="false">IF(AND(K266&lt;&gt;"",P265&lt;&gt;""),K266/P265,IF(K266&lt;&gt;"",K266/$D$2,""))</f>
        <v/>
      </c>
      <c r="M266" s="12"/>
      <c r="N266" s="12"/>
      <c r="O266" s="12"/>
      <c r="P266" s="16" t="str">
        <f aca="false">IF(K266&lt;&gt;"",P265+K266,IF(B266&lt;&gt;"",P265,""))</f>
        <v/>
      </c>
      <c r="Q266" s="17" t="str">
        <f aca="false">IF(P266&lt;&gt;"",MIN(0,P266-MAX($P$4:P266)),"")</f>
        <v/>
      </c>
    </row>
    <row r="267" customFormat="false" ht="15" hidden="false" customHeight="true" outlineLevel="0" collapsed="false">
      <c r="A267" s="11" t="str">
        <f aca="false">IF(B267&lt;&gt;"",COUNTA($B$4:B267),"")</f>
        <v/>
      </c>
      <c r="B267" s="20"/>
      <c r="C267" s="20"/>
      <c r="D267" s="20"/>
      <c r="E267" s="20"/>
      <c r="F267" s="20"/>
      <c r="G267" s="20"/>
      <c r="H267" s="20"/>
      <c r="I267" s="21"/>
      <c r="J267" s="20"/>
      <c r="K267" s="14" t="str">
        <f aca="false">IF(AND(I267&lt;&gt;"",H267&lt;&gt;"",J267&lt;&gt;""),IF(J267="W",I267*H267,IF(J267="L",-I267,IF(J267="P",I267*H267*0.5,""))),"")</f>
        <v/>
      </c>
      <c r="L267" s="15" t="str">
        <f aca="false">IF(AND(K267&lt;&gt;"",P266&lt;&gt;""),K267/P266,IF(K267&lt;&gt;"",K267/$D$2,""))</f>
        <v/>
      </c>
      <c r="M267" s="20"/>
      <c r="N267" s="20"/>
      <c r="O267" s="20"/>
      <c r="P267" s="16" t="str">
        <f aca="false">IF(K267&lt;&gt;"",P266+K267,IF(B267&lt;&gt;"",P266,""))</f>
        <v/>
      </c>
      <c r="Q267" s="17" t="str">
        <f aca="false">IF(P267&lt;&gt;"",MIN(0,P267-MAX($P$4:P267)),"")</f>
        <v/>
      </c>
    </row>
    <row r="268" customFormat="false" ht="15" hidden="false" customHeight="true" outlineLevel="0" collapsed="false">
      <c r="A268" s="11" t="str">
        <f aca="false">IF(B268&lt;&gt;"",COUNTA($B$4:B268),"")</f>
        <v/>
      </c>
      <c r="B268" s="12"/>
      <c r="C268" s="12"/>
      <c r="D268" s="12"/>
      <c r="E268" s="12"/>
      <c r="F268" s="12"/>
      <c r="G268" s="12"/>
      <c r="H268" s="12"/>
      <c r="I268" s="13"/>
      <c r="J268" s="12"/>
      <c r="K268" s="14" t="str">
        <f aca="false">IF(AND(I268&lt;&gt;"",H268&lt;&gt;"",J268&lt;&gt;""),IF(J268="W",I268*H268,IF(J268="L",-I268,IF(J268="P",I268*H268*0.5,""))),"")</f>
        <v/>
      </c>
      <c r="L268" s="15" t="str">
        <f aca="false">IF(AND(K268&lt;&gt;"",P267&lt;&gt;""),K268/P267,IF(K268&lt;&gt;"",K268/$D$2,""))</f>
        <v/>
      </c>
      <c r="M268" s="12"/>
      <c r="N268" s="12"/>
      <c r="O268" s="12"/>
      <c r="P268" s="16" t="str">
        <f aca="false">IF(K268&lt;&gt;"",P267+K268,IF(B268&lt;&gt;"",P267,""))</f>
        <v/>
      </c>
      <c r="Q268" s="17" t="str">
        <f aca="false">IF(P268&lt;&gt;"",MIN(0,P268-MAX($P$4:P268)),"")</f>
        <v/>
      </c>
    </row>
    <row r="269" customFormat="false" ht="15" hidden="false" customHeight="true" outlineLevel="0" collapsed="false">
      <c r="A269" s="11" t="str">
        <f aca="false">IF(B269&lt;&gt;"",COUNTA($B$4:B269),"")</f>
        <v/>
      </c>
      <c r="B269" s="20"/>
      <c r="C269" s="20"/>
      <c r="D269" s="20"/>
      <c r="E269" s="20"/>
      <c r="F269" s="20"/>
      <c r="G269" s="20"/>
      <c r="H269" s="20"/>
      <c r="I269" s="21"/>
      <c r="J269" s="20"/>
      <c r="K269" s="14" t="str">
        <f aca="false">IF(AND(I269&lt;&gt;"",H269&lt;&gt;"",J269&lt;&gt;""),IF(J269="W",I269*H269,IF(J269="L",-I269,IF(J269="P",I269*H269*0.5,""))),"")</f>
        <v/>
      </c>
      <c r="L269" s="15" t="str">
        <f aca="false">IF(AND(K269&lt;&gt;"",P268&lt;&gt;""),K269/P268,IF(K269&lt;&gt;"",K269/$D$2,""))</f>
        <v/>
      </c>
      <c r="M269" s="20"/>
      <c r="N269" s="20"/>
      <c r="O269" s="20"/>
      <c r="P269" s="16" t="str">
        <f aca="false">IF(K269&lt;&gt;"",P268+K269,IF(B269&lt;&gt;"",P268,""))</f>
        <v/>
      </c>
      <c r="Q269" s="17" t="str">
        <f aca="false">IF(P269&lt;&gt;"",MIN(0,P269-MAX($P$4:P269)),"")</f>
        <v/>
      </c>
    </row>
    <row r="270" customFormat="false" ht="15" hidden="false" customHeight="true" outlineLevel="0" collapsed="false">
      <c r="A270" s="11" t="str">
        <f aca="false">IF(B270&lt;&gt;"",COUNTA($B$4:B270),"")</f>
        <v/>
      </c>
      <c r="B270" s="12"/>
      <c r="C270" s="12"/>
      <c r="D270" s="12"/>
      <c r="E270" s="12"/>
      <c r="F270" s="12"/>
      <c r="G270" s="12"/>
      <c r="H270" s="12"/>
      <c r="I270" s="13"/>
      <c r="J270" s="12"/>
      <c r="K270" s="14" t="str">
        <f aca="false">IF(AND(I270&lt;&gt;"",H270&lt;&gt;"",J270&lt;&gt;""),IF(J270="W",I270*H270,IF(J270="L",-I270,IF(J270="P",I270*H270*0.5,""))),"")</f>
        <v/>
      </c>
      <c r="L270" s="15" t="str">
        <f aca="false">IF(AND(K270&lt;&gt;"",P269&lt;&gt;""),K270/P269,IF(K270&lt;&gt;"",K270/$D$2,""))</f>
        <v/>
      </c>
      <c r="M270" s="12"/>
      <c r="N270" s="12"/>
      <c r="O270" s="12"/>
      <c r="P270" s="16" t="str">
        <f aca="false">IF(K270&lt;&gt;"",P269+K270,IF(B270&lt;&gt;"",P269,""))</f>
        <v/>
      </c>
      <c r="Q270" s="17" t="str">
        <f aca="false">IF(P270&lt;&gt;"",MIN(0,P270-MAX($P$4:P270)),"")</f>
        <v/>
      </c>
    </row>
    <row r="271" customFormat="false" ht="15" hidden="false" customHeight="true" outlineLevel="0" collapsed="false">
      <c r="A271" s="11" t="str">
        <f aca="false">IF(B271&lt;&gt;"",COUNTA($B$4:B271),"")</f>
        <v/>
      </c>
      <c r="B271" s="20"/>
      <c r="C271" s="20"/>
      <c r="D271" s="20"/>
      <c r="E271" s="20"/>
      <c r="F271" s="20"/>
      <c r="G271" s="20"/>
      <c r="H271" s="20"/>
      <c r="I271" s="21"/>
      <c r="J271" s="20"/>
      <c r="K271" s="14" t="str">
        <f aca="false">IF(AND(I271&lt;&gt;"",H271&lt;&gt;"",J271&lt;&gt;""),IF(J271="W",I271*H271,IF(J271="L",-I271,IF(J271="P",I271*H271*0.5,""))),"")</f>
        <v/>
      </c>
      <c r="L271" s="15" t="str">
        <f aca="false">IF(AND(K271&lt;&gt;"",P270&lt;&gt;""),K271/P270,IF(K271&lt;&gt;"",K271/$D$2,""))</f>
        <v/>
      </c>
      <c r="M271" s="20"/>
      <c r="N271" s="20"/>
      <c r="O271" s="20"/>
      <c r="P271" s="16" t="str">
        <f aca="false">IF(K271&lt;&gt;"",P270+K271,IF(B271&lt;&gt;"",P270,""))</f>
        <v/>
      </c>
      <c r="Q271" s="17" t="str">
        <f aca="false">IF(P271&lt;&gt;"",MIN(0,P271-MAX($P$4:P271)),"")</f>
        <v/>
      </c>
    </row>
    <row r="272" customFormat="false" ht="15" hidden="false" customHeight="true" outlineLevel="0" collapsed="false">
      <c r="A272" s="11" t="str">
        <f aca="false">IF(B272&lt;&gt;"",COUNTA($B$4:B272),"")</f>
        <v/>
      </c>
      <c r="B272" s="12"/>
      <c r="C272" s="12"/>
      <c r="D272" s="12"/>
      <c r="E272" s="12"/>
      <c r="F272" s="12"/>
      <c r="G272" s="12"/>
      <c r="H272" s="12"/>
      <c r="I272" s="13"/>
      <c r="J272" s="12"/>
      <c r="K272" s="14" t="str">
        <f aca="false">IF(AND(I272&lt;&gt;"",H272&lt;&gt;"",J272&lt;&gt;""),IF(J272="W",I272*H272,IF(J272="L",-I272,IF(J272="P",I272*H272*0.5,""))),"")</f>
        <v/>
      </c>
      <c r="L272" s="15" t="str">
        <f aca="false">IF(AND(K272&lt;&gt;"",P271&lt;&gt;""),K272/P271,IF(K272&lt;&gt;"",K272/$D$2,""))</f>
        <v/>
      </c>
      <c r="M272" s="12"/>
      <c r="N272" s="12"/>
      <c r="O272" s="12"/>
      <c r="P272" s="16" t="str">
        <f aca="false">IF(K272&lt;&gt;"",P271+K272,IF(B272&lt;&gt;"",P271,""))</f>
        <v/>
      </c>
      <c r="Q272" s="17" t="str">
        <f aca="false">IF(P272&lt;&gt;"",MIN(0,P272-MAX($P$4:P272)),"")</f>
        <v/>
      </c>
    </row>
    <row r="273" customFormat="false" ht="15" hidden="false" customHeight="true" outlineLevel="0" collapsed="false">
      <c r="A273" s="11" t="str">
        <f aca="false">IF(B273&lt;&gt;"",COUNTA($B$4:B273),"")</f>
        <v/>
      </c>
      <c r="B273" s="20"/>
      <c r="C273" s="20"/>
      <c r="D273" s="20"/>
      <c r="E273" s="20"/>
      <c r="F273" s="20"/>
      <c r="G273" s="20"/>
      <c r="H273" s="20"/>
      <c r="I273" s="21"/>
      <c r="J273" s="20"/>
      <c r="K273" s="14" t="str">
        <f aca="false">IF(AND(I273&lt;&gt;"",H273&lt;&gt;"",J273&lt;&gt;""),IF(J273="W",I273*H273,IF(J273="L",-I273,IF(J273="P",I273*H273*0.5,""))),"")</f>
        <v/>
      </c>
      <c r="L273" s="15" t="str">
        <f aca="false">IF(AND(K273&lt;&gt;"",P272&lt;&gt;""),K273/P272,IF(K273&lt;&gt;"",K273/$D$2,""))</f>
        <v/>
      </c>
      <c r="M273" s="20"/>
      <c r="N273" s="20"/>
      <c r="O273" s="20"/>
      <c r="P273" s="16" t="str">
        <f aca="false">IF(K273&lt;&gt;"",P272+K273,IF(B273&lt;&gt;"",P272,""))</f>
        <v/>
      </c>
      <c r="Q273" s="17" t="str">
        <f aca="false">IF(P273&lt;&gt;"",MIN(0,P273-MAX($P$4:P273)),"")</f>
        <v/>
      </c>
    </row>
    <row r="274" customFormat="false" ht="15" hidden="false" customHeight="true" outlineLevel="0" collapsed="false">
      <c r="A274" s="11" t="str">
        <f aca="false">IF(B274&lt;&gt;"",COUNTA($B$4:B274),"")</f>
        <v/>
      </c>
      <c r="B274" s="12"/>
      <c r="C274" s="12"/>
      <c r="D274" s="12"/>
      <c r="E274" s="12"/>
      <c r="F274" s="12"/>
      <c r="G274" s="12"/>
      <c r="H274" s="12"/>
      <c r="I274" s="13"/>
      <c r="J274" s="12"/>
      <c r="K274" s="14" t="str">
        <f aca="false">IF(AND(I274&lt;&gt;"",H274&lt;&gt;"",J274&lt;&gt;""),IF(J274="W",I274*H274,IF(J274="L",-I274,IF(J274="P",I274*H274*0.5,""))),"")</f>
        <v/>
      </c>
      <c r="L274" s="15" t="str">
        <f aca="false">IF(AND(K274&lt;&gt;"",P273&lt;&gt;""),K274/P273,IF(K274&lt;&gt;"",K274/$D$2,""))</f>
        <v/>
      </c>
      <c r="M274" s="12"/>
      <c r="N274" s="12"/>
      <c r="O274" s="12"/>
      <c r="P274" s="16" t="str">
        <f aca="false">IF(K274&lt;&gt;"",P273+K274,IF(B274&lt;&gt;"",P273,""))</f>
        <v/>
      </c>
      <c r="Q274" s="17" t="str">
        <f aca="false">IF(P274&lt;&gt;"",MIN(0,P274-MAX($P$4:P274)),"")</f>
        <v/>
      </c>
    </row>
    <row r="275" customFormat="false" ht="15" hidden="false" customHeight="true" outlineLevel="0" collapsed="false">
      <c r="A275" s="11" t="str">
        <f aca="false">IF(B275&lt;&gt;"",COUNTA($B$4:B275),"")</f>
        <v/>
      </c>
      <c r="B275" s="20"/>
      <c r="C275" s="20"/>
      <c r="D275" s="20"/>
      <c r="E275" s="20"/>
      <c r="F275" s="20"/>
      <c r="G275" s="20"/>
      <c r="H275" s="20"/>
      <c r="I275" s="21"/>
      <c r="J275" s="20"/>
      <c r="K275" s="14" t="str">
        <f aca="false">IF(AND(I275&lt;&gt;"",H275&lt;&gt;"",J275&lt;&gt;""),IF(J275="W",I275*H275,IF(J275="L",-I275,IF(J275="P",I275*H275*0.5,""))),"")</f>
        <v/>
      </c>
      <c r="L275" s="15" t="str">
        <f aca="false">IF(AND(K275&lt;&gt;"",P274&lt;&gt;""),K275/P274,IF(K275&lt;&gt;"",K275/$D$2,""))</f>
        <v/>
      </c>
      <c r="M275" s="20"/>
      <c r="N275" s="20"/>
      <c r="O275" s="20"/>
      <c r="P275" s="16" t="str">
        <f aca="false">IF(K275&lt;&gt;"",P274+K275,IF(B275&lt;&gt;"",P274,""))</f>
        <v/>
      </c>
      <c r="Q275" s="17" t="str">
        <f aca="false">IF(P275&lt;&gt;"",MIN(0,P275-MAX($P$4:P275)),"")</f>
        <v/>
      </c>
    </row>
    <row r="276" customFormat="false" ht="15" hidden="false" customHeight="true" outlineLevel="0" collapsed="false">
      <c r="A276" s="11" t="str">
        <f aca="false">IF(B276&lt;&gt;"",COUNTA($B$4:B276),"")</f>
        <v/>
      </c>
      <c r="B276" s="12"/>
      <c r="C276" s="12"/>
      <c r="D276" s="12"/>
      <c r="E276" s="12"/>
      <c r="F276" s="12"/>
      <c r="G276" s="12"/>
      <c r="H276" s="12"/>
      <c r="I276" s="13"/>
      <c r="J276" s="12"/>
      <c r="K276" s="14" t="str">
        <f aca="false">IF(AND(I276&lt;&gt;"",H276&lt;&gt;"",J276&lt;&gt;""),IF(J276="W",I276*H276,IF(J276="L",-I276,IF(J276="P",I276*H276*0.5,""))),"")</f>
        <v/>
      </c>
      <c r="L276" s="15" t="str">
        <f aca="false">IF(AND(K276&lt;&gt;"",P275&lt;&gt;""),K276/P275,IF(K276&lt;&gt;"",K276/$D$2,""))</f>
        <v/>
      </c>
      <c r="M276" s="12"/>
      <c r="N276" s="12"/>
      <c r="O276" s="12"/>
      <c r="P276" s="16" t="str">
        <f aca="false">IF(K276&lt;&gt;"",P275+K276,IF(B276&lt;&gt;"",P275,""))</f>
        <v/>
      </c>
      <c r="Q276" s="17" t="str">
        <f aca="false">IF(P276&lt;&gt;"",MIN(0,P276-MAX($P$4:P276)),"")</f>
        <v/>
      </c>
    </row>
    <row r="277" customFormat="false" ht="15" hidden="false" customHeight="true" outlineLevel="0" collapsed="false">
      <c r="A277" s="11" t="str">
        <f aca="false">IF(B277&lt;&gt;"",COUNTA($B$4:B277),"")</f>
        <v/>
      </c>
      <c r="B277" s="20"/>
      <c r="C277" s="20"/>
      <c r="D277" s="20"/>
      <c r="E277" s="20"/>
      <c r="F277" s="20"/>
      <c r="G277" s="20"/>
      <c r="H277" s="20"/>
      <c r="I277" s="21"/>
      <c r="J277" s="20"/>
      <c r="K277" s="14" t="str">
        <f aca="false">IF(AND(I277&lt;&gt;"",H277&lt;&gt;"",J277&lt;&gt;""),IF(J277="W",I277*H277,IF(J277="L",-I277,IF(J277="P",I277*H277*0.5,""))),"")</f>
        <v/>
      </c>
      <c r="L277" s="15" t="str">
        <f aca="false">IF(AND(K277&lt;&gt;"",P276&lt;&gt;""),K277/P276,IF(K277&lt;&gt;"",K277/$D$2,""))</f>
        <v/>
      </c>
      <c r="M277" s="20"/>
      <c r="N277" s="20"/>
      <c r="O277" s="20"/>
      <c r="P277" s="16" t="str">
        <f aca="false">IF(K277&lt;&gt;"",P276+K277,IF(B277&lt;&gt;"",P276,""))</f>
        <v/>
      </c>
      <c r="Q277" s="17" t="str">
        <f aca="false">IF(P277&lt;&gt;"",MIN(0,P277-MAX($P$4:P277)),"")</f>
        <v/>
      </c>
    </row>
    <row r="278" customFormat="false" ht="15" hidden="false" customHeight="true" outlineLevel="0" collapsed="false">
      <c r="A278" s="11" t="str">
        <f aca="false">IF(B278&lt;&gt;"",COUNTA($B$4:B278),"")</f>
        <v/>
      </c>
      <c r="B278" s="12"/>
      <c r="C278" s="12"/>
      <c r="D278" s="12"/>
      <c r="E278" s="12"/>
      <c r="F278" s="12"/>
      <c r="G278" s="12"/>
      <c r="H278" s="12"/>
      <c r="I278" s="13"/>
      <c r="J278" s="12"/>
      <c r="K278" s="14" t="str">
        <f aca="false">IF(AND(I278&lt;&gt;"",H278&lt;&gt;"",J278&lt;&gt;""),IF(J278="W",I278*H278,IF(J278="L",-I278,IF(J278="P",I278*H278*0.5,""))),"")</f>
        <v/>
      </c>
      <c r="L278" s="15" t="str">
        <f aca="false">IF(AND(K278&lt;&gt;"",P277&lt;&gt;""),K278/P277,IF(K278&lt;&gt;"",K278/$D$2,""))</f>
        <v/>
      </c>
      <c r="M278" s="12"/>
      <c r="N278" s="12"/>
      <c r="O278" s="12"/>
      <c r="P278" s="16" t="str">
        <f aca="false">IF(K278&lt;&gt;"",P277+K278,IF(B278&lt;&gt;"",P277,""))</f>
        <v/>
      </c>
      <c r="Q278" s="17" t="str">
        <f aca="false">IF(P278&lt;&gt;"",MIN(0,P278-MAX($P$4:P278)),"")</f>
        <v/>
      </c>
    </row>
    <row r="279" customFormat="false" ht="15" hidden="false" customHeight="true" outlineLevel="0" collapsed="false">
      <c r="A279" s="11" t="str">
        <f aca="false">IF(B279&lt;&gt;"",COUNTA($B$4:B279),"")</f>
        <v/>
      </c>
      <c r="B279" s="20"/>
      <c r="C279" s="20"/>
      <c r="D279" s="20"/>
      <c r="E279" s="20"/>
      <c r="F279" s="20"/>
      <c r="G279" s="20"/>
      <c r="H279" s="20"/>
      <c r="I279" s="21"/>
      <c r="J279" s="20"/>
      <c r="K279" s="14" t="str">
        <f aca="false">IF(AND(I279&lt;&gt;"",H279&lt;&gt;"",J279&lt;&gt;""),IF(J279="W",I279*H279,IF(J279="L",-I279,IF(J279="P",I279*H279*0.5,""))),"")</f>
        <v/>
      </c>
      <c r="L279" s="15" t="str">
        <f aca="false">IF(AND(K279&lt;&gt;"",P278&lt;&gt;""),K279/P278,IF(K279&lt;&gt;"",K279/$D$2,""))</f>
        <v/>
      </c>
      <c r="M279" s="20"/>
      <c r="N279" s="20"/>
      <c r="O279" s="20"/>
      <c r="P279" s="16" t="str">
        <f aca="false">IF(K279&lt;&gt;"",P278+K279,IF(B279&lt;&gt;"",P278,""))</f>
        <v/>
      </c>
      <c r="Q279" s="17" t="str">
        <f aca="false">IF(P279&lt;&gt;"",MIN(0,P279-MAX($P$4:P279)),"")</f>
        <v/>
      </c>
    </row>
    <row r="280" customFormat="false" ht="15" hidden="false" customHeight="true" outlineLevel="0" collapsed="false">
      <c r="A280" s="11" t="str">
        <f aca="false">IF(B280&lt;&gt;"",COUNTA($B$4:B280),"")</f>
        <v/>
      </c>
      <c r="B280" s="12"/>
      <c r="C280" s="12"/>
      <c r="D280" s="12"/>
      <c r="E280" s="12"/>
      <c r="F280" s="12"/>
      <c r="G280" s="12"/>
      <c r="H280" s="12"/>
      <c r="I280" s="13"/>
      <c r="J280" s="12"/>
      <c r="K280" s="14" t="str">
        <f aca="false">IF(AND(I280&lt;&gt;"",H280&lt;&gt;"",J280&lt;&gt;""),IF(J280="W",I280*H280,IF(J280="L",-I280,IF(J280="P",I280*H280*0.5,""))),"")</f>
        <v/>
      </c>
      <c r="L280" s="15" t="str">
        <f aca="false">IF(AND(K280&lt;&gt;"",P279&lt;&gt;""),K280/P279,IF(K280&lt;&gt;"",K280/$D$2,""))</f>
        <v/>
      </c>
      <c r="M280" s="12"/>
      <c r="N280" s="12"/>
      <c r="O280" s="12"/>
      <c r="P280" s="16" t="str">
        <f aca="false">IF(K280&lt;&gt;"",P279+K280,IF(B280&lt;&gt;"",P279,""))</f>
        <v/>
      </c>
      <c r="Q280" s="17" t="str">
        <f aca="false">IF(P280&lt;&gt;"",MIN(0,P280-MAX($P$4:P280)),"")</f>
        <v/>
      </c>
    </row>
    <row r="281" customFormat="false" ht="15" hidden="false" customHeight="true" outlineLevel="0" collapsed="false">
      <c r="A281" s="11" t="str">
        <f aca="false">IF(B281&lt;&gt;"",COUNTA($B$4:B281),"")</f>
        <v/>
      </c>
      <c r="B281" s="20"/>
      <c r="C281" s="20"/>
      <c r="D281" s="20"/>
      <c r="E281" s="20"/>
      <c r="F281" s="20"/>
      <c r="G281" s="20"/>
      <c r="H281" s="20"/>
      <c r="I281" s="21"/>
      <c r="J281" s="20"/>
      <c r="K281" s="14" t="str">
        <f aca="false">IF(AND(I281&lt;&gt;"",H281&lt;&gt;"",J281&lt;&gt;""),IF(J281="W",I281*H281,IF(J281="L",-I281,IF(J281="P",I281*H281*0.5,""))),"")</f>
        <v/>
      </c>
      <c r="L281" s="15" t="str">
        <f aca="false">IF(AND(K281&lt;&gt;"",P280&lt;&gt;""),K281/P280,IF(K281&lt;&gt;"",K281/$D$2,""))</f>
        <v/>
      </c>
      <c r="M281" s="20"/>
      <c r="N281" s="20"/>
      <c r="O281" s="20"/>
      <c r="P281" s="16" t="str">
        <f aca="false">IF(K281&lt;&gt;"",P280+K281,IF(B281&lt;&gt;"",P280,""))</f>
        <v/>
      </c>
      <c r="Q281" s="17" t="str">
        <f aca="false">IF(P281&lt;&gt;"",MIN(0,P281-MAX($P$4:P281)),"")</f>
        <v/>
      </c>
    </row>
    <row r="282" customFormat="false" ht="15" hidden="false" customHeight="true" outlineLevel="0" collapsed="false">
      <c r="A282" s="11" t="str">
        <f aca="false">IF(B282&lt;&gt;"",COUNTA($B$4:B282),"")</f>
        <v/>
      </c>
      <c r="B282" s="12"/>
      <c r="C282" s="12"/>
      <c r="D282" s="12"/>
      <c r="E282" s="12"/>
      <c r="F282" s="12"/>
      <c r="G282" s="12"/>
      <c r="H282" s="12"/>
      <c r="I282" s="13"/>
      <c r="J282" s="12"/>
      <c r="K282" s="14" t="str">
        <f aca="false">IF(AND(I282&lt;&gt;"",H282&lt;&gt;"",J282&lt;&gt;""),IF(J282="W",I282*H282,IF(J282="L",-I282,IF(J282="P",I282*H282*0.5,""))),"")</f>
        <v/>
      </c>
      <c r="L282" s="15" t="str">
        <f aca="false">IF(AND(K282&lt;&gt;"",P281&lt;&gt;""),K282/P281,IF(K282&lt;&gt;"",K282/$D$2,""))</f>
        <v/>
      </c>
      <c r="M282" s="12"/>
      <c r="N282" s="12"/>
      <c r="O282" s="12"/>
      <c r="P282" s="16" t="str">
        <f aca="false">IF(K282&lt;&gt;"",P281+K282,IF(B282&lt;&gt;"",P281,""))</f>
        <v/>
      </c>
      <c r="Q282" s="17" t="str">
        <f aca="false">IF(P282&lt;&gt;"",MIN(0,P282-MAX($P$4:P282)),"")</f>
        <v/>
      </c>
    </row>
    <row r="283" customFormat="false" ht="15" hidden="false" customHeight="true" outlineLevel="0" collapsed="false">
      <c r="A283" s="11" t="str">
        <f aca="false">IF(B283&lt;&gt;"",COUNTA($B$4:B283),"")</f>
        <v/>
      </c>
      <c r="B283" s="20"/>
      <c r="C283" s="20"/>
      <c r="D283" s="20"/>
      <c r="E283" s="20"/>
      <c r="F283" s="20"/>
      <c r="G283" s="20"/>
      <c r="H283" s="20"/>
      <c r="I283" s="21"/>
      <c r="J283" s="20"/>
      <c r="K283" s="14" t="str">
        <f aca="false">IF(AND(I283&lt;&gt;"",H283&lt;&gt;"",J283&lt;&gt;""),IF(J283="W",I283*H283,IF(J283="L",-I283,IF(J283="P",I283*H283*0.5,""))),"")</f>
        <v/>
      </c>
      <c r="L283" s="15" t="str">
        <f aca="false">IF(AND(K283&lt;&gt;"",P282&lt;&gt;""),K283/P282,IF(K283&lt;&gt;"",K283/$D$2,""))</f>
        <v/>
      </c>
      <c r="M283" s="20"/>
      <c r="N283" s="20"/>
      <c r="O283" s="20"/>
      <c r="P283" s="16" t="str">
        <f aca="false">IF(K283&lt;&gt;"",P282+K283,IF(B283&lt;&gt;"",P282,""))</f>
        <v/>
      </c>
      <c r="Q283" s="17" t="str">
        <f aca="false">IF(P283&lt;&gt;"",MIN(0,P283-MAX($P$4:P283)),"")</f>
        <v/>
      </c>
    </row>
    <row r="284" customFormat="false" ht="15" hidden="false" customHeight="true" outlineLevel="0" collapsed="false">
      <c r="A284" s="11" t="str">
        <f aca="false">IF(B284&lt;&gt;"",COUNTA($B$4:B284),"")</f>
        <v/>
      </c>
      <c r="B284" s="12"/>
      <c r="C284" s="12"/>
      <c r="D284" s="12"/>
      <c r="E284" s="12"/>
      <c r="F284" s="12"/>
      <c r="G284" s="12"/>
      <c r="H284" s="12"/>
      <c r="I284" s="13"/>
      <c r="J284" s="12"/>
      <c r="K284" s="14" t="str">
        <f aca="false">IF(AND(I284&lt;&gt;"",H284&lt;&gt;"",J284&lt;&gt;""),IF(J284="W",I284*H284,IF(J284="L",-I284,IF(J284="P",I284*H284*0.5,""))),"")</f>
        <v/>
      </c>
      <c r="L284" s="15" t="str">
        <f aca="false">IF(AND(K284&lt;&gt;"",P283&lt;&gt;""),K284/P283,IF(K284&lt;&gt;"",K284/$D$2,""))</f>
        <v/>
      </c>
      <c r="M284" s="12"/>
      <c r="N284" s="12"/>
      <c r="O284" s="12"/>
      <c r="P284" s="16" t="str">
        <f aca="false">IF(K284&lt;&gt;"",P283+K284,IF(B284&lt;&gt;"",P283,""))</f>
        <v/>
      </c>
      <c r="Q284" s="17" t="str">
        <f aca="false">IF(P284&lt;&gt;"",MIN(0,P284-MAX($P$4:P284)),"")</f>
        <v/>
      </c>
    </row>
    <row r="285" customFormat="false" ht="15" hidden="false" customHeight="true" outlineLevel="0" collapsed="false">
      <c r="A285" s="11" t="str">
        <f aca="false">IF(B285&lt;&gt;"",COUNTA($B$4:B285),"")</f>
        <v/>
      </c>
      <c r="B285" s="20"/>
      <c r="C285" s="20"/>
      <c r="D285" s="20"/>
      <c r="E285" s="20"/>
      <c r="F285" s="20"/>
      <c r="G285" s="20"/>
      <c r="H285" s="20"/>
      <c r="I285" s="21"/>
      <c r="J285" s="20"/>
      <c r="K285" s="14" t="str">
        <f aca="false">IF(AND(I285&lt;&gt;"",H285&lt;&gt;"",J285&lt;&gt;""),IF(J285="W",I285*H285,IF(J285="L",-I285,IF(J285="P",I285*H285*0.5,""))),"")</f>
        <v/>
      </c>
      <c r="L285" s="15" t="str">
        <f aca="false">IF(AND(K285&lt;&gt;"",P284&lt;&gt;""),K285/P284,IF(K285&lt;&gt;"",K285/$D$2,""))</f>
        <v/>
      </c>
      <c r="M285" s="20"/>
      <c r="N285" s="20"/>
      <c r="O285" s="20"/>
      <c r="P285" s="16" t="str">
        <f aca="false">IF(K285&lt;&gt;"",P284+K285,IF(B285&lt;&gt;"",P284,""))</f>
        <v/>
      </c>
      <c r="Q285" s="17" t="str">
        <f aca="false">IF(P285&lt;&gt;"",MIN(0,P285-MAX($P$4:P285)),"")</f>
        <v/>
      </c>
    </row>
    <row r="286" customFormat="false" ht="15" hidden="false" customHeight="true" outlineLevel="0" collapsed="false">
      <c r="A286" s="11" t="str">
        <f aca="false">IF(B286&lt;&gt;"",COUNTA($B$4:B286),"")</f>
        <v/>
      </c>
      <c r="B286" s="12"/>
      <c r="C286" s="12"/>
      <c r="D286" s="12"/>
      <c r="E286" s="12"/>
      <c r="F286" s="12"/>
      <c r="G286" s="12"/>
      <c r="H286" s="12"/>
      <c r="I286" s="13"/>
      <c r="J286" s="12"/>
      <c r="K286" s="14" t="str">
        <f aca="false">IF(AND(I286&lt;&gt;"",H286&lt;&gt;"",J286&lt;&gt;""),IF(J286="W",I286*H286,IF(J286="L",-I286,IF(J286="P",I286*H286*0.5,""))),"")</f>
        <v/>
      </c>
      <c r="L286" s="15" t="str">
        <f aca="false">IF(AND(K286&lt;&gt;"",P285&lt;&gt;""),K286/P285,IF(K286&lt;&gt;"",K286/$D$2,""))</f>
        <v/>
      </c>
      <c r="M286" s="12"/>
      <c r="N286" s="12"/>
      <c r="O286" s="12"/>
      <c r="P286" s="16" t="str">
        <f aca="false">IF(K286&lt;&gt;"",P285+K286,IF(B286&lt;&gt;"",P285,""))</f>
        <v/>
      </c>
      <c r="Q286" s="17" t="str">
        <f aca="false">IF(P286&lt;&gt;"",MIN(0,P286-MAX($P$4:P286)),"")</f>
        <v/>
      </c>
    </row>
    <row r="287" customFormat="false" ht="15" hidden="false" customHeight="true" outlineLevel="0" collapsed="false">
      <c r="A287" s="11" t="str">
        <f aca="false">IF(B287&lt;&gt;"",COUNTA($B$4:B287),"")</f>
        <v/>
      </c>
      <c r="B287" s="20"/>
      <c r="C287" s="20"/>
      <c r="D287" s="20"/>
      <c r="E287" s="20"/>
      <c r="F287" s="20"/>
      <c r="G287" s="20"/>
      <c r="H287" s="20"/>
      <c r="I287" s="21"/>
      <c r="J287" s="20"/>
      <c r="K287" s="14" t="str">
        <f aca="false">IF(AND(I287&lt;&gt;"",H287&lt;&gt;"",J287&lt;&gt;""),IF(J287="W",I287*H287,IF(J287="L",-I287,IF(J287="P",I287*H287*0.5,""))),"")</f>
        <v/>
      </c>
      <c r="L287" s="15" t="str">
        <f aca="false">IF(AND(K287&lt;&gt;"",P286&lt;&gt;""),K287/P286,IF(K287&lt;&gt;"",K287/$D$2,""))</f>
        <v/>
      </c>
      <c r="M287" s="20"/>
      <c r="N287" s="20"/>
      <c r="O287" s="20"/>
      <c r="P287" s="16" t="str">
        <f aca="false">IF(K287&lt;&gt;"",P286+K287,IF(B287&lt;&gt;"",P286,""))</f>
        <v/>
      </c>
      <c r="Q287" s="17" t="str">
        <f aca="false">IF(P287&lt;&gt;"",MIN(0,P287-MAX($P$4:P287)),"")</f>
        <v/>
      </c>
    </row>
    <row r="288" customFormat="false" ht="15" hidden="false" customHeight="true" outlineLevel="0" collapsed="false">
      <c r="A288" s="11" t="str">
        <f aca="false">IF(B288&lt;&gt;"",COUNTA($B$4:B288),"")</f>
        <v/>
      </c>
      <c r="B288" s="12"/>
      <c r="C288" s="12"/>
      <c r="D288" s="12"/>
      <c r="E288" s="12"/>
      <c r="F288" s="12"/>
      <c r="G288" s="12"/>
      <c r="H288" s="12"/>
      <c r="I288" s="13"/>
      <c r="J288" s="12"/>
      <c r="K288" s="14" t="str">
        <f aca="false">IF(AND(I288&lt;&gt;"",H288&lt;&gt;"",J288&lt;&gt;""),IF(J288="W",I288*H288,IF(J288="L",-I288,IF(J288="P",I288*H288*0.5,""))),"")</f>
        <v/>
      </c>
      <c r="L288" s="15" t="str">
        <f aca="false">IF(AND(K288&lt;&gt;"",P287&lt;&gt;""),K288/P287,IF(K288&lt;&gt;"",K288/$D$2,""))</f>
        <v/>
      </c>
      <c r="M288" s="12"/>
      <c r="N288" s="12"/>
      <c r="O288" s="12"/>
      <c r="P288" s="16" t="str">
        <f aca="false">IF(K288&lt;&gt;"",P287+K288,IF(B288&lt;&gt;"",P287,""))</f>
        <v/>
      </c>
      <c r="Q288" s="17" t="str">
        <f aca="false">IF(P288&lt;&gt;"",MIN(0,P288-MAX($P$4:P288)),"")</f>
        <v/>
      </c>
    </row>
    <row r="289" customFormat="false" ht="15" hidden="false" customHeight="true" outlineLevel="0" collapsed="false">
      <c r="A289" s="11" t="str">
        <f aca="false">IF(B289&lt;&gt;"",COUNTA($B$4:B289),"")</f>
        <v/>
      </c>
      <c r="B289" s="20"/>
      <c r="C289" s="20"/>
      <c r="D289" s="20"/>
      <c r="E289" s="20"/>
      <c r="F289" s="20"/>
      <c r="G289" s="20"/>
      <c r="H289" s="20"/>
      <c r="I289" s="21"/>
      <c r="J289" s="20"/>
      <c r="K289" s="14" t="str">
        <f aca="false">IF(AND(I289&lt;&gt;"",H289&lt;&gt;"",J289&lt;&gt;""),IF(J289="W",I289*H289,IF(J289="L",-I289,IF(J289="P",I289*H289*0.5,""))),"")</f>
        <v/>
      </c>
      <c r="L289" s="15" t="str">
        <f aca="false">IF(AND(K289&lt;&gt;"",P288&lt;&gt;""),K289/P288,IF(K289&lt;&gt;"",K289/$D$2,""))</f>
        <v/>
      </c>
      <c r="M289" s="20"/>
      <c r="N289" s="20"/>
      <c r="O289" s="20"/>
      <c r="P289" s="16" t="str">
        <f aca="false">IF(K289&lt;&gt;"",P288+K289,IF(B289&lt;&gt;"",P288,""))</f>
        <v/>
      </c>
      <c r="Q289" s="17" t="str">
        <f aca="false">IF(P289&lt;&gt;"",MIN(0,P289-MAX($P$4:P289)),"")</f>
        <v/>
      </c>
    </row>
    <row r="290" customFormat="false" ht="15" hidden="false" customHeight="true" outlineLevel="0" collapsed="false">
      <c r="A290" s="11" t="str">
        <f aca="false">IF(B290&lt;&gt;"",COUNTA($B$4:B290),"")</f>
        <v/>
      </c>
      <c r="B290" s="12"/>
      <c r="C290" s="12"/>
      <c r="D290" s="12"/>
      <c r="E290" s="12"/>
      <c r="F290" s="12"/>
      <c r="G290" s="12"/>
      <c r="H290" s="12"/>
      <c r="I290" s="13"/>
      <c r="J290" s="12"/>
      <c r="K290" s="14" t="str">
        <f aca="false">IF(AND(I290&lt;&gt;"",H290&lt;&gt;"",J290&lt;&gt;""),IF(J290="W",I290*H290,IF(J290="L",-I290,IF(J290="P",I290*H290*0.5,""))),"")</f>
        <v/>
      </c>
      <c r="L290" s="15" t="str">
        <f aca="false">IF(AND(K290&lt;&gt;"",P289&lt;&gt;""),K290/P289,IF(K290&lt;&gt;"",K290/$D$2,""))</f>
        <v/>
      </c>
      <c r="M290" s="12"/>
      <c r="N290" s="12"/>
      <c r="O290" s="12"/>
      <c r="P290" s="16" t="str">
        <f aca="false">IF(K290&lt;&gt;"",P289+K290,IF(B290&lt;&gt;"",P289,""))</f>
        <v/>
      </c>
      <c r="Q290" s="17" t="str">
        <f aca="false">IF(P290&lt;&gt;"",MIN(0,P290-MAX($P$4:P290)),"")</f>
        <v/>
      </c>
    </row>
    <row r="291" customFormat="false" ht="15" hidden="false" customHeight="true" outlineLevel="0" collapsed="false">
      <c r="A291" s="11" t="str">
        <f aca="false">IF(B291&lt;&gt;"",COUNTA($B$4:B291),"")</f>
        <v/>
      </c>
      <c r="B291" s="20"/>
      <c r="C291" s="20"/>
      <c r="D291" s="20"/>
      <c r="E291" s="20"/>
      <c r="F291" s="20"/>
      <c r="G291" s="20"/>
      <c r="H291" s="20"/>
      <c r="I291" s="21"/>
      <c r="J291" s="20"/>
      <c r="K291" s="14" t="str">
        <f aca="false">IF(AND(I291&lt;&gt;"",H291&lt;&gt;"",J291&lt;&gt;""),IF(J291="W",I291*H291,IF(J291="L",-I291,IF(J291="P",I291*H291*0.5,""))),"")</f>
        <v/>
      </c>
      <c r="L291" s="15" t="str">
        <f aca="false">IF(AND(K291&lt;&gt;"",P290&lt;&gt;""),K291/P290,IF(K291&lt;&gt;"",K291/$D$2,""))</f>
        <v/>
      </c>
      <c r="M291" s="20"/>
      <c r="N291" s="20"/>
      <c r="O291" s="20"/>
      <c r="P291" s="16" t="str">
        <f aca="false">IF(K291&lt;&gt;"",P290+K291,IF(B291&lt;&gt;"",P290,""))</f>
        <v/>
      </c>
      <c r="Q291" s="17" t="str">
        <f aca="false">IF(P291&lt;&gt;"",MIN(0,P291-MAX($P$4:P291)),"")</f>
        <v/>
      </c>
    </row>
    <row r="292" customFormat="false" ht="15" hidden="false" customHeight="true" outlineLevel="0" collapsed="false">
      <c r="A292" s="11" t="str">
        <f aca="false">IF(B292&lt;&gt;"",COUNTA($B$4:B292),"")</f>
        <v/>
      </c>
      <c r="B292" s="12"/>
      <c r="C292" s="12"/>
      <c r="D292" s="12"/>
      <c r="E292" s="12"/>
      <c r="F292" s="12"/>
      <c r="G292" s="12"/>
      <c r="H292" s="12"/>
      <c r="I292" s="13"/>
      <c r="J292" s="12"/>
      <c r="K292" s="14" t="str">
        <f aca="false">IF(AND(I292&lt;&gt;"",H292&lt;&gt;"",J292&lt;&gt;""),IF(J292="W",I292*H292,IF(J292="L",-I292,IF(J292="P",I292*H292*0.5,""))),"")</f>
        <v/>
      </c>
      <c r="L292" s="15" t="str">
        <f aca="false">IF(AND(K292&lt;&gt;"",P291&lt;&gt;""),K292/P291,IF(K292&lt;&gt;"",K292/$D$2,""))</f>
        <v/>
      </c>
      <c r="M292" s="12"/>
      <c r="N292" s="12"/>
      <c r="O292" s="12"/>
      <c r="P292" s="16" t="str">
        <f aca="false">IF(K292&lt;&gt;"",P291+K292,IF(B292&lt;&gt;"",P291,""))</f>
        <v/>
      </c>
      <c r="Q292" s="17" t="str">
        <f aca="false">IF(P292&lt;&gt;"",MIN(0,P292-MAX($P$4:P292)),"")</f>
        <v/>
      </c>
    </row>
    <row r="293" customFormat="false" ht="15" hidden="false" customHeight="true" outlineLevel="0" collapsed="false">
      <c r="A293" s="11" t="str">
        <f aca="false">IF(B293&lt;&gt;"",COUNTA($B$4:B293),"")</f>
        <v/>
      </c>
      <c r="B293" s="20"/>
      <c r="C293" s="20"/>
      <c r="D293" s="20"/>
      <c r="E293" s="20"/>
      <c r="F293" s="20"/>
      <c r="G293" s="20"/>
      <c r="H293" s="20"/>
      <c r="I293" s="21"/>
      <c r="J293" s="20"/>
      <c r="K293" s="14" t="str">
        <f aca="false">IF(AND(I293&lt;&gt;"",H293&lt;&gt;"",J293&lt;&gt;""),IF(J293="W",I293*H293,IF(J293="L",-I293,IF(J293="P",I293*H293*0.5,""))),"")</f>
        <v/>
      </c>
      <c r="L293" s="15" t="str">
        <f aca="false">IF(AND(K293&lt;&gt;"",P292&lt;&gt;""),K293/P292,IF(K293&lt;&gt;"",K293/$D$2,""))</f>
        <v/>
      </c>
      <c r="M293" s="20"/>
      <c r="N293" s="20"/>
      <c r="O293" s="20"/>
      <c r="P293" s="16" t="str">
        <f aca="false">IF(K293&lt;&gt;"",P292+K293,IF(B293&lt;&gt;"",P292,""))</f>
        <v/>
      </c>
      <c r="Q293" s="17" t="str">
        <f aca="false">IF(P293&lt;&gt;"",MIN(0,P293-MAX($P$4:P293)),"")</f>
        <v/>
      </c>
    </row>
    <row r="294" customFormat="false" ht="15" hidden="false" customHeight="true" outlineLevel="0" collapsed="false">
      <c r="A294" s="11" t="str">
        <f aca="false">IF(B294&lt;&gt;"",COUNTA($B$4:B294),"")</f>
        <v/>
      </c>
      <c r="B294" s="12"/>
      <c r="C294" s="12"/>
      <c r="D294" s="12"/>
      <c r="E294" s="12"/>
      <c r="F294" s="12"/>
      <c r="G294" s="12"/>
      <c r="H294" s="12"/>
      <c r="I294" s="13"/>
      <c r="J294" s="12"/>
      <c r="K294" s="14" t="str">
        <f aca="false">IF(AND(I294&lt;&gt;"",H294&lt;&gt;"",J294&lt;&gt;""),IF(J294="W",I294*H294,IF(J294="L",-I294,IF(J294="P",I294*H294*0.5,""))),"")</f>
        <v/>
      </c>
      <c r="L294" s="15" t="str">
        <f aca="false">IF(AND(K294&lt;&gt;"",P293&lt;&gt;""),K294/P293,IF(K294&lt;&gt;"",K294/$D$2,""))</f>
        <v/>
      </c>
      <c r="M294" s="12"/>
      <c r="N294" s="12"/>
      <c r="O294" s="12"/>
      <c r="P294" s="16" t="str">
        <f aca="false">IF(K294&lt;&gt;"",P293+K294,IF(B294&lt;&gt;"",P293,""))</f>
        <v/>
      </c>
      <c r="Q294" s="17" t="str">
        <f aca="false">IF(P294&lt;&gt;"",MIN(0,P294-MAX($P$4:P294)),"")</f>
        <v/>
      </c>
    </row>
    <row r="295" customFormat="false" ht="15" hidden="false" customHeight="true" outlineLevel="0" collapsed="false">
      <c r="A295" s="11" t="str">
        <f aca="false">IF(B295&lt;&gt;"",COUNTA($B$4:B295),"")</f>
        <v/>
      </c>
      <c r="B295" s="20"/>
      <c r="C295" s="20"/>
      <c r="D295" s="20"/>
      <c r="E295" s="20"/>
      <c r="F295" s="20"/>
      <c r="G295" s="20"/>
      <c r="H295" s="20"/>
      <c r="I295" s="21"/>
      <c r="J295" s="20"/>
      <c r="K295" s="14" t="str">
        <f aca="false">IF(AND(I295&lt;&gt;"",H295&lt;&gt;"",J295&lt;&gt;""),IF(J295="W",I295*H295,IF(J295="L",-I295,IF(J295="P",I295*H295*0.5,""))),"")</f>
        <v/>
      </c>
      <c r="L295" s="15" t="str">
        <f aca="false">IF(AND(K295&lt;&gt;"",P294&lt;&gt;""),K295/P294,IF(K295&lt;&gt;"",K295/$D$2,""))</f>
        <v/>
      </c>
      <c r="M295" s="20"/>
      <c r="N295" s="20"/>
      <c r="O295" s="20"/>
      <c r="P295" s="16" t="str">
        <f aca="false">IF(K295&lt;&gt;"",P294+K295,IF(B295&lt;&gt;"",P294,""))</f>
        <v/>
      </c>
      <c r="Q295" s="17" t="str">
        <f aca="false">IF(P295&lt;&gt;"",MIN(0,P295-MAX($P$4:P295)),"")</f>
        <v/>
      </c>
    </row>
    <row r="296" customFormat="false" ht="15" hidden="false" customHeight="true" outlineLevel="0" collapsed="false">
      <c r="A296" s="11" t="str">
        <f aca="false">IF(B296&lt;&gt;"",COUNTA($B$4:B296),"")</f>
        <v/>
      </c>
      <c r="B296" s="12"/>
      <c r="C296" s="12"/>
      <c r="D296" s="12"/>
      <c r="E296" s="12"/>
      <c r="F296" s="12"/>
      <c r="G296" s="12"/>
      <c r="H296" s="12"/>
      <c r="I296" s="13"/>
      <c r="J296" s="12"/>
      <c r="K296" s="14" t="str">
        <f aca="false">IF(AND(I296&lt;&gt;"",H296&lt;&gt;"",J296&lt;&gt;""),IF(J296="W",I296*H296,IF(J296="L",-I296,IF(J296="P",I296*H296*0.5,""))),"")</f>
        <v/>
      </c>
      <c r="L296" s="15" t="str">
        <f aca="false">IF(AND(K296&lt;&gt;"",P295&lt;&gt;""),K296/P295,IF(K296&lt;&gt;"",K296/$D$2,""))</f>
        <v/>
      </c>
      <c r="M296" s="12"/>
      <c r="N296" s="12"/>
      <c r="O296" s="12"/>
      <c r="P296" s="16" t="str">
        <f aca="false">IF(K296&lt;&gt;"",P295+K296,IF(B296&lt;&gt;"",P295,""))</f>
        <v/>
      </c>
      <c r="Q296" s="17" t="str">
        <f aca="false">IF(P296&lt;&gt;"",MIN(0,P296-MAX($P$4:P296)),"")</f>
        <v/>
      </c>
    </row>
    <row r="297" customFormat="false" ht="15" hidden="false" customHeight="true" outlineLevel="0" collapsed="false">
      <c r="A297" s="11" t="str">
        <f aca="false">IF(B297&lt;&gt;"",COUNTA($B$4:B297),"")</f>
        <v/>
      </c>
      <c r="B297" s="20"/>
      <c r="C297" s="20"/>
      <c r="D297" s="20"/>
      <c r="E297" s="20"/>
      <c r="F297" s="20"/>
      <c r="G297" s="20"/>
      <c r="H297" s="20"/>
      <c r="I297" s="21"/>
      <c r="J297" s="20"/>
      <c r="K297" s="14" t="str">
        <f aca="false">IF(AND(I297&lt;&gt;"",H297&lt;&gt;"",J297&lt;&gt;""),IF(J297="W",I297*H297,IF(J297="L",-I297,IF(J297="P",I297*H297*0.5,""))),"")</f>
        <v/>
      </c>
      <c r="L297" s="15" t="str">
        <f aca="false">IF(AND(K297&lt;&gt;"",P296&lt;&gt;""),K297/P296,IF(K297&lt;&gt;"",K297/$D$2,""))</f>
        <v/>
      </c>
      <c r="M297" s="20"/>
      <c r="N297" s="20"/>
      <c r="O297" s="20"/>
      <c r="P297" s="16" t="str">
        <f aca="false">IF(K297&lt;&gt;"",P296+K297,IF(B297&lt;&gt;"",P296,""))</f>
        <v/>
      </c>
      <c r="Q297" s="17" t="str">
        <f aca="false">IF(P297&lt;&gt;"",MIN(0,P297-MAX($P$4:P297)),"")</f>
        <v/>
      </c>
    </row>
    <row r="298" customFormat="false" ht="15" hidden="false" customHeight="true" outlineLevel="0" collapsed="false">
      <c r="A298" s="11" t="str">
        <f aca="false">IF(B298&lt;&gt;"",COUNTA($B$4:B298),"")</f>
        <v/>
      </c>
      <c r="B298" s="12"/>
      <c r="C298" s="12"/>
      <c r="D298" s="12"/>
      <c r="E298" s="12"/>
      <c r="F298" s="12"/>
      <c r="G298" s="12"/>
      <c r="H298" s="12"/>
      <c r="I298" s="13"/>
      <c r="J298" s="12"/>
      <c r="K298" s="14" t="str">
        <f aca="false">IF(AND(I298&lt;&gt;"",H298&lt;&gt;"",J298&lt;&gt;""),IF(J298="W",I298*H298,IF(J298="L",-I298,IF(J298="P",I298*H298*0.5,""))),"")</f>
        <v/>
      </c>
      <c r="L298" s="15" t="str">
        <f aca="false">IF(AND(K298&lt;&gt;"",P297&lt;&gt;""),K298/P297,IF(K298&lt;&gt;"",K298/$D$2,""))</f>
        <v/>
      </c>
      <c r="M298" s="12"/>
      <c r="N298" s="12"/>
      <c r="O298" s="12"/>
      <c r="P298" s="16" t="str">
        <f aca="false">IF(K298&lt;&gt;"",P297+K298,IF(B298&lt;&gt;"",P297,""))</f>
        <v/>
      </c>
      <c r="Q298" s="17" t="str">
        <f aca="false">IF(P298&lt;&gt;"",MIN(0,P298-MAX($P$4:P298)),"")</f>
        <v/>
      </c>
    </row>
    <row r="299" customFormat="false" ht="15" hidden="false" customHeight="true" outlineLevel="0" collapsed="false">
      <c r="A299" s="11" t="str">
        <f aca="false">IF(B299&lt;&gt;"",COUNTA($B$4:B299),"")</f>
        <v/>
      </c>
      <c r="B299" s="20"/>
      <c r="C299" s="20"/>
      <c r="D299" s="20"/>
      <c r="E299" s="20"/>
      <c r="F299" s="20"/>
      <c r="G299" s="20"/>
      <c r="H299" s="20"/>
      <c r="I299" s="21"/>
      <c r="J299" s="20"/>
      <c r="K299" s="14" t="str">
        <f aca="false">IF(AND(I299&lt;&gt;"",H299&lt;&gt;"",J299&lt;&gt;""),IF(J299="W",I299*H299,IF(J299="L",-I299,IF(J299="P",I299*H299*0.5,""))),"")</f>
        <v/>
      </c>
      <c r="L299" s="15" t="str">
        <f aca="false">IF(AND(K299&lt;&gt;"",P298&lt;&gt;""),K299/P298,IF(K299&lt;&gt;"",K299/$D$2,""))</f>
        <v/>
      </c>
      <c r="M299" s="20"/>
      <c r="N299" s="20"/>
      <c r="O299" s="20"/>
      <c r="P299" s="16" t="str">
        <f aca="false">IF(K299&lt;&gt;"",P298+K299,IF(B299&lt;&gt;"",P298,""))</f>
        <v/>
      </c>
      <c r="Q299" s="17" t="str">
        <f aca="false">IF(P299&lt;&gt;"",MIN(0,P299-MAX($P$4:P299)),"")</f>
        <v/>
      </c>
    </row>
    <row r="300" customFormat="false" ht="15" hidden="false" customHeight="true" outlineLevel="0" collapsed="false">
      <c r="A300" s="11" t="str">
        <f aca="false">IF(B300&lt;&gt;"",COUNTA($B$4:B300),"")</f>
        <v/>
      </c>
      <c r="B300" s="12"/>
      <c r="C300" s="12"/>
      <c r="D300" s="12"/>
      <c r="E300" s="12"/>
      <c r="F300" s="12"/>
      <c r="G300" s="12"/>
      <c r="H300" s="12"/>
      <c r="I300" s="13"/>
      <c r="J300" s="12"/>
      <c r="K300" s="14" t="str">
        <f aca="false">IF(AND(I300&lt;&gt;"",H300&lt;&gt;"",J300&lt;&gt;""),IF(J300="W",I300*H300,IF(J300="L",-I300,IF(J300="P",I300*H300*0.5,""))),"")</f>
        <v/>
      </c>
      <c r="L300" s="15" t="str">
        <f aca="false">IF(AND(K300&lt;&gt;"",P299&lt;&gt;""),K300/P299,IF(K300&lt;&gt;"",K300/$D$2,""))</f>
        <v/>
      </c>
      <c r="M300" s="12"/>
      <c r="N300" s="12"/>
      <c r="O300" s="12"/>
      <c r="P300" s="16" t="str">
        <f aca="false">IF(K300&lt;&gt;"",P299+K300,IF(B300&lt;&gt;"",P299,""))</f>
        <v/>
      </c>
      <c r="Q300" s="17" t="str">
        <f aca="false">IF(P300&lt;&gt;"",MIN(0,P300-MAX($P$4:P300)),"")</f>
        <v/>
      </c>
    </row>
    <row r="301" customFormat="false" ht="15" hidden="false" customHeight="true" outlineLevel="0" collapsed="false">
      <c r="A301" s="11" t="str">
        <f aca="false">IF(B301&lt;&gt;"",COUNTA($B$4:B301),"")</f>
        <v/>
      </c>
      <c r="B301" s="20"/>
      <c r="C301" s="20"/>
      <c r="D301" s="20"/>
      <c r="E301" s="20"/>
      <c r="F301" s="20"/>
      <c r="G301" s="20"/>
      <c r="H301" s="20"/>
      <c r="I301" s="21"/>
      <c r="J301" s="20"/>
      <c r="K301" s="14" t="str">
        <f aca="false">IF(AND(I301&lt;&gt;"",H301&lt;&gt;"",J301&lt;&gt;""),IF(J301="W",I301*H301,IF(J301="L",-I301,IF(J301="P",I301*H301*0.5,""))),"")</f>
        <v/>
      </c>
      <c r="L301" s="15" t="str">
        <f aca="false">IF(AND(K301&lt;&gt;"",P300&lt;&gt;""),K301/P300,IF(K301&lt;&gt;"",K301/$D$2,""))</f>
        <v/>
      </c>
      <c r="M301" s="20"/>
      <c r="N301" s="20"/>
      <c r="O301" s="20"/>
      <c r="P301" s="16" t="str">
        <f aca="false">IF(K301&lt;&gt;"",P300+K301,IF(B301&lt;&gt;"",P300,""))</f>
        <v/>
      </c>
      <c r="Q301" s="17" t="str">
        <f aca="false">IF(P301&lt;&gt;"",MIN(0,P301-MAX($P$4:P301)),"")</f>
        <v/>
      </c>
    </row>
    <row r="302" customFormat="false" ht="15" hidden="false" customHeight="true" outlineLevel="0" collapsed="false">
      <c r="A302" s="11" t="str">
        <f aca="false">IF(B302&lt;&gt;"",COUNTA($B$4:B302),"")</f>
        <v/>
      </c>
      <c r="B302" s="12"/>
      <c r="C302" s="12"/>
      <c r="D302" s="12"/>
      <c r="E302" s="12"/>
      <c r="F302" s="12"/>
      <c r="G302" s="12"/>
      <c r="H302" s="12"/>
      <c r="I302" s="13"/>
      <c r="J302" s="12"/>
      <c r="K302" s="14" t="str">
        <f aca="false">IF(AND(I302&lt;&gt;"",H302&lt;&gt;"",J302&lt;&gt;""),IF(J302="W",I302*H302,IF(J302="L",-I302,IF(J302="P",I302*H302*0.5,""))),"")</f>
        <v/>
      </c>
      <c r="L302" s="15" t="str">
        <f aca="false">IF(AND(K302&lt;&gt;"",P301&lt;&gt;""),K302/P301,IF(K302&lt;&gt;"",K302/$D$2,""))</f>
        <v/>
      </c>
      <c r="M302" s="12"/>
      <c r="N302" s="12"/>
      <c r="O302" s="12"/>
      <c r="P302" s="16" t="str">
        <f aca="false">IF(K302&lt;&gt;"",P301+K302,IF(B302&lt;&gt;"",P301,""))</f>
        <v/>
      </c>
      <c r="Q302" s="17" t="str">
        <f aca="false">IF(P302&lt;&gt;"",MIN(0,P302-MAX($P$4:P302)),"")</f>
        <v/>
      </c>
    </row>
    <row r="303" customFormat="false" ht="15" hidden="false" customHeight="true" outlineLevel="0" collapsed="false">
      <c r="A303" s="11" t="str">
        <f aca="false">IF(B303&lt;&gt;"",COUNTA($B$4:B303),"")</f>
        <v/>
      </c>
      <c r="B303" s="20"/>
      <c r="C303" s="20"/>
      <c r="D303" s="20"/>
      <c r="E303" s="20"/>
      <c r="F303" s="20"/>
      <c r="G303" s="20"/>
      <c r="H303" s="20"/>
      <c r="I303" s="21"/>
      <c r="J303" s="20"/>
      <c r="K303" s="14" t="str">
        <f aca="false">IF(AND(I303&lt;&gt;"",H303&lt;&gt;"",J303&lt;&gt;""),IF(J303="W",I303*H303,IF(J303="L",-I303,IF(J303="P",I303*H303*0.5,""))),"")</f>
        <v/>
      </c>
      <c r="L303" s="15" t="str">
        <f aca="false">IF(AND(K303&lt;&gt;"",P302&lt;&gt;""),K303/P302,IF(K303&lt;&gt;"",K303/$D$2,""))</f>
        <v/>
      </c>
      <c r="M303" s="20"/>
      <c r="N303" s="20"/>
      <c r="O303" s="20"/>
      <c r="P303" s="16" t="str">
        <f aca="false">IF(K303&lt;&gt;"",P302+K303,IF(B303&lt;&gt;"",P302,""))</f>
        <v/>
      </c>
      <c r="Q303" s="17" t="str">
        <f aca="false">IF(P303&lt;&gt;"",MIN(0,P303-MAX($P$4:P303)),"")</f>
        <v/>
      </c>
    </row>
    <row r="304" customFormat="false" ht="15" hidden="false" customHeight="true" outlineLevel="0" collapsed="false">
      <c r="A304" s="11" t="str">
        <f aca="false">IF(B304&lt;&gt;"",COUNTA($B$4:B304),"")</f>
        <v/>
      </c>
      <c r="B304" s="12"/>
      <c r="C304" s="12"/>
      <c r="D304" s="12"/>
      <c r="E304" s="12"/>
      <c r="F304" s="12"/>
      <c r="G304" s="12"/>
      <c r="H304" s="12"/>
      <c r="I304" s="13"/>
      <c r="J304" s="12"/>
      <c r="K304" s="14" t="str">
        <f aca="false">IF(AND(I304&lt;&gt;"",H304&lt;&gt;"",J304&lt;&gt;""),IF(J304="W",I304*H304,IF(J304="L",-I304,IF(J304="P",I304*H304*0.5,""))),"")</f>
        <v/>
      </c>
      <c r="L304" s="15" t="str">
        <f aca="false">IF(AND(K304&lt;&gt;"",P303&lt;&gt;""),K304/P303,IF(K304&lt;&gt;"",K304/$D$2,""))</f>
        <v/>
      </c>
      <c r="M304" s="12"/>
      <c r="N304" s="12"/>
      <c r="O304" s="12"/>
      <c r="P304" s="16" t="str">
        <f aca="false">IF(K304&lt;&gt;"",P303+K304,IF(B304&lt;&gt;"",P303,""))</f>
        <v/>
      </c>
      <c r="Q304" s="17" t="str">
        <f aca="false">IF(P304&lt;&gt;"",MIN(0,P304-MAX($P$4:P304)),"")</f>
        <v/>
      </c>
    </row>
    <row r="305" customFormat="false" ht="15" hidden="false" customHeight="true" outlineLevel="0" collapsed="false">
      <c r="A305" s="11" t="str">
        <f aca="false">IF(B305&lt;&gt;"",COUNTA($B$4:B305),"")</f>
        <v/>
      </c>
      <c r="B305" s="20"/>
      <c r="C305" s="20"/>
      <c r="D305" s="20"/>
      <c r="E305" s="20"/>
      <c r="F305" s="20"/>
      <c r="G305" s="20"/>
      <c r="H305" s="20"/>
      <c r="I305" s="21"/>
      <c r="J305" s="20"/>
      <c r="K305" s="14" t="str">
        <f aca="false">IF(AND(I305&lt;&gt;"",H305&lt;&gt;"",J305&lt;&gt;""),IF(J305="W",I305*H305,IF(J305="L",-I305,IF(J305="P",I305*H305*0.5,""))),"")</f>
        <v/>
      </c>
      <c r="L305" s="15" t="str">
        <f aca="false">IF(AND(K305&lt;&gt;"",P304&lt;&gt;""),K305/P304,IF(K305&lt;&gt;"",K305/$D$2,""))</f>
        <v/>
      </c>
      <c r="M305" s="20"/>
      <c r="N305" s="20"/>
      <c r="O305" s="20"/>
      <c r="P305" s="16" t="str">
        <f aca="false">IF(K305&lt;&gt;"",P304+K305,IF(B305&lt;&gt;"",P304,""))</f>
        <v/>
      </c>
      <c r="Q305" s="17" t="str">
        <f aca="false">IF(P305&lt;&gt;"",MIN(0,P305-MAX($P$4:P305)),"")</f>
        <v/>
      </c>
    </row>
    <row r="306" customFormat="false" ht="15" hidden="false" customHeight="true" outlineLevel="0" collapsed="false">
      <c r="A306" s="11" t="str">
        <f aca="false">IF(B306&lt;&gt;"",COUNTA($B$4:B306),"")</f>
        <v/>
      </c>
      <c r="B306" s="12"/>
      <c r="C306" s="12"/>
      <c r="D306" s="12"/>
      <c r="E306" s="12"/>
      <c r="F306" s="12"/>
      <c r="G306" s="12"/>
      <c r="H306" s="12"/>
      <c r="I306" s="13"/>
      <c r="J306" s="12"/>
      <c r="K306" s="14" t="str">
        <f aca="false">IF(AND(I306&lt;&gt;"",H306&lt;&gt;"",J306&lt;&gt;""),IF(J306="W",I306*H306,IF(J306="L",-I306,IF(J306="P",I306*H306*0.5,""))),"")</f>
        <v/>
      </c>
      <c r="L306" s="15" t="str">
        <f aca="false">IF(AND(K306&lt;&gt;"",P305&lt;&gt;""),K306/P305,IF(K306&lt;&gt;"",K306/$D$2,""))</f>
        <v/>
      </c>
      <c r="M306" s="12"/>
      <c r="N306" s="12"/>
      <c r="O306" s="12"/>
      <c r="P306" s="16" t="str">
        <f aca="false">IF(K306&lt;&gt;"",P305+K306,IF(B306&lt;&gt;"",P305,""))</f>
        <v/>
      </c>
      <c r="Q306" s="17" t="str">
        <f aca="false">IF(P306&lt;&gt;"",MIN(0,P306-MAX($P$4:P306)),"")</f>
        <v/>
      </c>
    </row>
    <row r="307" customFormat="false" ht="15" hidden="false" customHeight="true" outlineLevel="0" collapsed="false">
      <c r="A307" s="11" t="str">
        <f aca="false">IF(B307&lt;&gt;"",COUNTA($B$4:B307),"")</f>
        <v/>
      </c>
      <c r="B307" s="20"/>
      <c r="C307" s="20"/>
      <c r="D307" s="20"/>
      <c r="E307" s="20"/>
      <c r="F307" s="20"/>
      <c r="G307" s="20"/>
      <c r="H307" s="20"/>
      <c r="I307" s="21"/>
      <c r="J307" s="20"/>
      <c r="K307" s="14" t="str">
        <f aca="false">IF(AND(I307&lt;&gt;"",H307&lt;&gt;"",J307&lt;&gt;""),IF(J307="W",I307*H307,IF(J307="L",-I307,IF(J307="P",I307*H307*0.5,""))),"")</f>
        <v/>
      </c>
      <c r="L307" s="15" t="str">
        <f aca="false">IF(AND(K307&lt;&gt;"",P306&lt;&gt;""),K307/P306,IF(K307&lt;&gt;"",K307/$D$2,""))</f>
        <v/>
      </c>
      <c r="M307" s="20"/>
      <c r="N307" s="20"/>
      <c r="O307" s="20"/>
      <c r="P307" s="16" t="str">
        <f aca="false">IF(K307&lt;&gt;"",P306+K307,IF(B307&lt;&gt;"",P306,""))</f>
        <v/>
      </c>
      <c r="Q307" s="17" t="str">
        <f aca="false">IF(P307&lt;&gt;"",MIN(0,P307-MAX($P$4:P307)),"")</f>
        <v/>
      </c>
    </row>
    <row r="308" customFormat="false" ht="15" hidden="false" customHeight="true" outlineLevel="0" collapsed="false">
      <c r="A308" s="11" t="str">
        <f aca="false">IF(B308&lt;&gt;"",COUNTA($B$4:B308),"")</f>
        <v/>
      </c>
      <c r="B308" s="12"/>
      <c r="C308" s="12"/>
      <c r="D308" s="12"/>
      <c r="E308" s="12"/>
      <c r="F308" s="12"/>
      <c r="G308" s="12"/>
      <c r="H308" s="12"/>
      <c r="I308" s="13"/>
      <c r="J308" s="12"/>
      <c r="K308" s="14" t="str">
        <f aca="false">IF(AND(I308&lt;&gt;"",H308&lt;&gt;"",J308&lt;&gt;""),IF(J308="W",I308*H308,IF(J308="L",-I308,IF(J308="P",I308*H308*0.5,""))),"")</f>
        <v/>
      </c>
      <c r="L308" s="15" t="str">
        <f aca="false">IF(AND(K308&lt;&gt;"",P307&lt;&gt;""),K308/P307,IF(K308&lt;&gt;"",K308/$D$2,""))</f>
        <v/>
      </c>
      <c r="M308" s="12"/>
      <c r="N308" s="12"/>
      <c r="O308" s="12"/>
      <c r="P308" s="16" t="str">
        <f aca="false">IF(K308&lt;&gt;"",P307+K308,IF(B308&lt;&gt;"",P307,""))</f>
        <v/>
      </c>
      <c r="Q308" s="17" t="str">
        <f aca="false">IF(P308&lt;&gt;"",MIN(0,P308-MAX($P$4:P308)),"")</f>
        <v/>
      </c>
    </row>
    <row r="309" customFormat="false" ht="15" hidden="false" customHeight="true" outlineLevel="0" collapsed="false">
      <c r="A309" s="11" t="str">
        <f aca="false">IF(B309&lt;&gt;"",COUNTA($B$4:B309),"")</f>
        <v/>
      </c>
      <c r="B309" s="20"/>
      <c r="C309" s="20"/>
      <c r="D309" s="20"/>
      <c r="E309" s="20"/>
      <c r="F309" s="20"/>
      <c r="G309" s="20"/>
      <c r="H309" s="20"/>
      <c r="I309" s="21"/>
      <c r="J309" s="20"/>
      <c r="K309" s="14" t="str">
        <f aca="false">IF(AND(I309&lt;&gt;"",H309&lt;&gt;"",J309&lt;&gt;""),IF(J309="W",I309*H309,IF(J309="L",-I309,IF(J309="P",I309*H309*0.5,""))),"")</f>
        <v/>
      </c>
      <c r="L309" s="15" t="str">
        <f aca="false">IF(AND(K309&lt;&gt;"",P308&lt;&gt;""),K309/P308,IF(K309&lt;&gt;"",K309/$D$2,""))</f>
        <v/>
      </c>
      <c r="M309" s="20"/>
      <c r="N309" s="20"/>
      <c r="O309" s="20"/>
      <c r="P309" s="16" t="str">
        <f aca="false">IF(K309&lt;&gt;"",P308+K309,IF(B309&lt;&gt;"",P308,""))</f>
        <v/>
      </c>
      <c r="Q309" s="17" t="str">
        <f aca="false">IF(P309&lt;&gt;"",MIN(0,P309-MAX($P$4:P309)),"")</f>
        <v/>
      </c>
    </row>
    <row r="310" customFormat="false" ht="15" hidden="false" customHeight="true" outlineLevel="0" collapsed="false">
      <c r="A310" s="11" t="str">
        <f aca="false">IF(B310&lt;&gt;"",COUNTA($B$4:B310),"")</f>
        <v/>
      </c>
      <c r="B310" s="12"/>
      <c r="C310" s="12"/>
      <c r="D310" s="12"/>
      <c r="E310" s="12"/>
      <c r="F310" s="12"/>
      <c r="G310" s="12"/>
      <c r="H310" s="12"/>
      <c r="I310" s="13"/>
      <c r="J310" s="12"/>
      <c r="K310" s="14" t="str">
        <f aca="false">IF(AND(I310&lt;&gt;"",H310&lt;&gt;"",J310&lt;&gt;""),IF(J310="W",I310*H310,IF(J310="L",-I310,IF(J310="P",I310*H310*0.5,""))),"")</f>
        <v/>
      </c>
      <c r="L310" s="15" t="str">
        <f aca="false">IF(AND(K310&lt;&gt;"",P309&lt;&gt;""),K310/P309,IF(K310&lt;&gt;"",K310/$D$2,""))</f>
        <v/>
      </c>
      <c r="M310" s="12"/>
      <c r="N310" s="12"/>
      <c r="O310" s="12"/>
      <c r="P310" s="16" t="str">
        <f aca="false">IF(K310&lt;&gt;"",P309+K310,IF(B310&lt;&gt;"",P309,""))</f>
        <v/>
      </c>
      <c r="Q310" s="17" t="str">
        <f aca="false">IF(P310&lt;&gt;"",MIN(0,P310-MAX($P$4:P310)),"")</f>
        <v/>
      </c>
    </row>
    <row r="311" customFormat="false" ht="15" hidden="false" customHeight="true" outlineLevel="0" collapsed="false">
      <c r="A311" s="11" t="str">
        <f aca="false">IF(B311&lt;&gt;"",COUNTA($B$4:B311),"")</f>
        <v/>
      </c>
      <c r="B311" s="20"/>
      <c r="C311" s="20"/>
      <c r="D311" s="20"/>
      <c r="E311" s="20"/>
      <c r="F311" s="20"/>
      <c r="G311" s="20"/>
      <c r="H311" s="20"/>
      <c r="I311" s="21"/>
      <c r="J311" s="20"/>
      <c r="K311" s="14" t="str">
        <f aca="false">IF(AND(I311&lt;&gt;"",H311&lt;&gt;"",J311&lt;&gt;""),IF(J311="W",I311*H311,IF(J311="L",-I311,IF(J311="P",I311*H311*0.5,""))),"")</f>
        <v/>
      </c>
      <c r="L311" s="15" t="str">
        <f aca="false">IF(AND(K311&lt;&gt;"",P310&lt;&gt;""),K311/P310,IF(K311&lt;&gt;"",K311/$D$2,""))</f>
        <v/>
      </c>
      <c r="M311" s="20"/>
      <c r="N311" s="20"/>
      <c r="O311" s="20"/>
      <c r="P311" s="16" t="str">
        <f aca="false">IF(K311&lt;&gt;"",P310+K311,IF(B311&lt;&gt;"",P310,""))</f>
        <v/>
      </c>
      <c r="Q311" s="17" t="str">
        <f aca="false">IF(P311&lt;&gt;"",MIN(0,P311-MAX($P$4:P311)),"")</f>
        <v/>
      </c>
    </row>
    <row r="312" customFormat="false" ht="15" hidden="false" customHeight="true" outlineLevel="0" collapsed="false">
      <c r="A312" s="11" t="str">
        <f aca="false">IF(B312&lt;&gt;"",COUNTA($B$4:B312),"")</f>
        <v/>
      </c>
      <c r="B312" s="12"/>
      <c r="C312" s="12"/>
      <c r="D312" s="12"/>
      <c r="E312" s="12"/>
      <c r="F312" s="12"/>
      <c r="G312" s="12"/>
      <c r="H312" s="12"/>
      <c r="I312" s="13"/>
      <c r="J312" s="12"/>
      <c r="K312" s="14" t="str">
        <f aca="false">IF(AND(I312&lt;&gt;"",H312&lt;&gt;"",J312&lt;&gt;""),IF(J312="W",I312*H312,IF(J312="L",-I312,IF(J312="P",I312*H312*0.5,""))),"")</f>
        <v/>
      </c>
      <c r="L312" s="15" t="str">
        <f aca="false">IF(AND(K312&lt;&gt;"",P311&lt;&gt;""),K312/P311,IF(K312&lt;&gt;"",K312/$D$2,""))</f>
        <v/>
      </c>
      <c r="M312" s="12"/>
      <c r="N312" s="12"/>
      <c r="O312" s="12"/>
      <c r="P312" s="16" t="str">
        <f aca="false">IF(K312&lt;&gt;"",P311+K312,IF(B312&lt;&gt;"",P311,""))</f>
        <v/>
      </c>
      <c r="Q312" s="17" t="str">
        <f aca="false">IF(P312&lt;&gt;"",MIN(0,P312-MAX($P$4:P312)),"")</f>
        <v/>
      </c>
    </row>
    <row r="313" customFormat="false" ht="15" hidden="false" customHeight="true" outlineLevel="0" collapsed="false">
      <c r="A313" s="11" t="str">
        <f aca="false">IF(B313&lt;&gt;"",COUNTA($B$4:B313),"")</f>
        <v/>
      </c>
      <c r="B313" s="20"/>
      <c r="C313" s="20"/>
      <c r="D313" s="20"/>
      <c r="E313" s="20"/>
      <c r="F313" s="20"/>
      <c r="G313" s="20"/>
      <c r="H313" s="20"/>
      <c r="I313" s="21"/>
      <c r="J313" s="20"/>
      <c r="K313" s="14" t="str">
        <f aca="false">IF(AND(I313&lt;&gt;"",H313&lt;&gt;"",J313&lt;&gt;""),IF(J313="W",I313*H313,IF(J313="L",-I313,IF(J313="P",I313*H313*0.5,""))),"")</f>
        <v/>
      </c>
      <c r="L313" s="15" t="str">
        <f aca="false">IF(AND(K313&lt;&gt;"",P312&lt;&gt;""),K313/P312,IF(K313&lt;&gt;"",K313/$D$2,""))</f>
        <v/>
      </c>
      <c r="M313" s="20"/>
      <c r="N313" s="20"/>
      <c r="O313" s="20"/>
      <c r="P313" s="16" t="str">
        <f aca="false">IF(K313&lt;&gt;"",P312+K313,IF(B313&lt;&gt;"",P312,""))</f>
        <v/>
      </c>
      <c r="Q313" s="17" t="str">
        <f aca="false">IF(P313&lt;&gt;"",MIN(0,P313-MAX($P$4:P313)),"")</f>
        <v/>
      </c>
    </row>
    <row r="314" customFormat="false" ht="15" hidden="false" customHeight="true" outlineLevel="0" collapsed="false">
      <c r="A314" s="11" t="str">
        <f aca="false">IF(B314&lt;&gt;"",COUNTA($B$4:B314),"")</f>
        <v/>
      </c>
      <c r="B314" s="12"/>
      <c r="C314" s="12"/>
      <c r="D314" s="12"/>
      <c r="E314" s="12"/>
      <c r="F314" s="12"/>
      <c r="G314" s="12"/>
      <c r="H314" s="12"/>
      <c r="I314" s="13"/>
      <c r="J314" s="12"/>
      <c r="K314" s="14" t="str">
        <f aca="false">IF(AND(I314&lt;&gt;"",H314&lt;&gt;"",J314&lt;&gt;""),IF(J314="W",I314*H314,IF(J314="L",-I314,IF(J314="P",I314*H314*0.5,""))),"")</f>
        <v/>
      </c>
      <c r="L314" s="15" t="str">
        <f aca="false">IF(AND(K314&lt;&gt;"",P313&lt;&gt;""),K314/P313,IF(K314&lt;&gt;"",K314/$D$2,""))</f>
        <v/>
      </c>
      <c r="M314" s="12"/>
      <c r="N314" s="12"/>
      <c r="O314" s="12"/>
      <c r="P314" s="16" t="str">
        <f aca="false">IF(K314&lt;&gt;"",P313+K314,IF(B314&lt;&gt;"",P313,""))</f>
        <v/>
      </c>
      <c r="Q314" s="17" t="str">
        <f aca="false">IF(P314&lt;&gt;"",MIN(0,P314-MAX($P$4:P314)),"")</f>
        <v/>
      </c>
    </row>
    <row r="315" customFormat="false" ht="15" hidden="false" customHeight="true" outlineLevel="0" collapsed="false">
      <c r="A315" s="11" t="str">
        <f aca="false">IF(B315&lt;&gt;"",COUNTA($B$4:B315),"")</f>
        <v/>
      </c>
      <c r="B315" s="20"/>
      <c r="C315" s="20"/>
      <c r="D315" s="20"/>
      <c r="E315" s="20"/>
      <c r="F315" s="20"/>
      <c r="G315" s="20"/>
      <c r="H315" s="20"/>
      <c r="I315" s="21"/>
      <c r="J315" s="20"/>
      <c r="K315" s="14" t="str">
        <f aca="false">IF(AND(I315&lt;&gt;"",H315&lt;&gt;"",J315&lt;&gt;""),IF(J315="W",I315*H315,IF(J315="L",-I315,IF(J315="P",I315*H315*0.5,""))),"")</f>
        <v/>
      </c>
      <c r="L315" s="15" t="str">
        <f aca="false">IF(AND(K315&lt;&gt;"",P314&lt;&gt;""),K315/P314,IF(K315&lt;&gt;"",K315/$D$2,""))</f>
        <v/>
      </c>
      <c r="M315" s="20"/>
      <c r="N315" s="20"/>
      <c r="O315" s="20"/>
      <c r="P315" s="16" t="str">
        <f aca="false">IF(K315&lt;&gt;"",P314+K315,IF(B315&lt;&gt;"",P314,""))</f>
        <v/>
      </c>
      <c r="Q315" s="17" t="str">
        <f aca="false">IF(P315&lt;&gt;"",MIN(0,P315-MAX($P$4:P315)),"")</f>
        <v/>
      </c>
    </row>
    <row r="316" customFormat="false" ht="15" hidden="false" customHeight="true" outlineLevel="0" collapsed="false">
      <c r="A316" s="11" t="str">
        <f aca="false">IF(B316&lt;&gt;"",COUNTA($B$4:B316),"")</f>
        <v/>
      </c>
      <c r="B316" s="12"/>
      <c r="C316" s="12"/>
      <c r="D316" s="12"/>
      <c r="E316" s="12"/>
      <c r="F316" s="12"/>
      <c r="G316" s="12"/>
      <c r="H316" s="12"/>
      <c r="I316" s="13"/>
      <c r="J316" s="12"/>
      <c r="K316" s="14" t="str">
        <f aca="false">IF(AND(I316&lt;&gt;"",H316&lt;&gt;"",J316&lt;&gt;""),IF(J316="W",I316*H316,IF(J316="L",-I316,IF(J316="P",I316*H316*0.5,""))),"")</f>
        <v/>
      </c>
      <c r="L316" s="15" t="str">
        <f aca="false">IF(AND(K316&lt;&gt;"",P315&lt;&gt;""),K316/P315,IF(K316&lt;&gt;"",K316/$D$2,""))</f>
        <v/>
      </c>
      <c r="M316" s="12"/>
      <c r="N316" s="12"/>
      <c r="O316" s="12"/>
      <c r="P316" s="16" t="str">
        <f aca="false">IF(K316&lt;&gt;"",P315+K316,IF(B316&lt;&gt;"",P315,""))</f>
        <v/>
      </c>
      <c r="Q316" s="17" t="str">
        <f aca="false">IF(P316&lt;&gt;"",MIN(0,P316-MAX($P$4:P316)),"")</f>
        <v/>
      </c>
    </row>
    <row r="317" customFormat="false" ht="15" hidden="false" customHeight="true" outlineLevel="0" collapsed="false">
      <c r="A317" s="11" t="str">
        <f aca="false">IF(B317&lt;&gt;"",COUNTA($B$4:B317),"")</f>
        <v/>
      </c>
      <c r="B317" s="20"/>
      <c r="C317" s="20"/>
      <c r="D317" s="20"/>
      <c r="E317" s="20"/>
      <c r="F317" s="20"/>
      <c r="G317" s="20"/>
      <c r="H317" s="20"/>
      <c r="I317" s="21"/>
      <c r="J317" s="20"/>
      <c r="K317" s="14" t="str">
        <f aca="false">IF(AND(I317&lt;&gt;"",H317&lt;&gt;"",J317&lt;&gt;""),IF(J317="W",I317*H317,IF(J317="L",-I317,IF(J317="P",I317*H317*0.5,""))),"")</f>
        <v/>
      </c>
      <c r="L317" s="15" t="str">
        <f aca="false">IF(AND(K317&lt;&gt;"",P316&lt;&gt;""),K317/P316,IF(K317&lt;&gt;"",K317/$D$2,""))</f>
        <v/>
      </c>
      <c r="M317" s="20"/>
      <c r="N317" s="20"/>
      <c r="O317" s="20"/>
      <c r="P317" s="16" t="str">
        <f aca="false">IF(K317&lt;&gt;"",P316+K317,IF(B317&lt;&gt;"",P316,""))</f>
        <v/>
      </c>
      <c r="Q317" s="17" t="str">
        <f aca="false">IF(P317&lt;&gt;"",MIN(0,P317-MAX($P$4:P317)),"")</f>
        <v/>
      </c>
    </row>
    <row r="318" customFormat="false" ht="15" hidden="false" customHeight="true" outlineLevel="0" collapsed="false">
      <c r="A318" s="11" t="str">
        <f aca="false">IF(B318&lt;&gt;"",COUNTA($B$4:B318),"")</f>
        <v/>
      </c>
      <c r="B318" s="12"/>
      <c r="C318" s="12"/>
      <c r="D318" s="12"/>
      <c r="E318" s="12"/>
      <c r="F318" s="12"/>
      <c r="G318" s="12"/>
      <c r="H318" s="12"/>
      <c r="I318" s="13"/>
      <c r="J318" s="12"/>
      <c r="K318" s="14" t="str">
        <f aca="false">IF(AND(I318&lt;&gt;"",H318&lt;&gt;"",J318&lt;&gt;""),IF(J318="W",I318*H318,IF(J318="L",-I318,IF(J318="P",I318*H318*0.5,""))),"")</f>
        <v/>
      </c>
      <c r="L318" s="15" t="str">
        <f aca="false">IF(AND(K318&lt;&gt;"",P317&lt;&gt;""),K318/P317,IF(K318&lt;&gt;"",K318/$D$2,""))</f>
        <v/>
      </c>
      <c r="M318" s="12"/>
      <c r="N318" s="12"/>
      <c r="O318" s="12"/>
      <c r="P318" s="16" t="str">
        <f aca="false">IF(K318&lt;&gt;"",P317+K318,IF(B318&lt;&gt;"",P317,""))</f>
        <v/>
      </c>
      <c r="Q318" s="17" t="str">
        <f aca="false">IF(P318&lt;&gt;"",MIN(0,P318-MAX($P$4:P318)),"")</f>
        <v/>
      </c>
    </row>
    <row r="319" customFormat="false" ht="15" hidden="false" customHeight="true" outlineLevel="0" collapsed="false">
      <c r="A319" s="11" t="str">
        <f aca="false">IF(B319&lt;&gt;"",COUNTA($B$4:B319),"")</f>
        <v/>
      </c>
      <c r="B319" s="20"/>
      <c r="C319" s="20"/>
      <c r="D319" s="20"/>
      <c r="E319" s="20"/>
      <c r="F319" s="20"/>
      <c r="G319" s="20"/>
      <c r="H319" s="20"/>
      <c r="I319" s="21"/>
      <c r="J319" s="20"/>
      <c r="K319" s="14" t="str">
        <f aca="false">IF(AND(I319&lt;&gt;"",H319&lt;&gt;"",J319&lt;&gt;""),IF(J319="W",I319*H319,IF(J319="L",-I319,IF(J319="P",I319*H319*0.5,""))),"")</f>
        <v/>
      </c>
      <c r="L319" s="15" t="str">
        <f aca="false">IF(AND(K319&lt;&gt;"",P318&lt;&gt;""),K319/P318,IF(K319&lt;&gt;"",K319/$D$2,""))</f>
        <v/>
      </c>
      <c r="M319" s="20"/>
      <c r="N319" s="20"/>
      <c r="O319" s="20"/>
      <c r="P319" s="16" t="str">
        <f aca="false">IF(K319&lt;&gt;"",P318+K319,IF(B319&lt;&gt;"",P318,""))</f>
        <v/>
      </c>
      <c r="Q319" s="17" t="str">
        <f aca="false">IF(P319&lt;&gt;"",MIN(0,P319-MAX($P$4:P319)),"")</f>
        <v/>
      </c>
    </row>
    <row r="320" customFormat="false" ht="15" hidden="false" customHeight="true" outlineLevel="0" collapsed="false">
      <c r="A320" s="11" t="str">
        <f aca="false">IF(B320&lt;&gt;"",COUNTA($B$4:B320),"")</f>
        <v/>
      </c>
      <c r="B320" s="12"/>
      <c r="C320" s="12"/>
      <c r="D320" s="12"/>
      <c r="E320" s="12"/>
      <c r="F320" s="12"/>
      <c r="G320" s="12"/>
      <c r="H320" s="12"/>
      <c r="I320" s="13"/>
      <c r="J320" s="12"/>
      <c r="K320" s="14" t="str">
        <f aca="false">IF(AND(I320&lt;&gt;"",H320&lt;&gt;"",J320&lt;&gt;""),IF(J320="W",I320*H320,IF(J320="L",-I320,IF(J320="P",I320*H320*0.5,""))),"")</f>
        <v/>
      </c>
      <c r="L320" s="15" t="str">
        <f aca="false">IF(AND(K320&lt;&gt;"",P319&lt;&gt;""),K320/P319,IF(K320&lt;&gt;"",K320/$D$2,""))</f>
        <v/>
      </c>
      <c r="M320" s="12"/>
      <c r="N320" s="12"/>
      <c r="O320" s="12"/>
      <c r="P320" s="16" t="str">
        <f aca="false">IF(K320&lt;&gt;"",P319+K320,IF(B320&lt;&gt;"",P319,""))</f>
        <v/>
      </c>
      <c r="Q320" s="17" t="str">
        <f aca="false">IF(P320&lt;&gt;"",MIN(0,P320-MAX($P$4:P320)),"")</f>
        <v/>
      </c>
    </row>
    <row r="321" customFormat="false" ht="15" hidden="false" customHeight="true" outlineLevel="0" collapsed="false">
      <c r="A321" s="11" t="str">
        <f aca="false">IF(B321&lt;&gt;"",COUNTA($B$4:B321),"")</f>
        <v/>
      </c>
      <c r="B321" s="20"/>
      <c r="C321" s="20"/>
      <c r="D321" s="20"/>
      <c r="E321" s="20"/>
      <c r="F321" s="20"/>
      <c r="G321" s="20"/>
      <c r="H321" s="20"/>
      <c r="I321" s="21"/>
      <c r="J321" s="20"/>
      <c r="K321" s="14" t="str">
        <f aca="false">IF(AND(I321&lt;&gt;"",H321&lt;&gt;"",J321&lt;&gt;""),IF(J321="W",I321*H321,IF(J321="L",-I321,IF(J321="P",I321*H321*0.5,""))),"")</f>
        <v/>
      </c>
      <c r="L321" s="15" t="str">
        <f aca="false">IF(AND(K321&lt;&gt;"",P320&lt;&gt;""),K321/P320,IF(K321&lt;&gt;"",K321/$D$2,""))</f>
        <v/>
      </c>
      <c r="M321" s="20"/>
      <c r="N321" s="20"/>
      <c r="O321" s="20"/>
      <c r="P321" s="16" t="str">
        <f aca="false">IF(K321&lt;&gt;"",P320+K321,IF(B321&lt;&gt;"",P320,""))</f>
        <v/>
      </c>
      <c r="Q321" s="17" t="str">
        <f aca="false">IF(P321&lt;&gt;"",MIN(0,P321-MAX($P$4:P321)),"")</f>
        <v/>
      </c>
    </row>
    <row r="322" customFormat="false" ht="15" hidden="false" customHeight="true" outlineLevel="0" collapsed="false">
      <c r="A322" s="11" t="str">
        <f aca="false">IF(B322&lt;&gt;"",COUNTA($B$4:B322),"")</f>
        <v/>
      </c>
      <c r="B322" s="12"/>
      <c r="C322" s="12"/>
      <c r="D322" s="12"/>
      <c r="E322" s="12"/>
      <c r="F322" s="12"/>
      <c r="G322" s="12"/>
      <c r="H322" s="12"/>
      <c r="I322" s="13"/>
      <c r="J322" s="12"/>
      <c r="K322" s="14" t="str">
        <f aca="false">IF(AND(I322&lt;&gt;"",H322&lt;&gt;"",J322&lt;&gt;""),IF(J322="W",I322*H322,IF(J322="L",-I322,IF(J322="P",I322*H322*0.5,""))),"")</f>
        <v/>
      </c>
      <c r="L322" s="15" t="str">
        <f aca="false">IF(AND(K322&lt;&gt;"",P321&lt;&gt;""),K322/P321,IF(K322&lt;&gt;"",K322/$D$2,""))</f>
        <v/>
      </c>
      <c r="M322" s="12"/>
      <c r="N322" s="12"/>
      <c r="O322" s="12"/>
      <c r="P322" s="16" t="str">
        <f aca="false">IF(K322&lt;&gt;"",P321+K322,IF(B322&lt;&gt;"",P321,""))</f>
        <v/>
      </c>
      <c r="Q322" s="17" t="str">
        <f aca="false">IF(P322&lt;&gt;"",MIN(0,P322-MAX($P$4:P322)),"")</f>
        <v/>
      </c>
    </row>
    <row r="323" customFormat="false" ht="15" hidden="false" customHeight="true" outlineLevel="0" collapsed="false">
      <c r="A323" s="11" t="str">
        <f aca="false">IF(B323&lt;&gt;"",COUNTA($B$4:B323),"")</f>
        <v/>
      </c>
      <c r="B323" s="20"/>
      <c r="C323" s="20"/>
      <c r="D323" s="20"/>
      <c r="E323" s="20"/>
      <c r="F323" s="20"/>
      <c r="G323" s="20"/>
      <c r="H323" s="20"/>
      <c r="I323" s="21"/>
      <c r="J323" s="20"/>
      <c r="K323" s="14" t="str">
        <f aca="false">IF(AND(I323&lt;&gt;"",H323&lt;&gt;"",J323&lt;&gt;""),IF(J323="W",I323*H323,IF(J323="L",-I323,IF(J323="P",I323*H323*0.5,""))),"")</f>
        <v/>
      </c>
      <c r="L323" s="15" t="str">
        <f aca="false">IF(AND(K323&lt;&gt;"",P322&lt;&gt;""),K323/P322,IF(K323&lt;&gt;"",K323/$D$2,""))</f>
        <v/>
      </c>
      <c r="M323" s="20"/>
      <c r="N323" s="20"/>
      <c r="O323" s="20"/>
      <c r="P323" s="16" t="str">
        <f aca="false">IF(K323&lt;&gt;"",P322+K323,IF(B323&lt;&gt;"",P322,""))</f>
        <v/>
      </c>
      <c r="Q323" s="17" t="str">
        <f aca="false">IF(P323&lt;&gt;"",MIN(0,P323-MAX($P$4:P323)),"")</f>
        <v/>
      </c>
    </row>
    <row r="324" customFormat="false" ht="15" hidden="false" customHeight="true" outlineLevel="0" collapsed="false">
      <c r="A324" s="11" t="str">
        <f aca="false">IF(B324&lt;&gt;"",COUNTA($B$4:B324),"")</f>
        <v/>
      </c>
      <c r="B324" s="12"/>
      <c r="C324" s="12"/>
      <c r="D324" s="12"/>
      <c r="E324" s="12"/>
      <c r="F324" s="12"/>
      <c r="G324" s="12"/>
      <c r="H324" s="12"/>
      <c r="I324" s="13"/>
      <c r="J324" s="12"/>
      <c r="K324" s="14" t="str">
        <f aca="false">IF(AND(I324&lt;&gt;"",H324&lt;&gt;"",J324&lt;&gt;""),IF(J324="W",I324*H324,IF(J324="L",-I324,IF(J324="P",I324*H324*0.5,""))),"")</f>
        <v/>
      </c>
      <c r="L324" s="15" t="str">
        <f aca="false">IF(AND(K324&lt;&gt;"",P323&lt;&gt;""),K324/P323,IF(K324&lt;&gt;"",K324/$D$2,""))</f>
        <v/>
      </c>
      <c r="M324" s="12"/>
      <c r="N324" s="12"/>
      <c r="O324" s="12"/>
      <c r="P324" s="16" t="str">
        <f aca="false">IF(K324&lt;&gt;"",P323+K324,IF(B324&lt;&gt;"",P323,""))</f>
        <v/>
      </c>
      <c r="Q324" s="17" t="str">
        <f aca="false">IF(P324&lt;&gt;"",MIN(0,P324-MAX($P$4:P324)),"")</f>
        <v/>
      </c>
    </row>
    <row r="325" customFormat="false" ht="15" hidden="false" customHeight="true" outlineLevel="0" collapsed="false">
      <c r="A325" s="11" t="str">
        <f aca="false">IF(B325&lt;&gt;"",COUNTA($B$4:B325),"")</f>
        <v/>
      </c>
      <c r="B325" s="20"/>
      <c r="C325" s="20"/>
      <c r="D325" s="20"/>
      <c r="E325" s="20"/>
      <c r="F325" s="20"/>
      <c r="G325" s="20"/>
      <c r="H325" s="20"/>
      <c r="I325" s="21"/>
      <c r="J325" s="20"/>
      <c r="K325" s="14" t="str">
        <f aca="false">IF(AND(I325&lt;&gt;"",H325&lt;&gt;"",J325&lt;&gt;""),IF(J325="W",I325*H325,IF(J325="L",-I325,IF(J325="P",I325*H325*0.5,""))),"")</f>
        <v/>
      </c>
      <c r="L325" s="15" t="str">
        <f aca="false">IF(AND(K325&lt;&gt;"",P324&lt;&gt;""),K325/P324,IF(K325&lt;&gt;"",K325/$D$2,""))</f>
        <v/>
      </c>
      <c r="M325" s="20"/>
      <c r="N325" s="20"/>
      <c r="O325" s="20"/>
      <c r="P325" s="16" t="str">
        <f aca="false">IF(K325&lt;&gt;"",P324+K325,IF(B325&lt;&gt;"",P324,""))</f>
        <v/>
      </c>
      <c r="Q325" s="17" t="str">
        <f aca="false">IF(P325&lt;&gt;"",MIN(0,P325-MAX($P$4:P325)),"")</f>
        <v/>
      </c>
    </row>
    <row r="326" customFormat="false" ht="15" hidden="false" customHeight="true" outlineLevel="0" collapsed="false">
      <c r="A326" s="11" t="str">
        <f aca="false">IF(B326&lt;&gt;"",COUNTA($B$4:B326),"")</f>
        <v/>
      </c>
      <c r="B326" s="12"/>
      <c r="C326" s="12"/>
      <c r="D326" s="12"/>
      <c r="E326" s="12"/>
      <c r="F326" s="12"/>
      <c r="G326" s="12"/>
      <c r="H326" s="12"/>
      <c r="I326" s="13"/>
      <c r="J326" s="12"/>
      <c r="K326" s="14" t="str">
        <f aca="false">IF(AND(I326&lt;&gt;"",H326&lt;&gt;"",J326&lt;&gt;""),IF(J326="W",I326*H326,IF(J326="L",-I326,IF(J326="P",I326*H326*0.5,""))),"")</f>
        <v/>
      </c>
      <c r="L326" s="15" t="str">
        <f aca="false">IF(AND(K326&lt;&gt;"",P325&lt;&gt;""),K326/P325,IF(K326&lt;&gt;"",K326/$D$2,""))</f>
        <v/>
      </c>
      <c r="M326" s="12"/>
      <c r="N326" s="12"/>
      <c r="O326" s="12"/>
      <c r="P326" s="16" t="str">
        <f aca="false">IF(K326&lt;&gt;"",P325+K326,IF(B326&lt;&gt;"",P325,""))</f>
        <v/>
      </c>
      <c r="Q326" s="17" t="str">
        <f aca="false">IF(P326&lt;&gt;"",MIN(0,P326-MAX($P$4:P326)),"")</f>
        <v/>
      </c>
    </row>
    <row r="327" customFormat="false" ht="15" hidden="false" customHeight="true" outlineLevel="0" collapsed="false">
      <c r="A327" s="11" t="str">
        <f aca="false">IF(B327&lt;&gt;"",COUNTA($B$4:B327),"")</f>
        <v/>
      </c>
      <c r="B327" s="20"/>
      <c r="C327" s="20"/>
      <c r="D327" s="20"/>
      <c r="E327" s="20"/>
      <c r="F327" s="20"/>
      <c r="G327" s="20"/>
      <c r="H327" s="20"/>
      <c r="I327" s="21"/>
      <c r="J327" s="20"/>
      <c r="K327" s="14" t="str">
        <f aca="false">IF(AND(I327&lt;&gt;"",H327&lt;&gt;"",J327&lt;&gt;""),IF(J327="W",I327*H327,IF(J327="L",-I327,IF(J327="P",I327*H327*0.5,""))),"")</f>
        <v/>
      </c>
      <c r="L327" s="15" t="str">
        <f aca="false">IF(AND(K327&lt;&gt;"",P326&lt;&gt;""),K327/P326,IF(K327&lt;&gt;"",K327/$D$2,""))</f>
        <v/>
      </c>
      <c r="M327" s="20"/>
      <c r="N327" s="20"/>
      <c r="O327" s="20"/>
      <c r="P327" s="16" t="str">
        <f aca="false">IF(K327&lt;&gt;"",P326+K327,IF(B327&lt;&gt;"",P326,""))</f>
        <v/>
      </c>
      <c r="Q327" s="17" t="str">
        <f aca="false">IF(P327&lt;&gt;"",MIN(0,P327-MAX($P$4:P327)),"")</f>
        <v/>
      </c>
    </row>
    <row r="328" customFormat="false" ht="15" hidden="false" customHeight="true" outlineLevel="0" collapsed="false">
      <c r="A328" s="11" t="str">
        <f aca="false">IF(B328&lt;&gt;"",COUNTA($B$4:B328),"")</f>
        <v/>
      </c>
      <c r="B328" s="12"/>
      <c r="C328" s="12"/>
      <c r="D328" s="12"/>
      <c r="E328" s="12"/>
      <c r="F328" s="12"/>
      <c r="G328" s="12"/>
      <c r="H328" s="12"/>
      <c r="I328" s="13"/>
      <c r="J328" s="12"/>
      <c r="K328" s="14" t="str">
        <f aca="false">IF(AND(I328&lt;&gt;"",H328&lt;&gt;"",J328&lt;&gt;""),IF(J328="W",I328*H328,IF(J328="L",-I328,IF(J328="P",I328*H328*0.5,""))),"")</f>
        <v/>
      </c>
      <c r="L328" s="15" t="str">
        <f aca="false">IF(AND(K328&lt;&gt;"",P327&lt;&gt;""),K328/P327,IF(K328&lt;&gt;"",K328/$D$2,""))</f>
        <v/>
      </c>
      <c r="M328" s="12"/>
      <c r="N328" s="12"/>
      <c r="O328" s="12"/>
      <c r="P328" s="16" t="str">
        <f aca="false">IF(K328&lt;&gt;"",P327+K328,IF(B328&lt;&gt;"",P327,""))</f>
        <v/>
      </c>
      <c r="Q328" s="17" t="str">
        <f aca="false">IF(P328&lt;&gt;"",MIN(0,P328-MAX($P$4:P328)),"")</f>
        <v/>
      </c>
    </row>
    <row r="329" customFormat="false" ht="15" hidden="false" customHeight="true" outlineLevel="0" collapsed="false">
      <c r="A329" s="11" t="str">
        <f aca="false">IF(B329&lt;&gt;"",COUNTA($B$4:B329),"")</f>
        <v/>
      </c>
      <c r="B329" s="20"/>
      <c r="C329" s="20"/>
      <c r="D329" s="20"/>
      <c r="E329" s="20"/>
      <c r="F329" s="20"/>
      <c r="G329" s="20"/>
      <c r="H329" s="20"/>
      <c r="I329" s="21"/>
      <c r="J329" s="20"/>
      <c r="K329" s="14" t="str">
        <f aca="false">IF(AND(I329&lt;&gt;"",H329&lt;&gt;"",J329&lt;&gt;""),IF(J329="W",I329*H329,IF(J329="L",-I329,IF(J329="P",I329*H329*0.5,""))),"")</f>
        <v/>
      </c>
      <c r="L329" s="15" t="str">
        <f aca="false">IF(AND(K329&lt;&gt;"",P328&lt;&gt;""),K329/P328,IF(K329&lt;&gt;"",K329/$D$2,""))</f>
        <v/>
      </c>
      <c r="M329" s="20"/>
      <c r="N329" s="20"/>
      <c r="O329" s="20"/>
      <c r="P329" s="16" t="str">
        <f aca="false">IF(K329&lt;&gt;"",P328+K329,IF(B329&lt;&gt;"",P328,""))</f>
        <v/>
      </c>
      <c r="Q329" s="17" t="str">
        <f aca="false">IF(P329&lt;&gt;"",MIN(0,P329-MAX($P$4:P329)),"")</f>
        <v/>
      </c>
    </row>
    <row r="330" customFormat="false" ht="15" hidden="false" customHeight="true" outlineLevel="0" collapsed="false">
      <c r="A330" s="11" t="str">
        <f aca="false">IF(B330&lt;&gt;"",COUNTA($B$4:B330),"")</f>
        <v/>
      </c>
      <c r="B330" s="12"/>
      <c r="C330" s="12"/>
      <c r="D330" s="12"/>
      <c r="E330" s="12"/>
      <c r="F330" s="12"/>
      <c r="G330" s="12"/>
      <c r="H330" s="12"/>
      <c r="I330" s="13"/>
      <c r="J330" s="12"/>
      <c r="K330" s="14" t="str">
        <f aca="false">IF(AND(I330&lt;&gt;"",H330&lt;&gt;"",J330&lt;&gt;""),IF(J330="W",I330*H330,IF(J330="L",-I330,IF(J330="P",I330*H330*0.5,""))),"")</f>
        <v/>
      </c>
      <c r="L330" s="15" t="str">
        <f aca="false">IF(AND(K330&lt;&gt;"",P329&lt;&gt;""),K330/P329,IF(K330&lt;&gt;"",K330/$D$2,""))</f>
        <v/>
      </c>
      <c r="M330" s="12"/>
      <c r="N330" s="12"/>
      <c r="O330" s="12"/>
      <c r="P330" s="16" t="str">
        <f aca="false">IF(K330&lt;&gt;"",P329+K330,IF(B330&lt;&gt;"",P329,""))</f>
        <v/>
      </c>
      <c r="Q330" s="17" t="str">
        <f aca="false">IF(P330&lt;&gt;"",MIN(0,P330-MAX($P$4:P330)),"")</f>
        <v/>
      </c>
    </row>
    <row r="331" customFormat="false" ht="15" hidden="false" customHeight="true" outlineLevel="0" collapsed="false">
      <c r="A331" s="11" t="str">
        <f aca="false">IF(B331&lt;&gt;"",COUNTA($B$4:B331),"")</f>
        <v/>
      </c>
      <c r="B331" s="20"/>
      <c r="C331" s="20"/>
      <c r="D331" s="20"/>
      <c r="E331" s="20"/>
      <c r="F331" s="20"/>
      <c r="G331" s="20"/>
      <c r="H331" s="20"/>
      <c r="I331" s="21"/>
      <c r="J331" s="20"/>
      <c r="K331" s="14" t="str">
        <f aca="false">IF(AND(I331&lt;&gt;"",H331&lt;&gt;"",J331&lt;&gt;""),IF(J331="W",I331*H331,IF(J331="L",-I331,IF(J331="P",I331*H331*0.5,""))),"")</f>
        <v/>
      </c>
      <c r="L331" s="15" t="str">
        <f aca="false">IF(AND(K331&lt;&gt;"",P330&lt;&gt;""),K331/P330,IF(K331&lt;&gt;"",K331/$D$2,""))</f>
        <v/>
      </c>
      <c r="M331" s="20"/>
      <c r="N331" s="20"/>
      <c r="O331" s="20"/>
      <c r="P331" s="16" t="str">
        <f aca="false">IF(K331&lt;&gt;"",P330+K331,IF(B331&lt;&gt;"",P330,""))</f>
        <v/>
      </c>
      <c r="Q331" s="17" t="str">
        <f aca="false">IF(P331&lt;&gt;"",MIN(0,P331-MAX($P$4:P331)),"")</f>
        <v/>
      </c>
    </row>
    <row r="332" customFormat="false" ht="15" hidden="false" customHeight="true" outlineLevel="0" collapsed="false">
      <c r="A332" s="11" t="str">
        <f aca="false">IF(B332&lt;&gt;"",COUNTA($B$4:B332),"")</f>
        <v/>
      </c>
      <c r="B332" s="12"/>
      <c r="C332" s="12"/>
      <c r="D332" s="12"/>
      <c r="E332" s="12"/>
      <c r="F332" s="12"/>
      <c r="G332" s="12"/>
      <c r="H332" s="12"/>
      <c r="I332" s="13"/>
      <c r="J332" s="12"/>
      <c r="K332" s="14" t="str">
        <f aca="false">IF(AND(I332&lt;&gt;"",H332&lt;&gt;"",J332&lt;&gt;""),IF(J332="W",I332*H332,IF(J332="L",-I332,IF(J332="P",I332*H332*0.5,""))),"")</f>
        <v/>
      </c>
      <c r="L332" s="15" t="str">
        <f aca="false">IF(AND(K332&lt;&gt;"",P331&lt;&gt;""),K332/P331,IF(K332&lt;&gt;"",K332/$D$2,""))</f>
        <v/>
      </c>
      <c r="M332" s="12"/>
      <c r="N332" s="12"/>
      <c r="O332" s="12"/>
      <c r="P332" s="16" t="str">
        <f aca="false">IF(K332&lt;&gt;"",P331+K332,IF(B332&lt;&gt;"",P331,""))</f>
        <v/>
      </c>
      <c r="Q332" s="17" t="str">
        <f aca="false">IF(P332&lt;&gt;"",MIN(0,P332-MAX($P$4:P332)),"")</f>
        <v/>
      </c>
    </row>
    <row r="333" customFormat="false" ht="15" hidden="false" customHeight="true" outlineLevel="0" collapsed="false">
      <c r="A333" s="11" t="str">
        <f aca="false">IF(B333&lt;&gt;"",COUNTA($B$4:B333),"")</f>
        <v/>
      </c>
      <c r="B333" s="20"/>
      <c r="C333" s="20"/>
      <c r="D333" s="20"/>
      <c r="E333" s="20"/>
      <c r="F333" s="20"/>
      <c r="G333" s="20"/>
      <c r="H333" s="20"/>
      <c r="I333" s="21"/>
      <c r="J333" s="20"/>
      <c r="K333" s="14" t="str">
        <f aca="false">IF(AND(I333&lt;&gt;"",H333&lt;&gt;"",J333&lt;&gt;""),IF(J333="W",I333*H333,IF(J333="L",-I333,IF(J333="P",I333*H333*0.5,""))),"")</f>
        <v/>
      </c>
      <c r="L333" s="15" t="str">
        <f aca="false">IF(AND(K333&lt;&gt;"",P332&lt;&gt;""),K333/P332,IF(K333&lt;&gt;"",K333/$D$2,""))</f>
        <v/>
      </c>
      <c r="M333" s="20"/>
      <c r="N333" s="20"/>
      <c r="O333" s="20"/>
      <c r="P333" s="16" t="str">
        <f aca="false">IF(K333&lt;&gt;"",P332+K333,IF(B333&lt;&gt;"",P332,""))</f>
        <v/>
      </c>
      <c r="Q333" s="17" t="str">
        <f aca="false">IF(P333&lt;&gt;"",MIN(0,P333-MAX($P$4:P333)),"")</f>
        <v/>
      </c>
    </row>
    <row r="334" customFormat="false" ht="15" hidden="false" customHeight="true" outlineLevel="0" collapsed="false">
      <c r="A334" s="11" t="str">
        <f aca="false">IF(B334&lt;&gt;"",COUNTA($B$4:B334),"")</f>
        <v/>
      </c>
      <c r="B334" s="12"/>
      <c r="C334" s="12"/>
      <c r="D334" s="12"/>
      <c r="E334" s="12"/>
      <c r="F334" s="12"/>
      <c r="G334" s="12"/>
      <c r="H334" s="12"/>
      <c r="I334" s="13"/>
      <c r="J334" s="12"/>
      <c r="K334" s="14" t="str">
        <f aca="false">IF(AND(I334&lt;&gt;"",H334&lt;&gt;"",J334&lt;&gt;""),IF(J334="W",I334*H334,IF(J334="L",-I334,IF(J334="P",I334*H334*0.5,""))),"")</f>
        <v/>
      </c>
      <c r="L334" s="15" t="str">
        <f aca="false">IF(AND(K334&lt;&gt;"",P333&lt;&gt;""),K334/P333,IF(K334&lt;&gt;"",K334/$D$2,""))</f>
        <v/>
      </c>
      <c r="M334" s="12"/>
      <c r="N334" s="12"/>
      <c r="O334" s="12"/>
      <c r="P334" s="16" t="str">
        <f aca="false">IF(K334&lt;&gt;"",P333+K334,IF(B334&lt;&gt;"",P333,""))</f>
        <v/>
      </c>
      <c r="Q334" s="17" t="str">
        <f aca="false">IF(P334&lt;&gt;"",MIN(0,P334-MAX($P$4:P334)),"")</f>
        <v/>
      </c>
    </row>
    <row r="335" customFormat="false" ht="15" hidden="false" customHeight="true" outlineLevel="0" collapsed="false">
      <c r="A335" s="11" t="str">
        <f aca="false">IF(B335&lt;&gt;"",COUNTA($B$4:B335),"")</f>
        <v/>
      </c>
      <c r="B335" s="20"/>
      <c r="C335" s="20"/>
      <c r="D335" s="20"/>
      <c r="E335" s="20"/>
      <c r="F335" s="20"/>
      <c r="G335" s="20"/>
      <c r="H335" s="20"/>
      <c r="I335" s="21"/>
      <c r="J335" s="20"/>
      <c r="K335" s="14" t="str">
        <f aca="false">IF(AND(I335&lt;&gt;"",H335&lt;&gt;"",J335&lt;&gt;""),IF(J335="W",I335*H335,IF(J335="L",-I335,IF(J335="P",I335*H335*0.5,""))),"")</f>
        <v/>
      </c>
      <c r="L335" s="15" t="str">
        <f aca="false">IF(AND(K335&lt;&gt;"",P334&lt;&gt;""),K335/P334,IF(K335&lt;&gt;"",K335/$D$2,""))</f>
        <v/>
      </c>
      <c r="M335" s="20"/>
      <c r="N335" s="20"/>
      <c r="O335" s="20"/>
      <c r="P335" s="16" t="str">
        <f aca="false">IF(K335&lt;&gt;"",P334+K335,IF(B335&lt;&gt;"",P334,""))</f>
        <v/>
      </c>
      <c r="Q335" s="17" t="str">
        <f aca="false">IF(P335&lt;&gt;"",MIN(0,P335-MAX($P$4:P335)),"")</f>
        <v/>
      </c>
    </row>
    <row r="336" customFormat="false" ht="15" hidden="false" customHeight="true" outlineLevel="0" collapsed="false">
      <c r="A336" s="11" t="str">
        <f aca="false">IF(B336&lt;&gt;"",COUNTA($B$4:B336),"")</f>
        <v/>
      </c>
      <c r="B336" s="12"/>
      <c r="C336" s="12"/>
      <c r="D336" s="12"/>
      <c r="E336" s="12"/>
      <c r="F336" s="12"/>
      <c r="G336" s="12"/>
      <c r="H336" s="12"/>
      <c r="I336" s="13"/>
      <c r="J336" s="12"/>
      <c r="K336" s="14" t="str">
        <f aca="false">IF(AND(I336&lt;&gt;"",H336&lt;&gt;"",J336&lt;&gt;""),IF(J336="W",I336*H336,IF(J336="L",-I336,IF(J336="P",I336*H336*0.5,""))),"")</f>
        <v/>
      </c>
      <c r="L336" s="15" t="str">
        <f aca="false">IF(AND(K336&lt;&gt;"",P335&lt;&gt;""),K336/P335,IF(K336&lt;&gt;"",K336/$D$2,""))</f>
        <v/>
      </c>
      <c r="M336" s="12"/>
      <c r="N336" s="12"/>
      <c r="O336" s="12"/>
      <c r="P336" s="16" t="str">
        <f aca="false">IF(K336&lt;&gt;"",P335+K336,IF(B336&lt;&gt;"",P335,""))</f>
        <v/>
      </c>
      <c r="Q336" s="17" t="str">
        <f aca="false">IF(P336&lt;&gt;"",MIN(0,P336-MAX($P$4:P336)),"")</f>
        <v/>
      </c>
    </row>
    <row r="337" customFormat="false" ht="15" hidden="false" customHeight="true" outlineLevel="0" collapsed="false">
      <c r="A337" s="11" t="str">
        <f aca="false">IF(B337&lt;&gt;"",COUNTA($B$4:B337),"")</f>
        <v/>
      </c>
      <c r="B337" s="20"/>
      <c r="C337" s="20"/>
      <c r="D337" s="20"/>
      <c r="E337" s="20"/>
      <c r="F337" s="20"/>
      <c r="G337" s="20"/>
      <c r="H337" s="20"/>
      <c r="I337" s="21"/>
      <c r="J337" s="20"/>
      <c r="K337" s="14" t="str">
        <f aca="false">IF(AND(I337&lt;&gt;"",H337&lt;&gt;"",J337&lt;&gt;""),IF(J337="W",I337*H337,IF(J337="L",-I337,IF(J337="P",I337*H337*0.5,""))),"")</f>
        <v/>
      </c>
      <c r="L337" s="15" t="str">
        <f aca="false">IF(AND(K337&lt;&gt;"",P336&lt;&gt;""),K337/P336,IF(K337&lt;&gt;"",K337/$D$2,""))</f>
        <v/>
      </c>
      <c r="M337" s="20"/>
      <c r="N337" s="20"/>
      <c r="O337" s="20"/>
      <c r="P337" s="16" t="str">
        <f aca="false">IF(K337&lt;&gt;"",P336+K337,IF(B337&lt;&gt;"",P336,""))</f>
        <v/>
      </c>
      <c r="Q337" s="17" t="str">
        <f aca="false">IF(P337&lt;&gt;"",MIN(0,P337-MAX($P$4:P337)),"")</f>
        <v/>
      </c>
    </row>
    <row r="338" customFormat="false" ht="15" hidden="false" customHeight="true" outlineLevel="0" collapsed="false">
      <c r="A338" s="11" t="str">
        <f aca="false">IF(B338&lt;&gt;"",COUNTA($B$4:B338),"")</f>
        <v/>
      </c>
      <c r="B338" s="12"/>
      <c r="C338" s="12"/>
      <c r="D338" s="12"/>
      <c r="E338" s="12"/>
      <c r="F338" s="12"/>
      <c r="G338" s="12"/>
      <c r="H338" s="12"/>
      <c r="I338" s="13"/>
      <c r="J338" s="12"/>
      <c r="K338" s="14" t="str">
        <f aca="false">IF(AND(I338&lt;&gt;"",H338&lt;&gt;"",J338&lt;&gt;""),IF(J338="W",I338*H338,IF(J338="L",-I338,IF(J338="P",I338*H338*0.5,""))),"")</f>
        <v/>
      </c>
      <c r="L338" s="15" t="str">
        <f aca="false">IF(AND(K338&lt;&gt;"",P337&lt;&gt;""),K338/P337,IF(K338&lt;&gt;"",K338/$D$2,""))</f>
        <v/>
      </c>
      <c r="M338" s="12"/>
      <c r="N338" s="12"/>
      <c r="O338" s="12"/>
      <c r="P338" s="16" t="str">
        <f aca="false">IF(K338&lt;&gt;"",P337+K338,IF(B338&lt;&gt;"",P337,""))</f>
        <v/>
      </c>
      <c r="Q338" s="17" t="str">
        <f aca="false">IF(P338&lt;&gt;"",MIN(0,P338-MAX($P$4:P338)),"")</f>
        <v/>
      </c>
    </row>
    <row r="339" customFormat="false" ht="15" hidden="false" customHeight="true" outlineLevel="0" collapsed="false">
      <c r="A339" s="11" t="str">
        <f aca="false">IF(B339&lt;&gt;"",COUNTA($B$4:B339),"")</f>
        <v/>
      </c>
      <c r="B339" s="20"/>
      <c r="C339" s="20"/>
      <c r="D339" s="20"/>
      <c r="E339" s="20"/>
      <c r="F339" s="20"/>
      <c r="G339" s="20"/>
      <c r="H339" s="20"/>
      <c r="I339" s="21"/>
      <c r="J339" s="20"/>
      <c r="K339" s="14" t="str">
        <f aca="false">IF(AND(I339&lt;&gt;"",H339&lt;&gt;"",J339&lt;&gt;""),IF(J339="W",I339*H339,IF(J339="L",-I339,IF(J339="P",I339*H339*0.5,""))),"")</f>
        <v/>
      </c>
      <c r="L339" s="15" t="str">
        <f aca="false">IF(AND(K339&lt;&gt;"",P338&lt;&gt;""),K339/P338,IF(K339&lt;&gt;"",K339/$D$2,""))</f>
        <v/>
      </c>
      <c r="M339" s="20"/>
      <c r="N339" s="20"/>
      <c r="O339" s="20"/>
      <c r="P339" s="16" t="str">
        <f aca="false">IF(K339&lt;&gt;"",P338+K339,IF(B339&lt;&gt;"",P338,""))</f>
        <v/>
      </c>
      <c r="Q339" s="17" t="str">
        <f aca="false">IF(P339&lt;&gt;"",MIN(0,P339-MAX($P$4:P339)),"")</f>
        <v/>
      </c>
    </row>
    <row r="340" customFormat="false" ht="15" hidden="false" customHeight="true" outlineLevel="0" collapsed="false">
      <c r="A340" s="11" t="str">
        <f aca="false">IF(B340&lt;&gt;"",COUNTA($B$4:B340),"")</f>
        <v/>
      </c>
      <c r="B340" s="12"/>
      <c r="C340" s="12"/>
      <c r="D340" s="12"/>
      <c r="E340" s="12"/>
      <c r="F340" s="12"/>
      <c r="G340" s="12"/>
      <c r="H340" s="12"/>
      <c r="I340" s="13"/>
      <c r="J340" s="12"/>
      <c r="K340" s="14" t="str">
        <f aca="false">IF(AND(I340&lt;&gt;"",H340&lt;&gt;"",J340&lt;&gt;""),IF(J340="W",I340*H340,IF(J340="L",-I340,IF(J340="P",I340*H340*0.5,""))),"")</f>
        <v/>
      </c>
      <c r="L340" s="15" t="str">
        <f aca="false">IF(AND(K340&lt;&gt;"",P339&lt;&gt;""),K340/P339,IF(K340&lt;&gt;"",K340/$D$2,""))</f>
        <v/>
      </c>
      <c r="M340" s="12"/>
      <c r="N340" s="12"/>
      <c r="O340" s="12"/>
      <c r="P340" s="16" t="str">
        <f aca="false">IF(K340&lt;&gt;"",P339+K340,IF(B340&lt;&gt;"",P339,""))</f>
        <v/>
      </c>
      <c r="Q340" s="17" t="str">
        <f aca="false">IF(P340&lt;&gt;"",MIN(0,P340-MAX($P$4:P340)),"")</f>
        <v/>
      </c>
    </row>
    <row r="341" customFormat="false" ht="15" hidden="false" customHeight="true" outlineLevel="0" collapsed="false">
      <c r="A341" s="11" t="str">
        <f aca="false">IF(B341&lt;&gt;"",COUNTA($B$4:B341),"")</f>
        <v/>
      </c>
      <c r="B341" s="20"/>
      <c r="C341" s="20"/>
      <c r="D341" s="20"/>
      <c r="E341" s="20"/>
      <c r="F341" s="20"/>
      <c r="G341" s="20"/>
      <c r="H341" s="20"/>
      <c r="I341" s="21"/>
      <c r="J341" s="20"/>
      <c r="K341" s="14" t="str">
        <f aca="false">IF(AND(I341&lt;&gt;"",H341&lt;&gt;"",J341&lt;&gt;""),IF(J341="W",I341*H341,IF(J341="L",-I341,IF(J341="P",I341*H341*0.5,""))),"")</f>
        <v/>
      </c>
      <c r="L341" s="15" t="str">
        <f aca="false">IF(AND(K341&lt;&gt;"",P340&lt;&gt;""),K341/P340,IF(K341&lt;&gt;"",K341/$D$2,""))</f>
        <v/>
      </c>
      <c r="M341" s="20"/>
      <c r="N341" s="20"/>
      <c r="O341" s="20"/>
      <c r="P341" s="16" t="str">
        <f aca="false">IF(K341&lt;&gt;"",P340+K341,IF(B341&lt;&gt;"",P340,""))</f>
        <v/>
      </c>
      <c r="Q341" s="17" t="str">
        <f aca="false">IF(P341&lt;&gt;"",MIN(0,P341-MAX($P$4:P341)),"")</f>
        <v/>
      </c>
    </row>
    <row r="342" customFormat="false" ht="15" hidden="false" customHeight="true" outlineLevel="0" collapsed="false">
      <c r="A342" s="11" t="str">
        <f aca="false">IF(B342&lt;&gt;"",COUNTA($B$4:B342),"")</f>
        <v/>
      </c>
      <c r="B342" s="12"/>
      <c r="C342" s="12"/>
      <c r="D342" s="12"/>
      <c r="E342" s="12"/>
      <c r="F342" s="12"/>
      <c r="G342" s="12"/>
      <c r="H342" s="12"/>
      <c r="I342" s="13"/>
      <c r="J342" s="12"/>
      <c r="K342" s="14" t="str">
        <f aca="false">IF(AND(I342&lt;&gt;"",H342&lt;&gt;"",J342&lt;&gt;""),IF(J342="W",I342*H342,IF(J342="L",-I342,IF(J342="P",I342*H342*0.5,""))),"")</f>
        <v/>
      </c>
      <c r="L342" s="15" t="str">
        <f aca="false">IF(AND(K342&lt;&gt;"",P341&lt;&gt;""),K342/P341,IF(K342&lt;&gt;"",K342/$D$2,""))</f>
        <v/>
      </c>
      <c r="M342" s="12"/>
      <c r="N342" s="12"/>
      <c r="O342" s="12"/>
      <c r="P342" s="16" t="str">
        <f aca="false">IF(K342&lt;&gt;"",P341+K342,IF(B342&lt;&gt;"",P341,""))</f>
        <v/>
      </c>
      <c r="Q342" s="17" t="str">
        <f aca="false">IF(P342&lt;&gt;"",MIN(0,P342-MAX($P$4:P342)),"")</f>
        <v/>
      </c>
    </row>
    <row r="343" customFormat="false" ht="15" hidden="false" customHeight="true" outlineLevel="0" collapsed="false">
      <c r="A343" s="11" t="str">
        <f aca="false">IF(B343&lt;&gt;"",COUNTA($B$4:B343),"")</f>
        <v/>
      </c>
      <c r="B343" s="20"/>
      <c r="C343" s="20"/>
      <c r="D343" s="20"/>
      <c r="E343" s="20"/>
      <c r="F343" s="20"/>
      <c r="G343" s="20"/>
      <c r="H343" s="20"/>
      <c r="I343" s="21"/>
      <c r="J343" s="20"/>
      <c r="K343" s="14" t="str">
        <f aca="false">IF(AND(I343&lt;&gt;"",H343&lt;&gt;"",J343&lt;&gt;""),IF(J343="W",I343*H343,IF(J343="L",-I343,IF(J343="P",I343*H343*0.5,""))),"")</f>
        <v/>
      </c>
      <c r="L343" s="15" t="str">
        <f aca="false">IF(AND(K343&lt;&gt;"",P342&lt;&gt;""),K343/P342,IF(K343&lt;&gt;"",K343/$D$2,""))</f>
        <v/>
      </c>
      <c r="M343" s="20"/>
      <c r="N343" s="20"/>
      <c r="O343" s="20"/>
      <c r="P343" s="16" t="str">
        <f aca="false">IF(K343&lt;&gt;"",P342+K343,IF(B343&lt;&gt;"",P342,""))</f>
        <v/>
      </c>
      <c r="Q343" s="17" t="str">
        <f aca="false">IF(P343&lt;&gt;"",MIN(0,P343-MAX($P$4:P343)),"")</f>
        <v/>
      </c>
    </row>
    <row r="344" customFormat="false" ht="15" hidden="false" customHeight="true" outlineLevel="0" collapsed="false">
      <c r="A344" s="11" t="str">
        <f aca="false">IF(B344&lt;&gt;"",COUNTA($B$4:B344),"")</f>
        <v/>
      </c>
      <c r="B344" s="12"/>
      <c r="C344" s="12"/>
      <c r="D344" s="12"/>
      <c r="E344" s="12"/>
      <c r="F344" s="12"/>
      <c r="G344" s="12"/>
      <c r="H344" s="12"/>
      <c r="I344" s="13"/>
      <c r="J344" s="12"/>
      <c r="K344" s="14" t="str">
        <f aca="false">IF(AND(I344&lt;&gt;"",H344&lt;&gt;"",J344&lt;&gt;""),IF(J344="W",I344*H344,IF(J344="L",-I344,IF(J344="P",I344*H344*0.5,""))),"")</f>
        <v/>
      </c>
      <c r="L344" s="15" t="str">
        <f aca="false">IF(AND(K344&lt;&gt;"",P343&lt;&gt;""),K344/P343,IF(K344&lt;&gt;"",K344/$D$2,""))</f>
        <v/>
      </c>
      <c r="M344" s="12"/>
      <c r="N344" s="12"/>
      <c r="O344" s="12"/>
      <c r="P344" s="16" t="str">
        <f aca="false">IF(K344&lt;&gt;"",P343+K344,IF(B344&lt;&gt;"",P343,""))</f>
        <v/>
      </c>
      <c r="Q344" s="17" t="str">
        <f aca="false">IF(P344&lt;&gt;"",MIN(0,P344-MAX($P$4:P344)),"")</f>
        <v/>
      </c>
    </row>
    <row r="345" customFormat="false" ht="15" hidden="false" customHeight="true" outlineLevel="0" collapsed="false">
      <c r="A345" s="11" t="str">
        <f aca="false">IF(B345&lt;&gt;"",COUNTA($B$4:B345),"")</f>
        <v/>
      </c>
      <c r="B345" s="20"/>
      <c r="C345" s="20"/>
      <c r="D345" s="20"/>
      <c r="E345" s="20"/>
      <c r="F345" s="20"/>
      <c r="G345" s="20"/>
      <c r="H345" s="20"/>
      <c r="I345" s="21"/>
      <c r="J345" s="20"/>
      <c r="K345" s="14" t="str">
        <f aca="false">IF(AND(I345&lt;&gt;"",H345&lt;&gt;"",J345&lt;&gt;""),IF(J345="W",I345*H345,IF(J345="L",-I345,IF(J345="P",I345*H345*0.5,""))),"")</f>
        <v/>
      </c>
      <c r="L345" s="15" t="str">
        <f aca="false">IF(AND(K345&lt;&gt;"",P344&lt;&gt;""),K345/P344,IF(K345&lt;&gt;"",K345/$D$2,""))</f>
        <v/>
      </c>
      <c r="M345" s="20"/>
      <c r="N345" s="20"/>
      <c r="O345" s="20"/>
      <c r="P345" s="16" t="str">
        <f aca="false">IF(K345&lt;&gt;"",P344+K345,IF(B345&lt;&gt;"",P344,""))</f>
        <v/>
      </c>
      <c r="Q345" s="17" t="str">
        <f aca="false">IF(P345&lt;&gt;"",MIN(0,P345-MAX($P$4:P345)),"")</f>
        <v/>
      </c>
    </row>
    <row r="346" customFormat="false" ht="15" hidden="false" customHeight="true" outlineLevel="0" collapsed="false">
      <c r="A346" s="11" t="str">
        <f aca="false">IF(B346&lt;&gt;"",COUNTA($B$4:B346),"")</f>
        <v/>
      </c>
      <c r="B346" s="12"/>
      <c r="C346" s="12"/>
      <c r="D346" s="12"/>
      <c r="E346" s="12"/>
      <c r="F346" s="12"/>
      <c r="G346" s="12"/>
      <c r="H346" s="12"/>
      <c r="I346" s="13"/>
      <c r="J346" s="12"/>
      <c r="K346" s="14" t="str">
        <f aca="false">IF(AND(I346&lt;&gt;"",H346&lt;&gt;"",J346&lt;&gt;""),IF(J346="W",I346*H346,IF(J346="L",-I346,IF(J346="P",I346*H346*0.5,""))),"")</f>
        <v/>
      </c>
      <c r="L346" s="15" t="str">
        <f aca="false">IF(AND(K346&lt;&gt;"",P345&lt;&gt;""),K346/P345,IF(K346&lt;&gt;"",K346/$D$2,""))</f>
        <v/>
      </c>
      <c r="M346" s="12"/>
      <c r="N346" s="12"/>
      <c r="O346" s="12"/>
      <c r="P346" s="16" t="str">
        <f aca="false">IF(K346&lt;&gt;"",P345+K346,IF(B346&lt;&gt;"",P345,""))</f>
        <v/>
      </c>
      <c r="Q346" s="17" t="str">
        <f aca="false">IF(P346&lt;&gt;"",MIN(0,P346-MAX($P$4:P346)),"")</f>
        <v/>
      </c>
    </row>
    <row r="347" customFormat="false" ht="15" hidden="false" customHeight="true" outlineLevel="0" collapsed="false">
      <c r="A347" s="11" t="str">
        <f aca="false">IF(B347&lt;&gt;"",COUNTA($B$4:B347),"")</f>
        <v/>
      </c>
      <c r="B347" s="20"/>
      <c r="C347" s="20"/>
      <c r="D347" s="20"/>
      <c r="E347" s="20"/>
      <c r="F347" s="20"/>
      <c r="G347" s="20"/>
      <c r="H347" s="20"/>
      <c r="I347" s="21"/>
      <c r="J347" s="20"/>
      <c r="K347" s="14" t="str">
        <f aca="false">IF(AND(I347&lt;&gt;"",H347&lt;&gt;"",J347&lt;&gt;""),IF(J347="W",I347*H347,IF(J347="L",-I347,IF(J347="P",I347*H347*0.5,""))),"")</f>
        <v/>
      </c>
      <c r="L347" s="15" t="str">
        <f aca="false">IF(AND(K347&lt;&gt;"",P346&lt;&gt;""),K347/P346,IF(K347&lt;&gt;"",K347/$D$2,""))</f>
        <v/>
      </c>
      <c r="M347" s="20"/>
      <c r="N347" s="20"/>
      <c r="O347" s="20"/>
      <c r="P347" s="16" t="str">
        <f aca="false">IF(K347&lt;&gt;"",P346+K347,IF(B347&lt;&gt;"",P346,""))</f>
        <v/>
      </c>
      <c r="Q347" s="17" t="str">
        <f aca="false">IF(P347&lt;&gt;"",MIN(0,P347-MAX($P$4:P347)),"")</f>
        <v/>
      </c>
    </row>
    <row r="348" customFormat="false" ht="15" hidden="false" customHeight="true" outlineLevel="0" collapsed="false">
      <c r="A348" s="11" t="str">
        <f aca="false">IF(B348&lt;&gt;"",COUNTA($B$4:B348),"")</f>
        <v/>
      </c>
      <c r="B348" s="12"/>
      <c r="C348" s="12"/>
      <c r="D348" s="12"/>
      <c r="E348" s="12"/>
      <c r="F348" s="12"/>
      <c r="G348" s="12"/>
      <c r="H348" s="12"/>
      <c r="I348" s="13"/>
      <c r="J348" s="12"/>
      <c r="K348" s="14" t="str">
        <f aca="false">IF(AND(I348&lt;&gt;"",H348&lt;&gt;"",J348&lt;&gt;""),IF(J348="W",I348*H348,IF(J348="L",-I348,IF(J348="P",I348*H348*0.5,""))),"")</f>
        <v/>
      </c>
      <c r="L348" s="15" t="str">
        <f aca="false">IF(AND(K348&lt;&gt;"",P347&lt;&gt;""),K348/P347,IF(K348&lt;&gt;"",K348/$D$2,""))</f>
        <v/>
      </c>
      <c r="M348" s="12"/>
      <c r="N348" s="12"/>
      <c r="O348" s="12"/>
      <c r="P348" s="16" t="str">
        <f aca="false">IF(K348&lt;&gt;"",P347+K348,IF(B348&lt;&gt;"",P347,""))</f>
        <v/>
      </c>
      <c r="Q348" s="17" t="str">
        <f aca="false">IF(P348&lt;&gt;"",MIN(0,P348-MAX($P$4:P348)),"")</f>
        <v/>
      </c>
    </row>
    <row r="349" customFormat="false" ht="15" hidden="false" customHeight="true" outlineLevel="0" collapsed="false">
      <c r="A349" s="11" t="str">
        <f aca="false">IF(B349&lt;&gt;"",COUNTA($B$4:B349),"")</f>
        <v/>
      </c>
      <c r="B349" s="20"/>
      <c r="C349" s="20"/>
      <c r="D349" s="20"/>
      <c r="E349" s="20"/>
      <c r="F349" s="20"/>
      <c r="G349" s="20"/>
      <c r="H349" s="20"/>
      <c r="I349" s="21"/>
      <c r="J349" s="20"/>
      <c r="K349" s="14" t="str">
        <f aca="false">IF(AND(I349&lt;&gt;"",H349&lt;&gt;"",J349&lt;&gt;""),IF(J349="W",I349*H349,IF(J349="L",-I349,IF(J349="P",I349*H349*0.5,""))),"")</f>
        <v/>
      </c>
      <c r="L349" s="15" t="str">
        <f aca="false">IF(AND(K349&lt;&gt;"",P348&lt;&gt;""),K349/P348,IF(K349&lt;&gt;"",K349/$D$2,""))</f>
        <v/>
      </c>
      <c r="M349" s="20"/>
      <c r="N349" s="20"/>
      <c r="O349" s="20"/>
      <c r="P349" s="16" t="str">
        <f aca="false">IF(K349&lt;&gt;"",P348+K349,IF(B349&lt;&gt;"",P348,""))</f>
        <v/>
      </c>
      <c r="Q349" s="17" t="str">
        <f aca="false">IF(P349&lt;&gt;"",MIN(0,P349-MAX($P$4:P349)),"")</f>
        <v/>
      </c>
    </row>
    <row r="350" customFormat="false" ht="15" hidden="false" customHeight="true" outlineLevel="0" collapsed="false">
      <c r="A350" s="11" t="str">
        <f aca="false">IF(B350&lt;&gt;"",COUNTA($B$4:B350),"")</f>
        <v/>
      </c>
      <c r="B350" s="12"/>
      <c r="C350" s="12"/>
      <c r="D350" s="12"/>
      <c r="E350" s="12"/>
      <c r="F350" s="12"/>
      <c r="G350" s="12"/>
      <c r="H350" s="12"/>
      <c r="I350" s="13"/>
      <c r="J350" s="12"/>
      <c r="K350" s="14" t="str">
        <f aca="false">IF(AND(I350&lt;&gt;"",H350&lt;&gt;"",J350&lt;&gt;""),IF(J350="W",I350*H350,IF(J350="L",-I350,IF(J350="P",I350*H350*0.5,""))),"")</f>
        <v/>
      </c>
      <c r="L350" s="15" t="str">
        <f aca="false">IF(AND(K350&lt;&gt;"",P349&lt;&gt;""),K350/P349,IF(K350&lt;&gt;"",K350/$D$2,""))</f>
        <v/>
      </c>
      <c r="M350" s="12"/>
      <c r="N350" s="12"/>
      <c r="O350" s="12"/>
      <c r="P350" s="16" t="str">
        <f aca="false">IF(K350&lt;&gt;"",P349+K350,IF(B350&lt;&gt;"",P349,""))</f>
        <v/>
      </c>
      <c r="Q350" s="17" t="str">
        <f aca="false">IF(P350&lt;&gt;"",MIN(0,P350-MAX($P$4:P350)),"")</f>
        <v/>
      </c>
    </row>
    <row r="351" customFormat="false" ht="15" hidden="false" customHeight="true" outlineLevel="0" collapsed="false">
      <c r="A351" s="11" t="str">
        <f aca="false">IF(B351&lt;&gt;"",COUNTA($B$4:B351),"")</f>
        <v/>
      </c>
      <c r="B351" s="20"/>
      <c r="C351" s="20"/>
      <c r="D351" s="20"/>
      <c r="E351" s="20"/>
      <c r="F351" s="20"/>
      <c r="G351" s="20"/>
      <c r="H351" s="20"/>
      <c r="I351" s="21"/>
      <c r="J351" s="20"/>
      <c r="K351" s="14" t="str">
        <f aca="false">IF(AND(I351&lt;&gt;"",H351&lt;&gt;"",J351&lt;&gt;""),IF(J351="W",I351*H351,IF(J351="L",-I351,IF(J351="P",I351*H351*0.5,""))),"")</f>
        <v/>
      </c>
      <c r="L351" s="15" t="str">
        <f aca="false">IF(AND(K351&lt;&gt;"",P350&lt;&gt;""),K351/P350,IF(K351&lt;&gt;"",K351/$D$2,""))</f>
        <v/>
      </c>
      <c r="M351" s="20"/>
      <c r="N351" s="20"/>
      <c r="O351" s="20"/>
      <c r="P351" s="16" t="str">
        <f aca="false">IF(K351&lt;&gt;"",P350+K351,IF(B351&lt;&gt;"",P350,""))</f>
        <v/>
      </c>
      <c r="Q351" s="17" t="str">
        <f aca="false">IF(P351&lt;&gt;"",MIN(0,P351-MAX($P$4:P351)),"")</f>
        <v/>
      </c>
    </row>
    <row r="352" customFormat="false" ht="15" hidden="false" customHeight="true" outlineLevel="0" collapsed="false">
      <c r="A352" s="11" t="str">
        <f aca="false">IF(B352&lt;&gt;"",COUNTA($B$4:B352),"")</f>
        <v/>
      </c>
      <c r="B352" s="12"/>
      <c r="C352" s="12"/>
      <c r="D352" s="12"/>
      <c r="E352" s="12"/>
      <c r="F352" s="12"/>
      <c r="G352" s="12"/>
      <c r="H352" s="12"/>
      <c r="I352" s="13"/>
      <c r="J352" s="12"/>
      <c r="K352" s="14" t="str">
        <f aca="false">IF(AND(I352&lt;&gt;"",H352&lt;&gt;"",J352&lt;&gt;""),IF(J352="W",I352*H352,IF(J352="L",-I352,IF(J352="P",I352*H352*0.5,""))),"")</f>
        <v/>
      </c>
      <c r="L352" s="15" t="str">
        <f aca="false">IF(AND(K352&lt;&gt;"",P351&lt;&gt;""),K352/P351,IF(K352&lt;&gt;"",K352/$D$2,""))</f>
        <v/>
      </c>
      <c r="M352" s="12"/>
      <c r="N352" s="12"/>
      <c r="O352" s="12"/>
      <c r="P352" s="16" t="str">
        <f aca="false">IF(K352&lt;&gt;"",P351+K352,IF(B352&lt;&gt;"",P351,""))</f>
        <v/>
      </c>
      <c r="Q352" s="17" t="str">
        <f aca="false">IF(P352&lt;&gt;"",MIN(0,P352-MAX($P$4:P352)),"")</f>
        <v/>
      </c>
    </row>
    <row r="353" customFormat="false" ht="15" hidden="false" customHeight="true" outlineLevel="0" collapsed="false">
      <c r="A353" s="11" t="str">
        <f aca="false">IF(B353&lt;&gt;"",COUNTA($B$4:B353),"")</f>
        <v/>
      </c>
      <c r="B353" s="20"/>
      <c r="C353" s="20"/>
      <c r="D353" s="20"/>
      <c r="E353" s="20"/>
      <c r="F353" s="20"/>
      <c r="G353" s="20"/>
      <c r="H353" s="20"/>
      <c r="I353" s="21"/>
      <c r="J353" s="20"/>
      <c r="K353" s="14" t="str">
        <f aca="false">IF(AND(I353&lt;&gt;"",H353&lt;&gt;"",J353&lt;&gt;""),IF(J353="W",I353*H353,IF(J353="L",-I353,IF(J353="P",I353*H353*0.5,""))),"")</f>
        <v/>
      </c>
      <c r="L353" s="15" t="str">
        <f aca="false">IF(AND(K353&lt;&gt;"",P352&lt;&gt;""),K353/P352,IF(K353&lt;&gt;"",K353/$D$2,""))</f>
        <v/>
      </c>
      <c r="M353" s="20"/>
      <c r="N353" s="20"/>
      <c r="O353" s="20"/>
      <c r="P353" s="16" t="str">
        <f aca="false">IF(K353&lt;&gt;"",P352+K353,IF(B353&lt;&gt;"",P352,""))</f>
        <v/>
      </c>
      <c r="Q353" s="17" t="str">
        <f aca="false">IF(P353&lt;&gt;"",MIN(0,P353-MAX($P$4:P353)),"")</f>
        <v/>
      </c>
    </row>
    <row r="354" customFormat="false" ht="15" hidden="false" customHeight="true" outlineLevel="0" collapsed="false">
      <c r="A354" s="11" t="str">
        <f aca="false">IF(B354&lt;&gt;"",COUNTA($B$4:B354),"")</f>
        <v/>
      </c>
      <c r="B354" s="12"/>
      <c r="C354" s="12"/>
      <c r="D354" s="12"/>
      <c r="E354" s="12"/>
      <c r="F354" s="12"/>
      <c r="G354" s="12"/>
      <c r="H354" s="12"/>
      <c r="I354" s="13"/>
      <c r="J354" s="12"/>
      <c r="K354" s="14" t="str">
        <f aca="false">IF(AND(I354&lt;&gt;"",H354&lt;&gt;"",J354&lt;&gt;""),IF(J354="W",I354*H354,IF(J354="L",-I354,IF(J354="P",I354*H354*0.5,""))),"")</f>
        <v/>
      </c>
      <c r="L354" s="15" t="str">
        <f aca="false">IF(AND(K354&lt;&gt;"",P353&lt;&gt;""),K354/P353,IF(K354&lt;&gt;"",K354/$D$2,""))</f>
        <v/>
      </c>
      <c r="M354" s="12"/>
      <c r="N354" s="12"/>
      <c r="O354" s="12"/>
      <c r="P354" s="16" t="str">
        <f aca="false">IF(K354&lt;&gt;"",P353+K354,IF(B354&lt;&gt;"",P353,""))</f>
        <v/>
      </c>
      <c r="Q354" s="17" t="str">
        <f aca="false">IF(P354&lt;&gt;"",MIN(0,P354-MAX($P$4:P354)),"")</f>
        <v/>
      </c>
    </row>
    <row r="355" customFormat="false" ht="15" hidden="false" customHeight="true" outlineLevel="0" collapsed="false">
      <c r="A355" s="11" t="str">
        <f aca="false">IF(B355&lt;&gt;"",COUNTA($B$4:B355),"")</f>
        <v/>
      </c>
      <c r="B355" s="20"/>
      <c r="C355" s="20"/>
      <c r="D355" s="20"/>
      <c r="E355" s="20"/>
      <c r="F355" s="20"/>
      <c r="G355" s="20"/>
      <c r="H355" s="20"/>
      <c r="I355" s="21"/>
      <c r="J355" s="20"/>
      <c r="K355" s="14" t="str">
        <f aca="false">IF(AND(I355&lt;&gt;"",H355&lt;&gt;"",J355&lt;&gt;""),IF(J355="W",I355*H355,IF(J355="L",-I355,IF(J355="P",I355*H355*0.5,""))),"")</f>
        <v/>
      </c>
      <c r="L355" s="15" t="str">
        <f aca="false">IF(AND(K355&lt;&gt;"",P354&lt;&gt;""),K355/P354,IF(K355&lt;&gt;"",K355/$D$2,""))</f>
        <v/>
      </c>
      <c r="M355" s="20"/>
      <c r="N355" s="20"/>
      <c r="O355" s="20"/>
      <c r="P355" s="16" t="str">
        <f aca="false">IF(K355&lt;&gt;"",P354+K355,IF(B355&lt;&gt;"",P354,""))</f>
        <v/>
      </c>
      <c r="Q355" s="17" t="str">
        <f aca="false">IF(P355&lt;&gt;"",MIN(0,P355-MAX($P$4:P355)),"")</f>
        <v/>
      </c>
    </row>
    <row r="356" customFormat="false" ht="15" hidden="false" customHeight="true" outlineLevel="0" collapsed="false">
      <c r="A356" s="11" t="str">
        <f aca="false">IF(B356&lt;&gt;"",COUNTA($B$4:B356),"")</f>
        <v/>
      </c>
      <c r="B356" s="12"/>
      <c r="C356" s="12"/>
      <c r="D356" s="12"/>
      <c r="E356" s="12"/>
      <c r="F356" s="12"/>
      <c r="G356" s="12"/>
      <c r="H356" s="12"/>
      <c r="I356" s="13"/>
      <c r="J356" s="12"/>
      <c r="K356" s="14" t="str">
        <f aca="false">IF(AND(I356&lt;&gt;"",H356&lt;&gt;"",J356&lt;&gt;""),IF(J356="W",I356*H356,IF(J356="L",-I356,IF(J356="P",I356*H356*0.5,""))),"")</f>
        <v/>
      </c>
      <c r="L356" s="15" t="str">
        <f aca="false">IF(AND(K356&lt;&gt;"",P355&lt;&gt;""),K356/P355,IF(K356&lt;&gt;"",K356/$D$2,""))</f>
        <v/>
      </c>
      <c r="M356" s="12"/>
      <c r="N356" s="12"/>
      <c r="O356" s="12"/>
      <c r="P356" s="16" t="str">
        <f aca="false">IF(K356&lt;&gt;"",P355+K356,IF(B356&lt;&gt;"",P355,""))</f>
        <v/>
      </c>
      <c r="Q356" s="17" t="str">
        <f aca="false">IF(P356&lt;&gt;"",MIN(0,P356-MAX($P$4:P356)),"")</f>
        <v/>
      </c>
    </row>
    <row r="357" customFormat="false" ht="15" hidden="false" customHeight="true" outlineLevel="0" collapsed="false">
      <c r="A357" s="11" t="str">
        <f aca="false">IF(B357&lt;&gt;"",COUNTA($B$4:B357),"")</f>
        <v/>
      </c>
      <c r="B357" s="20"/>
      <c r="C357" s="20"/>
      <c r="D357" s="20"/>
      <c r="E357" s="20"/>
      <c r="F357" s="20"/>
      <c r="G357" s="20"/>
      <c r="H357" s="20"/>
      <c r="I357" s="21"/>
      <c r="J357" s="20"/>
      <c r="K357" s="14" t="str">
        <f aca="false">IF(AND(I357&lt;&gt;"",H357&lt;&gt;"",J357&lt;&gt;""),IF(J357="W",I357*H357,IF(J357="L",-I357,IF(J357="P",I357*H357*0.5,""))),"")</f>
        <v/>
      </c>
      <c r="L357" s="15" t="str">
        <f aca="false">IF(AND(K357&lt;&gt;"",P356&lt;&gt;""),K357/P356,IF(K357&lt;&gt;"",K357/$D$2,""))</f>
        <v/>
      </c>
      <c r="M357" s="20"/>
      <c r="N357" s="20"/>
      <c r="O357" s="20"/>
      <c r="P357" s="16" t="str">
        <f aca="false">IF(K357&lt;&gt;"",P356+K357,IF(B357&lt;&gt;"",P356,""))</f>
        <v/>
      </c>
      <c r="Q357" s="17" t="str">
        <f aca="false">IF(P357&lt;&gt;"",MIN(0,P357-MAX($P$4:P357)),"")</f>
        <v/>
      </c>
    </row>
    <row r="358" customFormat="false" ht="15" hidden="false" customHeight="true" outlineLevel="0" collapsed="false">
      <c r="A358" s="11" t="str">
        <f aca="false">IF(B358&lt;&gt;"",COUNTA($B$4:B358),"")</f>
        <v/>
      </c>
      <c r="B358" s="12"/>
      <c r="C358" s="12"/>
      <c r="D358" s="12"/>
      <c r="E358" s="12"/>
      <c r="F358" s="12"/>
      <c r="G358" s="12"/>
      <c r="H358" s="12"/>
      <c r="I358" s="13"/>
      <c r="J358" s="12"/>
      <c r="K358" s="14" t="str">
        <f aca="false">IF(AND(I358&lt;&gt;"",H358&lt;&gt;"",J358&lt;&gt;""),IF(J358="W",I358*H358,IF(J358="L",-I358,IF(J358="P",I358*H358*0.5,""))),"")</f>
        <v/>
      </c>
      <c r="L358" s="15" t="str">
        <f aca="false">IF(AND(K358&lt;&gt;"",P357&lt;&gt;""),K358/P357,IF(K358&lt;&gt;"",K358/$D$2,""))</f>
        <v/>
      </c>
      <c r="M358" s="12"/>
      <c r="N358" s="12"/>
      <c r="O358" s="12"/>
      <c r="P358" s="16" t="str">
        <f aca="false">IF(K358&lt;&gt;"",P357+K358,IF(B358&lt;&gt;"",P357,""))</f>
        <v/>
      </c>
      <c r="Q358" s="17" t="str">
        <f aca="false">IF(P358&lt;&gt;"",MIN(0,P358-MAX($P$4:P358)),"")</f>
        <v/>
      </c>
    </row>
    <row r="359" customFormat="false" ht="15" hidden="false" customHeight="true" outlineLevel="0" collapsed="false">
      <c r="A359" s="11" t="str">
        <f aca="false">IF(B359&lt;&gt;"",COUNTA($B$4:B359),"")</f>
        <v/>
      </c>
      <c r="B359" s="20"/>
      <c r="C359" s="20"/>
      <c r="D359" s="20"/>
      <c r="E359" s="20"/>
      <c r="F359" s="20"/>
      <c r="G359" s="20"/>
      <c r="H359" s="20"/>
      <c r="I359" s="21"/>
      <c r="J359" s="20"/>
      <c r="K359" s="14" t="str">
        <f aca="false">IF(AND(I359&lt;&gt;"",H359&lt;&gt;"",J359&lt;&gt;""),IF(J359="W",I359*H359,IF(J359="L",-I359,IF(J359="P",I359*H359*0.5,""))),"")</f>
        <v/>
      </c>
      <c r="L359" s="15" t="str">
        <f aca="false">IF(AND(K359&lt;&gt;"",P358&lt;&gt;""),K359/P358,IF(K359&lt;&gt;"",K359/$D$2,""))</f>
        <v/>
      </c>
      <c r="M359" s="20"/>
      <c r="N359" s="20"/>
      <c r="O359" s="20"/>
      <c r="P359" s="16" t="str">
        <f aca="false">IF(K359&lt;&gt;"",P358+K359,IF(B359&lt;&gt;"",P358,""))</f>
        <v/>
      </c>
      <c r="Q359" s="17" t="str">
        <f aca="false">IF(P359&lt;&gt;"",MIN(0,P359-MAX($P$4:P359)),"")</f>
        <v/>
      </c>
    </row>
    <row r="360" customFormat="false" ht="15" hidden="false" customHeight="true" outlineLevel="0" collapsed="false">
      <c r="A360" s="11" t="str">
        <f aca="false">IF(B360&lt;&gt;"",COUNTA($B$4:B360),"")</f>
        <v/>
      </c>
      <c r="B360" s="12"/>
      <c r="C360" s="12"/>
      <c r="D360" s="12"/>
      <c r="E360" s="12"/>
      <c r="F360" s="12"/>
      <c r="G360" s="12"/>
      <c r="H360" s="12"/>
      <c r="I360" s="13"/>
      <c r="J360" s="12"/>
      <c r="K360" s="14" t="str">
        <f aca="false">IF(AND(I360&lt;&gt;"",H360&lt;&gt;"",J360&lt;&gt;""),IF(J360="W",I360*H360,IF(J360="L",-I360,IF(J360="P",I360*H360*0.5,""))),"")</f>
        <v/>
      </c>
      <c r="L360" s="15" t="str">
        <f aca="false">IF(AND(K360&lt;&gt;"",P359&lt;&gt;""),K360/P359,IF(K360&lt;&gt;"",K360/$D$2,""))</f>
        <v/>
      </c>
      <c r="M360" s="12"/>
      <c r="N360" s="12"/>
      <c r="O360" s="12"/>
      <c r="P360" s="16" t="str">
        <f aca="false">IF(K360&lt;&gt;"",P359+K360,IF(B360&lt;&gt;"",P359,""))</f>
        <v/>
      </c>
      <c r="Q360" s="17" t="str">
        <f aca="false">IF(P360&lt;&gt;"",MIN(0,P360-MAX($P$4:P360)),"")</f>
        <v/>
      </c>
    </row>
    <row r="361" customFormat="false" ht="15" hidden="false" customHeight="true" outlineLevel="0" collapsed="false">
      <c r="A361" s="11" t="str">
        <f aca="false">IF(B361&lt;&gt;"",COUNTA($B$4:B361),"")</f>
        <v/>
      </c>
      <c r="B361" s="20"/>
      <c r="C361" s="20"/>
      <c r="D361" s="20"/>
      <c r="E361" s="20"/>
      <c r="F361" s="20"/>
      <c r="G361" s="20"/>
      <c r="H361" s="20"/>
      <c r="I361" s="21"/>
      <c r="J361" s="20"/>
      <c r="K361" s="14" t="str">
        <f aca="false">IF(AND(I361&lt;&gt;"",H361&lt;&gt;"",J361&lt;&gt;""),IF(J361="W",I361*H361,IF(J361="L",-I361,IF(J361="P",I361*H361*0.5,""))),"")</f>
        <v/>
      </c>
      <c r="L361" s="15" t="str">
        <f aca="false">IF(AND(K361&lt;&gt;"",P360&lt;&gt;""),K361/P360,IF(K361&lt;&gt;"",K361/$D$2,""))</f>
        <v/>
      </c>
      <c r="M361" s="20"/>
      <c r="N361" s="20"/>
      <c r="O361" s="20"/>
      <c r="P361" s="16" t="str">
        <f aca="false">IF(K361&lt;&gt;"",P360+K361,IF(B361&lt;&gt;"",P360,""))</f>
        <v/>
      </c>
      <c r="Q361" s="17" t="str">
        <f aca="false">IF(P361&lt;&gt;"",MIN(0,P361-MAX($P$4:P361)),"")</f>
        <v/>
      </c>
    </row>
    <row r="362" customFormat="false" ht="15" hidden="false" customHeight="true" outlineLevel="0" collapsed="false">
      <c r="A362" s="11" t="str">
        <f aca="false">IF(B362&lt;&gt;"",COUNTA($B$4:B362),"")</f>
        <v/>
      </c>
      <c r="B362" s="12"/>
      <c r="C362" s="12"/>
      <c r="D362" s="12"/>
      <c r="E362" s="12"/>
      <c r="F362" s="12"/>
      <c r="G362" s="12"/>
      <c r="H362" s="12"/>
      <c r="I362" s="13"/>
      <c r="J362" s="12"/>
      <c r="K362" s="14" t="str">
        <f aca="false">IF(AND(I362&lt;&gt;"",H362&lt;&gt;"",J362&lt;&gt;""),IF(J362="W",I362*H362,IF(J362="L",-I362,IF(J362="P",I362*H362*0.5,""))),"")</f>
        <v/>
      </c>
      <c r="L362" s="15" t="str">
        <f aca="false">IF(AND(K362&lt;&gt;"",P361&lt;&gt;""),K362/P361,IF(K362&lt;&gt;"",K362/$D$2,""))</f>
        <v/>
      </c>
      <c r="M362" s="12"/>
      <c r="N362" s="12"/>
      <c r="O362" s="12"/>
      <c r="P362" s="16" t="str">
        <f aca="false">IF(K362&lt;&gt;"",P361+K362,IF(B362&lt;&gt;"",P361,""))</f>
        <v/>
      </c>
      <c r="Q362" s="17" t="str">
        <f aca="false">IF(P362&lt;&gt;"",MIN(0,P362-MAX($P$4:P362)),"")</f>
        <v/>
      </c>
    </row>
    <row r="363" customFormat="false" ht="15" hidden="false" customHeight="true" outlineLevel="0" collapsed="false">
      <c r="A363" s="11" t="str">
        <f aca="false">IF(B363&lt;&gt;"",COUNTA($B$4:B363),"")</f>
        <v/>
      </c>
      <c r="B363" s="20"/>
      <c r="C363" s="20"/>
      <c r="D363" s="20"/>
      <c r="E363" s="20"/>
      <c r="F363" s="20"/>
      <c r="G363" s="20"/>
      <c r="H363" s="20"/>
      <c r="I363" s="21"/>
      <c r="J363" s="20"/>
      <c r="K363" s="14" t="str">
        <f aca="false">IF(AND(I363&lt;&gt;"",H363&lt;&gt;"",J363&lt;&gt;""),IF(J363="W",I363*H363,IF(J363="L",-I363,IF(J363="P",I363*H363*0.5,""))),"")</f>
        <v/>
      </c>
      <c r="L363" s="15" t="str">
        <f aca="false">IF(AND(K363&lt;&gt;"",P362&lt;&gt;""),K363/P362,IF(K363&lt;&gt;"",K363/$D$2,""))</f>
        <v/>
      </c>
      <c r="M363" s="20"/>
      <c r="N363" s="20"/>
      <c r="O363" s="20"/>
      <c r="P363" s="16" t="str">
        <f aca="false">IF(K363&lt;&gt;"",P362+K363,IF(B363&lt;&gt;"",P362,""))</f>
        <v/>
      </c>
      <c r="Q363" s="17" t="str">
        <f aca="false">IF(P363&lt;&gt;"",MIN(0,P363-MAX($P$4:P363)),"")</f>
        <v/>
      </c>
    </row>
    <row r="364" customFormat="false" ht="15" hidden="false" customHeight="true" outlineLevel="0" collapsed="false">
      <c r="A364" s="11" t="str">
        <f aca="false">IF(B364&lt;&gt;"",COUNTA($B$4:B364),"")</f>
        <v/>
      </c>
      <c r="B364" s="12"/>
      <c r="C364" s="12"/>
      <c r="D364" s="12"/>
      <c r="E364" s="12"/>
      <c r="F364" s="12"/>
      <c r="G364" s="12"/>
      <c r="H364" s="12"/>
      <c r="I364" s="13"/>
      <c r="J364" s="12"/>
      <c r="K364" s="14" t="str">
        <f aca="false">IF(AND(I364&lt;&gt;"",H364&lt;&gt;"",J364&lt;&gt;""),IF(J364="W",I364*H364,IF(J364="L",-I364,IF(J364="P",I364*H364*0.5,""))),"")</f>
        <v/>
      </c>
      <c r="L364" s="15" t="str">
        <f aca="false">IF(AND(K364&lt;&gt;"",P363&lt;&gt;""),K364/P363,IF(K364&lt;&gt;"",K364/$D$2,""))</f>
        <v/>
      </c>
      <c r="M364" s="12"/>
      <c r="N364" s="12"/>
      <c r="O364" s="12"/>
      <c r="P364" s="16" t="str">
        <f aca="false">IF(K364&lt;&gt;"",P363+K364,IF(B364&lt;&gt;"",P363,""))</f>
        <v/>
      </c>
      <c r="Q364" s="17" t="str">
        <f aca="false">IF(P364&lt;&gt;"",MIN(0,P364-MAX($P$4:P364)),"")</f>
        <v/>
      </c>
    </row>
    <row r="365" customFormat="false" ht="15" hidden="false" customHeight="true" outlineLevel="0" collapsed="false">
      <c r="A365" s="11" t="str">
        <f aca="false">IF(B365&lt;&gt;"",COUNTA($B$4:B365),"")</f>
        <v/>
      </c>
      <c r="B365" s="20"/>
      <c r="C365" s="20"/>
      <c r="D365" s="20"/>
      <c r="E365" s="20"/>
      <c r="F365" s="20"/>
      <c r="G365" s="20"/>
      <c r="H365" s="20"/>
      <c r="I365" s="21"/>
      <c r="J365" s="20"/>
      <c r="K365" s="14" t="str">
        <f aca="false">IF(AND(I365&lt;&gt;"",H365&lt;&gt;"",J365&lt;&gt;""),IF(J365="W",I365*H365,IF(J365="L",-I365,IF(J365="P",I365*H365*0.5,""))),"")</f>
        <v/>
      </c>
      <c r="L365" s="15" t="str">
        <f aca="false">IF(AND(K365&lt;&gt;"",P364&lt;&gt;""),K365/P364,IF(K365&lt;&gt;"",K365/$D$2,""))</f>
        <v/>
      </c>
      <c r="M365" s="20"/>
      <c r="N365" s="20"/>
      <c r="O365" s="20"/>
      <c r="P365" s="16" t="str">
        <f aca="false">IF(K365&lt;&gt;"",P364+K365,IF(B365&lt;&gt;"",P364,""))</f>
        <v/>
      </c>
      <c r="Q365" s="17" t="str">
        <f aca="false">IF(P365&lt;&gt;"",MIN(0,P365-MAX($P$4:P365)),"")</f>
        <v/>
      </c>
    </row>
    <row r="366" customFormat="false" ht="15" hidden="false" customHeight="true" outlineLevel="0" collapsed="false">
      <c r="A366" s="11" t="str">
        <f aca="false">IF(B366&lt;&gt;"",COUNTA($B$4:B366),"")</f>
        <v/>
      </c>
      <c r="B366" s="12"/>
      <c r="C366" s="12"/>
      <c r="D366" s="12"/>
      <c r="E366" s="12"/>
      <c r="F366" s="12"/>
      <c r="G366" s="12"/>
      <c r="H366" s="12"/>
      <c r="I366" s="13"/>
      <c r="J366" s="12"/>
      <c r="K366" s="14" t="str">
        <f aca="false">IF(AND(I366&lt;&gt;"",H366&lt;&gt;"",J366&lt;&gt;""),IF(J366="W",I366*H366,IF(J366="L",-I366,IF(J366="P",I366*H366*0.5,""))),"")</f>
        <v/>
      </c>
      <c r="L366" s="15" t="str">
        <f aca="false">IF(AND(K366&lt;&gt;"",P365&lt;&gt;""),K366/P365,IF(K366&lt;&gt;"",K366/$D$2,""))</f>
        <v/>
      </c>
      <c r="M366" s="12"/>
      <c r="N366" s="12"/>
      <c r="O366" s="12"/>
      <c r="P366" s="16" t="str">
        <f aca="false">IF(K366&lt;&gt;"",P365+K366,IF(B366&lt;&gt;"",P365,""))</f>
        <v/>
      </c>
      <c r="Q366" s="17" t="str">
        <f aca="false">IF(P366&lt;&gt;"",MIN(0,P366-MAX($P$4:P366)),"")</f>
        <v/>
      </c>
    </row>
    <row r="367" customFormat="false" ht="15" hidden="false" customHeight="true" outlineLevel="0" collapsed="false">
      <c r="A367" s="11" t="str">
        <f aca="false">IF(B367&lt;&gt;"",COUNTA($B$4:B367),"")</f>
        <v/>
      </c>
      <c r="B367" s="20"/>
      <c r="C367" s="20"/>
      <c r="D367" s="20"/>
      <c r="E367" s="20"/>
      <c r="F367" s="20"/>
      <c r="G367" s="20"/>
      <c r="H367" s="20"/>
      <c r="I367" s="21"/>
      <c r="J367" s="20"/>
      <c r="K367" s="14" t="str">
        <f aca="false">IF(AND(I367&lt;&gt;"",H367&lt;&gt;"",J367&lt;&gt;""),IF(J367="W",I367*H367,IF(J367="L",-I367,IF(J367="P",I367*H367*0.5,""))),"")</f>
        <v/>
      </c>
      <c r="L367" s="15" t="str">
        <f aca="false">IF(AND(K367&lt;&gt;"",P366&lt;&gt;""),K367/P366,IF(K367&lt;&gt;"",K367/$D$2,""))</f>
        <v/>
      </c>
      <c r="M367" s="20"/>
      <c r="N367" s="20"/>
      <c r="O367" s="20"/>
      <c r="P367" s="16" t="str">
        <f aca="false">IF(K367&lt;&gt;"",P366+K367,IF(B367&lt;&gt;"",P366,""))</f>
        <v/>
      </c>
      <c r="Q367" s="17" t="str">
        <f aca="false">IF(P367&lt;&gt;"",MIN(0,P367-MAX($P$4:P367)),"")</f>
        <v/>
      </c>
    </row>
    <row r="368" customFormat="false" ht="15" hidden="false" customHeight="true" outlineLevel="0" collapsed="false">
      <c r="A368" s="11" t="str">
        <f aca="false">IF(B368&lt;&gt;"",COUNTA($B$4:B368),"")</f>
        <v/>
      </c>
      <c r="B368" s="12"/>
      <c r="C368" s="12"/>
      <c r="D368" s="12"/>
      <c r="E368" s="12"/>
      <c r="F368" s="12"/>
      <c r="G368" s="12"/>
      <c r="H368" s="12"/>
      <c r="I368" s="13"/>
      <c r="J368" s="12"/>
      <c r="K368" s="14" t="str">
        <f aca="false">IF(AND(I368&lt;&gt;"",H368&lt;&gt;"",J368&lt;&gt;""),IF(J368="W",I368*H368,IF(J368="L",-I368,IF(J368="P",I368*H368*0.5,""))),"")</f>
        <v/>
      </c>
      <c r="L368" s="15" t="str">
        <f aca="false">IF(AND(K368&lt;&gt;"",P367&lt;&gt;""),K368/P367,IF(K368&lt;&gt;"",K368/$D$2,""))</f>
        <v/>
      </c>
      <c r="M368" s="12"/>
      <c r="N368" s="12"/>
      <c r="O368" s="12"/>
      <c r="P368" s="16" t="str">
        <f aca="false">IF(K368&lt;&gt;"",P367+K368,IF(B368&lt;&gt;"",P367,""))</f>
        <v/>
      </c>
      <c r="Q368" s="17" t="str">
        <f aca="false">IF(P368&lt;&gt;"",MIN(0,P368-MAX($P$4:P368)),"")</f>
        <v/>
      </c>
    </row>
    <row r="369" customFormat="false" ht="15" hidden="false" customHeight="true" outlineLevel="0" collapsed="false">
      <c r="A369" s="11" t="str">
        <f aca="false">IF(B369&lt;&gt;"",COUNTA($B$4:B369),"")</f>
        <v/>
      </c>
      <c r="B369" s="20"/>
      <c r="C369" s="20"/>
      <c r="D369" s="20"/>
      <c r="E369" s="20"/>
      <c r="F369" s="20"/>
      <c r="G369" s="20"/>
      <c r="H369" s="20"/>
      <c r="I369" s="21"/>
      <c r="J369" s="20"/>
      <c r="K369" s="14" t="str">
        <f aca="false">IF(AND(I369&lt;&gt;"",H369&lt;&gt;"",J369&lt;&gt;""),IF(J369="W",I369*H369,IF(J369="L",-I369,IF(J369="P",I369*H369*0.5,""))),"")</f>
        <v/>
      </c>
      <c r="L369" s="15" t="str">
        <f aca="false">IF(AND(K369&lt;&gt;"",P368&lt;&gt;""),K369/P368,IF(K369&lt;&gt;"",K369/$D$2,""))</f>
        <v/>
      </c>
      <c r="M369" s="20"/>
      <c r="N369" s="20"/>
      <c r="O369" s="20"/>
      <c r="P369" s="16" t="str">
        <f aca="false">IF(K369&lt;&gt;"",P368+K369,IF(B369&lt;&gt;"",P368,""))</f>
        <v/>
      </c>
      <c r="Q369" s="17" t="str">
        <f aca="false">IF(P369&lt;&gt;"",MIN(0,P369-MAX($P$4:P369)),"")</f>
        <v/>
      </c>
    </row>
    <row r="370" customFormat="false" ht="15" hidden="false" customHeight="true" outlineLevel="0" collapsed="false">
      <c r="A370" s="11" t="str">
        <f aca="false">IF(B370&lt;&gt;"",COUNTA($B$4:B370),"")</f>
        <v/>
      </c>
      <c r="B370" s="12"/>
      <c r="C370" s="12"/>
      <c r="D370" s="12"/>
      <c r="E370" s="12"/>
      <c r="F370" s="12"/>
      <c r="G370" s="12"/>
      <c r="H370" s="12"/>
      <c r="I370" s="13"/>
      <c r="J370" s="12"/>
      <c r="K370" s="14" t="str">
        <f aca="false">IF(AND(I370&lt;&gt;"",H370&lt;&gt;"",J370&lt;&gt;""),IF(J370="W",I370*H370,IF(J370="L",-I370,IF(J370="P",I370*H370*0.5,""))),"")</f>
        <v/>
      </c>
      <c r="L370" s="15" t="str">
        <f aca="false">IF(AND(K370&lt;&gt;"",P369&lt;&gt;""),K370/P369,IF(K370&lt;&gt;"",K370/$D$2,""))</f>
        <v/>
      </c>
      <c r="M370" s="12"/>
      <c r="N370" s="12"/>
      <c r="O370" s="12"/>
      <c r="P370" s="16" t="str">
        <f aca="false">IF(K370&lt;&gt;"",P369+K370,IF(B370&lt;&gt;"",P369,""))</f>
        <v/>
      </c>
      <c r="Q370" s="17" t="str">
        <f aca="false">IF(P370&lt;&gt;"",MIN(0,P370-MAX($P$4:P370)),"")</f>
        <v/>
      </c>
    </row>
    <row r="371" customFormat="false" ht="15" hidden="false" customHeight="true" outlineLevel="0" collapsed="false">
      <c r="A371" s="11" t="str">
        <f aca="false">IF(B371&lt;&gt;"",COUNTA($B$4:B371),"")</f>
        <v/>
      </c>
      <c r="B371" s="20"/>
      <c r="C371" s="20"/>
      <c r="D371" s="20"/>
      <c r="E371" s="20"/>
      <c r="F371" s="20"/>
      <c r="G371" s="20"/>
      <c r="H371" s="20"/>
      <c r="I371" s="21"/>
      <c r="J371" s="20"/>
      <c r="K371" s="14" t="str">
        <f aca="false">IF(AND(I371&lt;&gt;"",H371&lt;&gt;"",J371&lt;&gt;""),IF(J371="W",I371*H371,IF(J371="L",-I371,IF(J371="P",I371*H371*0.5,""))),"")</f>
        <v/>
      </c>
      <c r="L371" s="15" t="str">
        <f aca="false">IF(AND(K371&lt;&gt;"",P370&lt;&gt;""),K371/P370,IF(K371&lt;&gt;"",K371/$D$2,""))</f>
        <v/>
      </c>
      <c r="M371" s="20"/>
      <c r="N371" s="20"/>
      <c r="O371" s="20"/>
      <c r="P371" s="16" t="str">
        <f aca="false">IF(K371&lt;&gt;"",P370+K371,IF(B371&lt;&gt;"",P370,""))</f>
        <v/>
      </c>
      <c r="Q371" s="17" t="str">
        <f aca="false">IF(P371&lt;&gt;"",MIN(0,P371-MAX($P$4:P371)),"")</f>
        <v/>
      </c>
    </row>
    <row r="372" customFormat="false" ht="15" hidden="false" customHeight="true" outlineLevel="0" collapsed="false">
      <c r="A372" s="11" t="str">
        <f aca="false">IF(B372&lt;&gt;"",COUNTA($B$4:B372),"")</f>
        <v/>
      </c>
      <c r="B372" s="12"/>
      <c r="C372" s="12"/>
      <c r="D372" s="12"/>
      <c r="E372" s="12"/>
      <c r="F372" s="12"/>
      <c r="G372" s="12"/>
      <c r="H372" s="12"/>
      <c r="I372" s="13"/>
      <c r="J372" s="12"/>
      <c r="K372" s="14" t="str">
        <f aca="false">IF(AND(I372&lt;&gt;"",H372&lt;&gt;"",J372&lt;&gt;""),IF(J372="W",I372*H372,IF(J372="L",-I372,IF(J372="P",I372*H372*0.5,""))),"")</f>
        <v/>
      </c>
      <c r="L372" s="15" t="str">
        <f aca="false">IF(AND(K372&lt;&gt;"",P371&lt;&gt;""),K372/P371,IF(K372&lt;&gt;"",K372/$D$2,""))</f>
        <v/>
      </c>
      <c r="M372" s="12"/>
      <c r="N372" s="12"/>
      <c r="O372" s="12"/>
      <c r="P372" s="16" t="str">
        <f aca="false">IF(K372&lt;&gt;"",P371+K372,IF(B372&lt;&gt;"",P371,""))</f>
        <v/>
      </c>
      <c r="Q372" s="17" t="str">
        <f aca="false">IF(P372&lt;&gt;"",MIN(0,P372-MAX($P$4:P372)),"")</f>
        <v/>
      </c>
    </row>
    <row r="373" customFormat="false" ht="15" hidden="false" customHeight="true" outlineLevel="0" collapsed="false">
      <c r="A373" s="11" t="str">
        <f aca="false">IF(B373&lt;&gt;"",COUNTA($B$4:B373),"")</f>
        <v/>
      </c>
      <c r="B373" s="20"/>
      <c r="C373" s="20"/>
      <c r="D373" s="20"/>
      <c r="E373" s="20"/>
      <c r="F373" s="20"/>
      <c r="G373" s="20"/>
      <c r="H373" s="20"/>
      <c r="I373" s="21"/>
      <c r="J373" s="20"/>
      <c r="K373" s="14" t="str">
        <f aca="false">IF(AND(I373&lt;&gt;"",H373&lt;&gt;"",J373&lt;&gt;""),IF(J373="W",I373*H373,IF(J373="L",-I373,IF(J373="P",I373*H373*0.5,""))),"")</f>
        <v/>
      </c>
      <c r="L373" s="15" t="str">
        <f aca="false">IF(AND(K373&lt;&gt;"",P372&lt;&gt;""),K373/P372,IF(K373&lt;&gt;"",K373/$D$2,""))</f>
        <v/>
      </c>
      <c r="M373" s="20"/>
      <c r="N373" s="20"/>
      <c r="O373" s="20"/>
      <c r="P373" s="16" t="str">
        <f aca="false">IF(K373&lt;&gt;"",P372+K373,IF(B373&lt;&gt;"",P372,""))</f>
        <v/>
      </c>
      <c r="Q373" s="17" t="str">
        <f aca="false">IF(P373&lt;&gt;"",MIN(0,P373-MAX($P$4:P373)),"")</f>
        <v/>
      </c>
    </row>
    <row r="374" customFormat="false" ht="15" hidden="false" customHeight="true" outlineLevel="0" collapsed="false">
      <c r="A374" s="11" t="str">
        <f aca="false">IF(B374&lt;&gt;"",COUNTA($B$4:B374),"")</f>
        <v/>
      </c>
      <c r="B374" s="12"/>
      <c r="C374" s="12"/>
      <c r="D374" s="12"/>
      <c r="E374" s="12"/>
      <c r="F374" s="12"/>
      <c r="G374" s="12"/>
      <c r="H374" s="12"/>
      <c r="I374" s="13"/>
      <c r="J374" s="12"/>
      <c r="K374" s="14" t="str">
        <f aca="false">IF(AND(I374&lt;&gt;"",H374&lt;&gt;"",J374&lt;&gt;""),IF(J374="W",I374*H374,IF(J374="L",-I374,IF(J374="P",I374*H374*0.5,""))),"")</f>
        <v/>
      </c>
      <c r="L374" s="15" t="str">
        <f aca="false">IF(AND(K374&lt;&gt;"",P373&lt;&gt;""),K374/P373,IF(K374&lt;&gt;"",K374/$D$2,""))</f>
        <v/>
      </c>
      <c r="M374" s="12"/>
      <c r="N374" s="12"/>
      <c r="O374" s="12"/>
      <c r="P374" s="16" t="str">
        <f aca="false">IF(K374&lt;&gt;"",P373+K374,IF(B374&lt;&gt;"",P373,""))</f>
        <v/>
      </c>
      <c r="Q374" s="17" t="str">
        <f aca="false">IF(P374&lt;&gt;"",MIN(0,P374-MAX($P$4:P374)),"")</f>
        <v/>
      </c>
    </row>
    <row r="375" customFormat="false" ht="15" hidden="false" customHeight="true" outlineLevel="0" collapsed="false">
      <c r="A375" s="11" t="str">
        <f aca="false">IF(B375&lt;&gt;"",COUNTA($B$4:B375),"")</f>
        <v/>
      </c>
      <c r="B375" s="20"/>
      <c r="C375" s="20"/>
      <c r="D375" s="20"/>
      <c r="E375" s="20"/>
      <c r="F375" s="20"/>
      <c r="G375" s="20"/>
      <c r="H375" s="20"/>
      <c r="I375" s="21"/>
      <c r="J375" s="20"/>
      <c r="K375" s="14" t="str">
        <f aca="false">IF(AND(I375&lt;&gt;"",H375&lt;&gt;"",J375&lt;&gt;""),IF(J375="W",I375*H375,IF(J375="L",-I375,IF(J375="P",I375*H375*0.5,""))),"")</f>
        <v/>
      </c>
      <c r="L375" s="15" t="str">
        <f aca="false">IF(AND(K375&lt;&gt;"",P374&lt;&gt;""),K375/P374,IF(K375&lt;&gt;"",K375/$D$2,""))</f>
        <v/>
      </c>
      <c r="M375" s="20"/>
      <c r="N375" s="20"/>
      <c r="O375" s="20"/>
      <c r="P375" s="16" t="str">
        <f aca="false">IF(K375&lt;&gt;"",P374+K375,IF(B375&lt;&gt;"",P374,""))</f>
        <v/>
      </c>
      <c r="Q375" s="17" t="str">
        <f aca="false">IF(P375&lt;&gt;"",MIN(0,P375-MAX($P$4:P375)),"")</f>
        <v/>
      </c>
    </row>
    <row r="376" customFormat="false" ht="15" hidden="false" customHeight="true" outlineLevel="0" collapsed="false">
      <c r="A376" s="11" t="str">
        <f aca="false">IF(B376&lt;&gt;"",COUNTA($B$4:B376),"")</f>
        <v/>
      </c>
      <c r="B376" s="12"/>
      <c r="C376" s="12"/>
      <c r="D376" s="12"/>
      <c r="E376" s="12"/>
      <c r="F376" s="12"/>
      <c r="G376" s="12"/>
      <c r="H376" s="12"/>
      <c r="I376" s="13"/>
      <c r="J376" s="12"/>
      <c r="K376" s="14" t="str">
        <f aca="false">IF(AND(I376&lt;&gt;"",H376&lt;&gt;"",J376&lt;&gt;""),IF(J376="W",I376*H376,IF(J376="L",-I376,IF(J376="P",I376*H376*0.5,""))),"")</f>
        <v/>
      </c>
      <c r="L376" s="15" t="str">
        <f aca="false">IF(AND(K376&lt;&gt;"",P375&lt;&gt;""),K376/P375,IF(K376&lt;&gt;"",K376/$D$2,""))</f>
        <v/>
      </c>
      <c r="M376" s="12"/>
      <c r="N376" s="12"/>
      <c r="O376" s="12"/>
      <c r="P376" s="16" t="str">
        <f aca="false">IF(K376&lt;&gt;"",P375+K376,IF(B376&lt;&gt;"",P375,""))</f>
        <v/>
      </c>
      <c r="Q376" s="17" t="str">
        <f aca="false">IF(P376&lt;&gt;"",MIN(0,P376-MAX($P$4:P376)),"")</f>
        <v/>
      </c>
    </row>
    <row r="377" customFormat="false" ht="15" hidden="false" customHeight="true" outlineLevel="0" collapsed="false">
      <c r="A377" s="11" t="str">
        <f aca="false">IF(B377&lt;&gt;"",COUNTA($B$4:B377),"")</f>
        <v/>
      </c>
      <c r="B377" s="20"/>
      <c r="C377" s="20"/>
      <c r="D377" s="20"/>
      <c r="E377" s="20"/>
      <c r="F377" s="20"/>
      <c r="G377" s="20"/>
      <c r="H377" s="20"/>
      <c r="I377" s="21"/>
      <c r="J377" s="20"/>
      <c r="K377" s="14" t="str">
        <f aca="false">IF(AND(I377&lt;&gt;"",H377&lt;&gt;"",J377&lt;&gt;""),IF(J377="W",I377*H377,IF(J377="L",-I377,IF(J377="P",I377*H377*0.5,""))),"")</f>
        <v/>
      </c>
      <c r="L377" s="15" t="str">
        <f aca="false">IF(AND(K377&lt;&gt;"",P376&lt;&gt;""),K377/P376,IF(K377&lt;&gt;"",K377/$D$2,""))</f>
        <v/>
      </c>
      <c r="M377" s="20"/>
      <c r="N377" s="20"/>
      <c r="O377" s="20"/>
      <c r="P377" s="16" t="str">
        <f aca="false">IF(K377&lt;&gt;"",P376+K377,IF(B377&lt;&gt;"",P376,""))</f>
        <v/>
      </c>
      <c r="Q377" s="17" t="str">
        <f aca="false">IF(P377&lt;&gt;"",MIN(0,P377-MAX($P$4:P377)),"")</f>
        <v/>
      </c>
    </row>
    <row r="378" customFormat="false" ht="15" hidden="false" customHeight="true" outlineLevel="0" collapsed="false">
      <c r="A378" s="11" t="str">
        <f aca="false">IF(B378&lt;&gt;"",COUNTA($B$4:B378),"")</f>
        <v/>
      </c>
      <c r="B378" s="12"/>
      <c r="C378" s="12"/>
      <c r="D378" s="12"/>
      <c r="E378" s="12"/>
      <c r="F378" s="12"/>
      <c r="G378" s="12"/>
      <c r="H378" s="12"/>
      <c r="I378" s="13"/>
      <c r="J378" s="12"/>
      <c r="K378" s="14" t="str">
        <f aca="false">IF(AND(I378&lt;&gt;"",H378&lt;&gt;"",J378&lt;&gt;""),IF(J378="W",I378*H378,IF(J378="L",-I378,IF(J378="P",I378*H378*0.5,""))),"")</f>
        <v/>
      </c>
      <c r="L378" s="15" t="str">
        <f aca="false">IF(AND(K378&lt;&gt;"",P377&lt;&gt;""),K378/P377,IF(K378&lt;&gt;"",K378/$D$2,""))</f>
        <v/>
      </c>
      <c r="M378" s="12"/>
      <c r="N378" s="12"/>
      <c r="O378" s="12"/>
      <c r="P378" s="16" t="str">
        <f aca="false">IF(K378&lt;&gt;"",P377+K378,IF(B378&lt;&gt;"",P377,""))</f>
        <v/>
      </c>
      <c r="Q378" s="17" t="str">
        <f aca="false">IF(P378&lt;&gt;"",MIN(0,P378-MAX($P$4:P378)),"")</f>
        <v/>
      </c>
    </row>
    <row r="379" customFormat="false" ht="15" hidden="false" customHeight="true" outlineLevel="0" collapsed="false">
      <c r="A379" s="11" t="str">
        <f aca="false">IF(B379&lt;&gt;"",COUNTA($B$4:B379),"")</f>
        <v/>
      </c>
      <c r="B379" s="20"/>
      <c r="C379" s="20"/>
      <c r="D379" s="20"/>
      <c r="E379" s="20"/>
      <c r="F379" s="20"/>
      <c r="G379" s="20"/>
      <c r="H379" s="20"/>
      <c r="I379" s="21"/>
      <c r="J379" s="20"/>
      <c r="K379" s="14" t="str">
        <f aca="false">IF(AND(I379&lt;&gt;"",H379&lt;&gt;"",J379&lt;&gt;""),IF(J379="W",I379*H379,IF(J379="L",-I379,IF(J379="P",I379*H379*0.5,""))),"")</f>
        <v/>
      </c>
      <c r="L379" s="15" t="str">
        <f aca="false">IF(AND(K379&lt;&gt;"",P378&lt;&gt;""),K379/P378,IF(K379&lt;&gt;"",K379/$D$2,""))</f>
        <v/>
      </c>
      <c r="M379" s="20"/>
      <c r="N379" s="20"/>
      <c r="O379" s="20"/>
      <c r="P379" s="16" t="str">
        <f aca="false">IF(K379&lt;&gt;"",P378+K379,IF(B379&lt;&gt;"",P378,""))</f>
        <v/>
      </c>
      <c r="Q379" s="17" t="str">
        <f aca="false">IF(P379&lt;&gt;"",MIN(0,P379-MAX($P$4:P379)),"")</f>
        <v/>
      </c>
    </row>
    <row r="380" customFormat="false" ht="15" hidden="false" customHeight="true" outlineLevel="0" collapsed="false">
      <c r="A380" s="11" t="str">
        <f aca="false">IF(B380&lt;&gt;"",COUNTA($B$4:B380),"")</f>
        <v/>
      </c>
      <c r="B380" s="12"/>
      <c r="C380" s="12"/>
      <c r="D380" s="12"/>
      <c r="E380" s="12"/>
      <c r="F380" s="12"/>
      <c r="G380" s="12"/>
      <c r="H380" s="12"/>
      <c r="I380" s="13"/>
      <c r="J380" s="12"/>
      <c r="K380" s="14" t="str">
        <f aca="false">IF(AND(I380&lt;&gt;"",H380&lt;&gt;"",J380&lt;&gt;""),IF(J380="W",I380*H380,IF(J380="L",-I380,IF(J380="P",I380*H380*0.5,""))),"")</f>
        <v/>
      </c>
      <c r="L380" s="15" t="str">
        <f aca="false">IF(AND(K380&lt;&gt;"",P379&lt;&gt;""),K380/P379,IF(K380&lt;&gt;"",K380/$D$2,""))</f>
        <v/>
      </c>
      <c r="M380" s="12"/>
      <c r="N380" s="12"/>
      <c r="O380" s="12"/>
      <c r="P380" s="16" t="str">
        <f aca="false">IF(K380&lt;&gt;"",P379+K380,IF(B380&lt;&gt;"",P379,""))</f>
        <v/>
      </c>
      <c r="Q380" s="17" t="str">
        <f aca="false">IF(P380&lt;&gt;"",MIN(0,P380-MAX($P$4:P380)),"")</f>
        <v/>
      </c>
    </row>
    <row r="381" customFormat="false" ht="15" hidden="false" customHeight="true" outlineLevel="0" collapsed="false">
      <c r="A381" s="11" t="str">
        <f aca="false">IF(B381&lt;&gt;"",COUNTA($B$4:B381),"")</f>
        <v/>
      </c>
      <c r="B381" s="20"/>
      <c r="C381" s="20"/>
      <c r="D381" s="20"/>
      <c r="E381" s="20"/>
      <c r="F381" s="20"/>
      <c r="G381" s="20"/>
      <c r="H381" s="20"/>
      <c r="I381" s="21"/>
      <c r="J381" s="20"/>
      <c r="K381" s="14" t="str">
        <f aca="false">IF(AND(I381&lt;&gt;"",H381&lt;&gt;"",J381&lt;&gt;""),IF(J381="W",I381*H381,IF(J381="L",-I381,IF(J381="P",I381*H381*0.5,""))),"")</f>
        <v/>
      </c>
      <c r="L381" s="15" t="str">
        <f aca="false">IF(AND(K381&lt;&gt;"",P380&lt;&gt;""),K381/P380,IF(K381&lt;&gt;"",K381/$D$2,""))</f>
        <v/>
      </c>
      <c r="M381" s="20"/>
      <c r="N381" s="20"/>
      <c r="O381" s="20"/>
      <c r="P381" s="16" t="str">
        <f aca="false">IF(K381&lt;&gt;"",P380+K381,IF(B381&lt;&gt;"",P380,""))</f>
        <v/>
      </c>
      <c r="Q381" s="17" t="str">
        <f aca="false">IF(P381&lt;&gt;"",MIN(0,P381-MAX($P$4:P381)),"")</f>
        <v/>
      </c>
    </row>
    <row r="382" customFormat="false" ht="15" hidden="false" customHeight="true" outlineLevel="0" collapsed="false">
      <c r="A382" s="11" t="str">
        <f aca="false">IF(B382&lt;&gt;"",COUNTA($B$4:B382),"")</f>
        <v/>
      </c>
      <c r="B382" s="12"/>
      <c r="C382" s="12"/>
      <c r="D382" s="12"/>
      <c r="E382" s="12"/>
      <c r="F382" s="12"/>
      <c r="G382" s="12"/>
      <c r="H382" s="12"/>
      <c r="I382" s="13"/>
      <c r="J382" s="12"/>
      <c r="K382" s="14" t="str">
        <f aca="false">IF(AND(I382&lt;&gt;"",H382&lt;&gt;"",J382&lt;&gt;""),IF(J382="W",I382*H382,IF(J382="L",-I382,IF(J382="P",I382*H382*0.5,""))),"")</f>
        <v/>
      </c>
      <c r="L382" s="15" t="str">
        <f aca="false">IF(AND(K382&lt;&gt;"",P381&lt;&gt;""),K382/P381,IF(K382&lt;&gt;"",K382/$D$2,""))</f>
        <v/>
      </c>
      <c r="M382" s="12"/>
      <c r="N382" s="12"/>
      <c r="O382" s="12"/>
      <c r="P382" s="16" t="str">
        <f aca="false">IF(K382&lt;&gt;"",P381+K382,IF(B382&lt;&gt;"",P381,""))</f>
        <v/>
      </c>
      <c r="Q382" s="17" t="str">
        <f aca="false">IF(P382&lt;&gt;"",MIN(0,P382-MAX($P$4:P382)),"")</f>
        <v/>
      </c>
    </row>
    <row r="383" customFormat="false" ht="15" hidden="false" customHeight="true" outlineLevel="0" collapsed="false">
      <c r="A383" s="11" t="str">
        <f aca="false">IF(B383&lt;&gt;"",COUNTA($B$4:B383),"")</f>
        <v/>
      </c>
      <c r="B383" s="20"/>
      <c r="C383" s="20"/>
      <c r="D383" s="20"/>
      <c r="E383" s="20"/>
      <c r="F383" s="20"/>
      <c r="G383" s="20"/>
      <c r="H383" s="20"/>
      <c r="I383" s="21"/>
      <c r="J383" s="20"/>
      <c r="K383" s="14" t="str">
        <f aca="false">IF(AND(I383&lt;&gt;"",H383&lt;&gt;"",J383&lt;&gt;""),IF(J383="W",I383*H383,IF(J383="L",-I383,IF(J383="P",I383*H383*0.5,""))),"")</f>
        <v/>
      </c>
      <c r="L383" s="15" t="str">
        <f aca="false">IF(AND(K383&lt;&gt;"",P382&lt;&gt;""),K383/P382,IF(K383&lt;&gt;"",K383/$D$2,""))</f>
        <v/>
      </c>
      <c r="M383" s="20"/>
      <c r="N383" s="20"/>
      <c r="O383" s="20"/>
      <c r="P383" s="16" t="str">
        <f aca="false">IF(K383&lt;&gt;"",P382+K383,IF(B383&lt;&gt;"",P382,""))</f>
        <v/>
      </c>
      <c r="Q383" s="17" t="str">
        <f aca="false">IF(P383&lt;&gt;"",MIN(0,P383-MAX($P$4:P383)),"")</f>
        <v/>
      </c>
    </row>
    <row r="384" customFormat="false" ht="15" hidden="false" customHeight="true" outlineLevel="0" collapsed="false">
      <c r="A384" s="11" t="str">
        <f aca="false">IF(B384&lt;&gt;"",COUNTA($B$4:B384),"")</f>
        <v/>
      </c>
      <c r="B384" s="12"/>
      <c r="C384" s="12"/>
      <c r="D384" s="12"/>
      <c r="E384" s="12"/>
      <c r="F384" s="12"/>
      <c r="G384" s="12"/>
      <c r="H384" s="12"/>
      <c r="I384" s="13"/>
      <c r="J384" s="12"/>
      <c r="K384" s="14" t="str">
        <f aca="false">IF(AND(I384&lt;&gt;"",H384&lt;&gt;"",J384&lt;&gt;""),IF(J384="W",I384*H384,IF(J384="L",-I384,IF(J384="P",I384*H384*0.5,""))),"")</f>
        <v/>
      </c>
      <c r="L384" s="15" t="str">
        <f aca="false">IF(AND(K384&lt;&gt;"",P383&lt;&gt;""),K384/P383,IF(K384&lt;&gt;"",K384/$D$2,""))</f>
        <v/>
      </c>
      <c r="M384" s="12"/>
      <c r="N384" s="12"/>
      <c r="O384" s="12"/>
      <c r="P384" s="16" t="str">
        <f aca="false">IF(K384&lt;&gt;"",P383+K384,IF(B384&lt;&gt;"",P383,""))</f>
        <v/>
      </c>
      <c r="Q384" s="17" t="str">
        <f aca="false">IF(P384&lt;&gt;"",MIN(0,P384-MAX($P$4:P384)),"")</f>
        <v/>
      </c>
    </row>
    <row r="385" customFormat="false" ht="15" hidden="false" customHeight="true" outlineLevel="0" collapsed="false">
      <c r="A385" s="11" t="str">
        <f aca="false">IF(B385&lt;&gt;"",COUNTA($B$4:B385),"")</f>
        <v/>
      </c>
      <c r="B385" s="20"/>
      <c r="C385" s="20"/>
      <c r="D385" s="20"/>
      <c r="E385" s="20"/>
      <c r="F385" s="20"/>
      <c r="G385" s="20"/>
      <c r="H385" s="20"/>
      <c r="I385" s="21"/>
      <c r="J385" s="20"/>
      <c r="K385" s="14" t="str">
        <f aca="false">IF(AND(I385&lt;&gt;"",H385&lt;&gt;"",J385&lt;&gt;""),IF(J385="W",I385*H385,IF(J385="L",-I385,IF(J385="P",I385*H385*0.5,""))),"")</f>
        <v/>
      </c>
      <c r="L385" s="15" t="str">
        <f aca="false">IF(AND(K385&lt;&gt;"",P384&lt;&gt;""),K385/P384,IF(K385&lt;&gt;"",K385/$D$2,""))</f>
        <v/>
      </c>
      <c r="M385" s="20"/>
      <c r="N385" s="20"/>
      <c r="O385" s="20"/>
      <c r="P385" s="16" t="str">
        <f aca="false">IF(K385&lt;&gt;"",P384+K385,IF(B385&lt;&gt;"",P384,""))</f>
        <v/>
      </c>
      <c r="Q385" s="17" t="str">
        <f aca="false">IF(P385&lt;&gt;"",MIN(0,P385-MAX($P$4:P385)),"")</f>
        <v/>
      </c>
    </row>
    <row r="386" customFormat="false" ht="15" hidden="false" customHeight="true" outlineLevel="0" collapsed="false">
      <c r="A386" s="11" t="str">
        <f aca="false">IF(B386&lt;&gt;"",COUNTA($B$4:B386),"")</f>
        <v/>
      </c>
      <c r="B386" s="12"/>
      <c r="C386" s="12"/>
      <c r="D386" s="12"/>
      <c r="E386" s="12"/>
      <c r="F386" s="12"/>
      <c r="G386" s="12"/>
      <c r="H386" s="12"/>
      <c r="I386" s="13"/>
      <c r="J386" s="12"/>
      <c r="K386" s="14" t="str">
        <f aca="false">IF(AND(I386&lt;&gt;"",H386&lt;&gt;"",J386&lt;&gt;""),IF(J386="W",I386*H386,IF(J386="L",-I386,IF(J386="P",I386*H386*0.5,""))),"")</f>
        <v/>
      </c>
      <c r="L386" s="15" t="str">
        <f aca="false">IF(AND(K386&lt;&gt;"",P385&lt;&gt;""),K386/P385,IF(K386&lt;&gt;"",K386/$D$2,""))</f>
        <v/>
      </c>
      <c r="M386" s="12"/>
      <c r="N386" s="12"/>
      <c r="O386" s="12"/>
      <c r="P386" s="16" t="str">
        <f aca="false">IF(K386&lt;&gt;"",P385+K386,IF(B386&lt;&gt;"",P385,""))</f>
        <v/>
      </c>
      <c r="Q386" s="17" t="str">
        <f aca="false">IF(P386&lt;&gt;"",MIN(0,P386-MAX($P$4:P386)),"")</f>
        <v/>
      </c>
    </row>
    <row r="387" customFormat="false" ht="15" hidden="false" customHeight="true" outlineLevel="0" collapsed="false">
      <c r="A387" s="11" t="str">
        <f aca="false">IF(B387&lt;&gt;"",COUNTA($B$4:B387),"")</f>
        <v/>
      </c>
      <c r="B387" s="20"/>
      <c r="C387" s="20"/>
      <c r="D387" s="20"/>
      <c r="E387" s="20"/>
      <c r="F387" s="20"/>
      <c r="G387" s="20"/>
      <c r="H387" s="20"/>
      <c r="I387" s="21"/>
      <c r="J387" s="20"/>
      <c r="K387" s="14" t="str">
        <f aca="false">IF(AND(I387&lt;&gt;"",H387&lt;&gt;"",J387&lt;&gt;""),IF(J387="W",I387*H387,IF(J387="L",-I387,IF(J387="P",I387*H387*0.5,""))),"")</f>
        <v/>
      </c>
      <c r="L387" s="15" t="str">
        <f aca="false">IF(AND(K387&lt;&gt;"",P386&lt;&gt;""),K387/P386,IF(K387&lt;&gt;"",K387/$D$2,""))</f>
        <v/>
      </c>
      <c r="M387" s="20"/>
      <c r="N387" s="20"/>
      <c r="O387" s="20"/>
      <c r="P387" s="16" t="str">
        <f aca="false">IF(K387&lt;&gt;"",P386+K387,IF(B387&lt;&gt;"",P386,""))</f>
        <v/>
      </c>
      <c r="Q387" s="17" t="str">
        <f aca="false">IF(P387&lt;&gt;"",MIN(0,P387-MAX($P$4:P387)),"")</f>
        <v/>
      </c>
    </row>
    <row r="388" customFormat="false" ht="15" hidden="false" customHeight="true" outlineLevel="0" collapsed="false">
      <c r="A388" s="11" t="str">
        <f aca="false">IF(B388&lt;&gt;"",COUNTA($B$4:B388),"")</f>
        <v/>
      </c>
      <c r="B388" s="12"/>
      <c r="C388" s="12"/>
      <c r="D388" s="12"/>
      <c r="E388" s="12"/>
      <c r="F388" s="12"/>
      <c r="G388" s="12"/>
      <c r="H388" s="12"/>
      <c r="I388" s="13"/>
      <c r="J388" s="12"/>
      <c r="K388" s="14" t="str">
        <f aca="false">IF(AND(I388&lt;&gt;"",H388&lt;&gt;"",J388&lt;&gt;""),IF(J388="W",I388*H388,IF(J388="L",-I388,IF(J388="P",I388*H388*0.5,""))),"")</f>
        <v/>
      </c>
      <c r="L388" s="15" t="str">
        <f aca="false">IF(AND(K388&lt;&gt;"",P387&lt;&gt;""),K388/P387,IF(K388&lt;&gt;"",K388/$D$2,""))</f>
        <v/>
      </c>
      <c r="M388" s="12"/>
      <c r="N388" s="12"/>
      <c r="O388" s="12"/>
      <c r="P388" s="16" t="str">
        <f aca="false">IF(K388&lt;&gt;"",P387+K388,IF(B388&lt;&gt;"",P387,""))</f>
        <v/>
      </c>
      <c r="Q388" s="17" t="str">
        <f aca="false">IF(P388&lt;&gt;"",MIN(0,P388-MAX($P$4:P388)),"")</f>
        <v/>
      </c>
    </row>
    <row r="389" customFormat="false" ht="15" hidden="false" customHeight="true" outlineLevel="0" collapsed="false">
      <c r="A389" s="11" t="str">
        <f aca="false">IF(B389&lt;&gt;"",COUNTA($B$4:B389),"")</f>
        <v/>
      </c>
      <c r="B389" s="20"/>
      <c r="C389" s="20"/>
      <c r="D389" s="20"/>
      <c r="E389" s="20"/>
      <c r="F389" s="20"/>
      <c r="G389" s="20"/>
      <c r="H389" s="20"/>
      <c r="I389" s="21"/>
      <c r="J389" s="20"/>
      <c r="K389" s="14" t="str">
        <f aca="false">IF(AND(I389&lt;&gt;"",H389&lt;&gt;"",J389&lt;&gt;""),IF(J389="W",I389*H389,IF(J389="L",-I389,IF(J389="P",I389*H389*0.5,""))),"")</f>
        <v/>
      </c>
      <c r="L389" s="15" t="str">
        <f aca="false">IF(AND(K389&lt;&gt;"",P388&lt;&gt;""),K389/P388,IF(K389&lt;&gt;"",K389/$D$2,""))</f>
        <v/>
      </c>
      <c r="M389" s="20"/>
      <c r="N389" s="20"/>
      <c r="O389" s="20"/>
      <c r="P389" s="16" t="str">
        <f aca="false">IF(K389&lt;&gt;"",P388+K389,IF(B389&lt;&gt;"",P388,""))</f>
        <v/>
      </c>
      <c r="Q389" s="17" t="str">
        <f aca="false">IF(P389&lt;&gt;"",MIN(0,P389-MAX($P$4:P389)),"")</f>
        <v/>
      </c>
    </row>
    <row r="390" customFormat="false" ht="15" hidden="false" customHeight="true" outlineLevel="0" collapsed="false">
      <c r="A390" s="11" t="str">
        <f aca="false">IF(B390&lt;&gt;"",COUNTA($B$4:B390),"")</f>
        <v/>
      </c>
      <c r="B390" s="12"/>
      <c r="C390" s="12"/>
      <c r="D390" s="12"/>
      <c r="E390" s="12"/>
      <c r="F390" s="12"/>
      <c r="G390" s="12"/>
      <c r="H390" s="12"/>
      <c r="I390" s="13"/>
      <c r="J390" s="12"/>
      <c r="K390" s="14" t="str">
        <f aca="false">IF(AND(I390&lt;&gt;"",H390&lt;&gt;"",J390&lt;&gt;""),IF(J390="W",I390*H390,IF(J390="L",-I390,IF(J390="P",I390*H390*0.5,""))),"")</f>
        <v/>
      </c>
      <c r="L390" s="15" t="str">
        <f aca="false">IF(AND(K390&lt;&gt;"",P389&lt;&gt;""),K390/P389,IF(K390&lt;&gt;"",K390/$D$2,""))</f>
        <v/>
      </c>
      <c r="M390" s="12"/>
      <c r="N390" s="12"/>
      <c r="O390" s="12"/>
      <c r="P390" s="16" t="str">
        <f aca="false">IF(K390&lt;&gt;"",P389+K390,IF(B390&lt;&gt;"",P389,""))</f>
        <v/>
      </c>
      <c r="Q390" s="17" t="str">
        <f aca="false">IF(P390&lt;&gt;"",MIN(0,P390-MAX($P$4:P390)),"")</f>
        <v/>
      </c>
    </row>
    <row r="391" customFormat="false" ht="15" hidden="false" customHeight="true" outlineLevel="0" collapsed="false">
      <c r="A391" s="11" t="str">
        <f aca="false">IF(B391&lt;&gt;"",COUNTA($B$4:B391),"")</f>
        <v/>
      </c>
      <c r="B391" s="20"/>
      <c r="C391" s="20"/>
      <c r="D391" s="20"/>
      <c r="E391" s="20"/>
      <c r="F391" s="20"/>
      <c r="G391" s="20"/>
      <c r="H391" s="20"/>
      <c r="I391" s="21"/>
      <c r="J391" s="20"/>
      <c r="K391" s="14" t="str">
        <f aca="false">IF(AND(I391&lt;&gt;"",H391&lt;&gt;"",J391&lt;&gt;""),IF(J391="W",I391*H391,IF(J391="L",-I391,IF(J391="P",I391*H391*0.5,""))),"")</f>
        <v/>
      </c>
      <c r="L391" s="15" t="str">
        <f aca="false">IF(AND(K391&lt;&gt;"",P390&lt;&gt;""),K391/P390,IF(K391&lt;&gt;"",K391/$D$2,""))</f>
        <v/>
      </c>
      <c r="M391" s="20"/>
      <c r="N391" s="20"/>
      <c r="O391" s="20"/>
      <c r="P391" s="16" t="str">
        <f aca="false">IF(K391&lt;&gt;"",P390+K391,IF(B391&lt;&gt;"",P390,""))</f>
        <v/>
      </c>
      <c r="Q391" s="17" t="str">
        <f aca="false">IF(P391&lt;&gt;"",MIN(0,P391-MAX($P$4:P391)),"")</f>
        <v/>
      </c>
    </row>
    <row r="392" customFormat="false" ht="15" hidden="false" customHeight="true" outlineLevel="0" collapsed="false">
      <c r="A392" s="11" t="str">
        <f aca="false">IF(B392&lt;&gt;"",COUNTA($B$4:B392),"")</f>
        <v/>
      </c>
      <c r="B392" s="12"/>
      <c r="C392" s="12"/>
      <c r="D392" s="12"/>
      <c r="E392" s="12"/>
      <c r="F392" s="12"/>
      <c r="G392" s="12"/>
      <c r="H392" s="12"/>
      <c r="I392" s="13"/>
      <c r="J392" s="12"/>
      <c r="K392" s="14" t="str">
        <f aca="false">IF(AND(I392&lt;&gt;"",H392&lt;&gt;"",J392&lt;&gt;""),IF(J392="W",I392*H392,IF(J392="L",-I392,IF(J392="P",I392*H392*0.5,""))),"")</f>
        <v/>
      </c>
      <c r="L392" s="15" t="str">
        <f aca="false">IF(AND(K392&lt;&gt;"",P391&lt;&gt;""),K392/P391,IF(K392&lt;&gt;"",K392/$D$2,""))</f>
        <v/>
      </c>
      <c r="M392" s="12"/>
      <c r="N392" s="12"/>
      <c r="O392" s="12"/>
      <c r="P392" s="16" t="str">
        <f aca="false">IF(K392&lt;&gt;"",P391+K392,IF(B392&lt;&gt;"",P391,""))</f>
        <v/>
      </c>
      <c r="Q392" s="17" t="str">
        <f aca="false">IF(P392&lt;&gt;"",MIN(0,P392-MAX($P$4:P392)),"")</f>
        <v/>
      </c>
    </row>
    <row r="393" customFormat="false" ht="15" hidden="false" customHeight="true" outlineLevel="0" collapsed="false">
      <c r="A393" s="11" t="str">
        <f aca="false">IF(B393&lt;&gt;"",COUNTA($B$4:B393),"")</f>
        <v/>
      </c>
      <c r="B393" s="20"/>
      <c r="C393" s="20"/>
      <c r="D393" s="20"/>
      <c r="E393" s="20"/>
      <c r="F393" s="20"/>
      <c r="G393" s="20"/>
      <c r="H393" s="20"/>
      <c r="I393" s="21"/>
      <c r="J393" s="20"/>
      <c r="K393" s="14" t="str">
        <f aca="false">IF(AND(I393&lt;&gt;"",H393&lt;&gt;"",J393&lt;&gt;""),IF(J393="W",I393*H393,IF(J393="L",-I393,IF(J393="P",I393*H393*0.5,""))),"")</f>
        <v/>
      </c>
      <c r="L393" s="15" t="str">
        <f aca="false">IF(AND(K393&lt;&gt;"",P392&lt;&gt;""),K393/P392,IF(K393&lt;&gt;"",K393/$D$2,""))</f>
        <v/>
      </c>
      <c r="M393" s="20"/>
      <c r="N393" s="20"/>
      <c r="O393" s="20"/>
      <c r="P393" s="16" t="str">
        <f aca="false">IF(K393&lt;&gt;"",P392+K393,IF(B393&lt;&gt;"",P392,""))</f>
        <v/>
      </c>
      <c r="Q393" s="17" t="str">
        <f aca="false">IF(P393&lt;&gt;"",MIN(0,P393-MAX($P$4:P393)),"")</f>
        <v/>
      </c>
    </row>
    <row r="394" customFormat="false" ht="15" hidden="false" customHeight="true" outlineLevel="0" collapsed="false">
      <c r="A394" s="11" t="str">
        <f aca="false">IF(B394&lt;&gt;"",COUNTA($B$4:B394),"")</f>
        <v/>
      </c>
      <c r="B394" s="12"/>
      <c r="C394" s="12"/>
      <c r="D394" s="12"/>
      <c r="E394" s="12"/>
      <c r="F394" s="12"/>
      <c r="G394" s="12"/>
      <c r="H394" s="12"/>
      <c r="I394" s="13"/>
      <c r="J394" s="12"/>
      <c r="K394" s="14" t="str">
        <f aca="false">IF(AND(I394&lt;&gt;"",H394&lt;&gt;"",J394&lt;&gt;""),IF(J394="W",I394*H394,IF(J394="L",-I394,IF(J394="P",I394*H394*0.5,""))),"")</f>
        <v/>
      </c>
      <c r="L394" s="15" t="str">
        <f aca="false">IF(AND(K394&lt;&gt;"",P393&lt;&gt;""),K394/P393,IF(K394&lt;&gt;"",K394/$D$2,""))</f>
        <v/>
      </c>
      <c r="M394" s="12"/>
      <c r="N394" s="12"/>
      <c r="O394" s="12"/>
      <c r="P394" s="16" t="str">
        <f aca="false">IF(K394&lt;&gt;"",P393+K394,IF(B394&lt;&gt;"",P393,""))</f>
        <v/>
      </c>
      <c r="Q394" s="17" t="str">
        <f aca="false">IF(P394&lt;&gt;"",MIN(0,P394-MAX($P$4:P394)),"")</f>
        <v/>
      </c>
    </row>
    <row r="395" customFormat="false" ht="15" hidden="false" customHeight="true" outlineLevel="0" collapsed="false">
      <c r="A395" s="11" t="str">
        <f aca="false">IF(B395&lt;&gt;"",COUNTA($B$4:B395),"")</f>
        <v/>
      </c>
      <c r="B395" s="20"/>
      <c r="C395" s="20"/>
      <c r="D395" s="20"/>
      <c r="E395" s="20"/>
      <c r="F395" s="20"/>
      <c r="G395" s="20"/>
      <c r="H395" s="20"/>
      <c r="I395" s="21"/>
      <c r="J395" s="20"/>
      <c r="K395" s="14" t="str">
        <f aca="false">IF(AND(I395&lt;&gt;"",H395&lt;&gt;"",J395&lt;&gt;""),IF(J395="W",I395*H395,IF(J395="L",-I395,IF(J395="P",I395*H395*0.5,""))),"")</f>
        <v/>
      </c>
      <c r="L395" s="15" t="str">
        <f aca="false">IF(AND(K395&lt;&gt;"",P394&lt;&gt;""),K395/P394,IF(K395&lt;&gt;"",K395/$D$2,""))</f>
        <v/>
      </c>
      <c r="M395" s="20"/>
      <c r="N395" s="20"/>
      <c r="O395" s="20"/>
      <c r="P395" s="16" t="str">
        <f aca="false">IF(K395&lt;&gt;"",P394+K395,IF(B395&lt;&gt;"",P394,""))</f>
        <v/>
      </c>
      <c r="Q395" s="17" t="str">
        <f aca="false">IF(P395&lt;&gt;"",MIN(0,P395-MAX($P$4:P395)),"")</f>
        <v/>
      </c>
    </row>
    <row r="396" customFormat="false" ht="15" hidden="false" customHeight="true" outlineLevel="0" collapsed="false">
      <c r="A396" s="11" t="str">
        <f aca="false">IF(B396&lt;&gt;"",COUNTA($B$4:B396),"")</f>
        <v/>
      </c>
      <c r="B396" s="12"/>
      <c r="C396" s="12"/>
      <c r="D396" s="12"/>
      <c r="E396" s="12"/>
      <c r="F396" s="12"/>
      <c r="G396" s="12"/>
      <c r="H396" s="12"/>
      <c r="I396" s="13"/>
      <c r="J396" s="12"/>
      <c r="K396" s="14" t="str">
        <f aca="false">IF(AND(I396&lt;&gt;"",H396&lt;&gt;"",J396&lt;&gt;""),IF(J396="W",I396*H396,IF(J396="L",-I396,IF(J396="P",I396*H396*0.5,""))),"")</f>
        <v/>
      </c>
      <c r="L396" s="15" t="str">
        <f aca="false">IF(AND(K396&lt;&gt;"",P395&lt;&gt;""),K396/P395,IF(K396&lt;&gt;"",K396/$D$2,""))</f>
        <v/>
      </c>
      <c r="M396" s="12"/>
      <c r="N396" s="12"/>
      <c r="O396" s="12"/>
      <c r="P396" s="16" t="str">
        <f aca="false">IF(K396&lt;&gt;"",P395+K396,IF(B396&lt;&gt;"",P395,""))</f>
        <v/>
      </c>
      <c r="Q396" s="17" t="str">
        <f aca="false">IF(P396&lt;&gt;"",MIN(0,P396-MAX($P$4:P396)),"")</f>
        <v/>
      </c>
    </row>
    <row r="397" customFormat="false" ht="15" hidden="false" customHeight="true" outlineLevel="0" collapsed="false">
      <c r="A397" s="11" t="str">
        <f aca="false">IF(B397&lt;&gt;"",COUNTA($B$4:B397),"")</f>
        <v/>
      </c>
      <c r="B397" s="20"/>
      <c r="C397" s="20"/>
      <c r="D397" s="20"/>
      <c r="E397" s="20"/>
      <c r="F397" s="20"/>
      <c r="G397" s="20"/>
      <c r="H397" s="20"/>
      <c r="I397" s="21"/>
      <c r="J397" s="20"/>
      <c r="K397" s="14" t="str">
        <f aca="false">IF(AND(I397&lt;&gt;"",H397&lt;&gt;"",J397&lt;&gt;""),IF(J397="W",I397*H397,IF(J397="L",-I397,IF(J397="P",I397*H397*0.5,""))),"")</f>
        <v/>
      </c>
      <c r="L397" s="15" t="str">
        <f aca="false">IF(AND(K397&lt;&gt;"",P396&lt;&gt;""),K397/P396,IF(K397&lt;&gt;"",K397/$D$2,""))</f>
        <v/>
      </c>
      <c r="M397" s="20"/>
      <c r="N397" s="20"/>
      <c r="O397" s="20"/>
      <c r="P397" s="16" t="str">
        <f aca="false">IF(K397&lt;&gt;"",P396+K397,IF(B397&lt;&gt;"",P396,""))</f>
        <v/>
      </c>
      <c r="Q397" s="17" t="str">
        <f aca="false">IF(P397&lt;&gt;"",MIN(0,P397-MAX($P$4:P397)),"")</f>
        <v/>
      </c>
    </row>
    <row r="398" customFormat="false" ht="15" hidden="false" customHeight="true" outlineLevel="0" collapsed="false">
      <c r="A398" s="11" t="str">
        <f aca="false">IF(B398&lt;&gt;"",COUNTA($B$4:B398),"")</f>
        <v/>
      </c>
      <c r="B398" s="12"/>
      <c r="C398" s="12"/>
      <c r="D398" s="12"/>
      <c r="E398" s="12"/>
      <c r="F398" s="12"/>
      <c r="G398" s="12"/>
      <c r="H398" s="12"/>
      <c r="I398" s="13"/>
      <c r="J398" s="12"/>
      <c r="K398" s="14" t="str">
        <f aca="false">IF(AND(I398&lt;&gt;"",H398&lt;&gt;"",J398&lt;&gt;""),IF(J398="W",I398*H398,IF(J398="L",-I398,IF(J398="P",I398*H398*0.5,""))),"")</f>
        <v/>
      </c>
      <c r="L398" s="15" t="str">
        <f aca="false">IF(AND(K398&lt;&gt;"",P397&lt;&gt;""),K398/P397,IF(K398&lt;&gt;"",K398/$D$2,""))</f>
        <v/>
      </c>
      <c r="M398" s="12"/>
      <c r="N398" s="12"/>
      <c r="O398" s="12"/>
      <c r="P398" s="16" t="str">
        <f aca="false">IF(K398&lt;&gt;"",P397+K398,IF(B398&lt;&gt;"",P397,""))</f>
        <v/>
      </c>
      <c r="Q398" s="17" t="str">
        <f aca="false">IF(P398&lt;&gt;"",MIN(0,P398-MAX($P$4:P398)),"")</f>
        <v/>
      </c>
    </row>
    <row r="399" customFormat="false" ht="15" hidden="false" customHeight="true" outlineLevel="0" collapsed="false">
      <c r="A399" s="11" t="str">
        <f aca="false">IF(B399&lt;&gt;"",COUNTA($B$4:B399),"")</f>
        <v/>
      </c>
      <c r="B399" s="20"/>
      <c r="C399" s="20"/>
      <c r="D399" s="20"/>
      <c r="E399" s="20"/>
      <c r="F399" s="20"/>
      <c r="G399" s="20"/>
      <c r="H399" s="20"/>
      <c r="I399" s="21"/>
      <c r="J399" s="20"/>
      <c r="K399" s="14" t="str">
        <f aca="false">IF(AND(I399&lt;&gt;"",H399&lt;&gt;"",J399&lt;&gt;""),IF(J399="W",I399*H399,IF(J399="L",-I399,IF(J399="P",I399*H399*0.5,""))),"")</f>
        <v/>
      </c>
      <c r="L399" s="15" t="str">
        <f aca="false">IF(AND(K399&lt;&gt;"",P398&lt;&gt;""),K399/P398,IF(K399&lt;&gt;"",K399/$D$2,""))</f>
        <v/>
      </c>
      <c r="M399" s="20"/>
      <c r="N399" s="20"/>
      <c r="O399" s="20"/>
      <c r="P399" s="16" t="str">
        <f aca="false">IF(K399&lt;&gt;"",P398+K399,IF(B399&lt;&gt;"",P398,""))</f>
        <v/>
      </c>
      <c r="Q399" s="17" t="str">
        <f aca="false">IF(P399&lt;&gt;"",MIN(0,P399-MAX($P$4:P399)),"")</f>
        <v/>
      </c>
    </row>
    <row r="400" customFormat="false" ht="15" hidden="false" customHeight="true" outlineLevel="0" collapsed="false">
      <c r="A400" s="11" t="str">
        <f aca="false">IF(B400&lt;&gt;"",COUNTA($B$4:B400),"")</f>
        <v/>
      </c>
      <c r="B400" s="12"/>
      <c r="C400" s="12"/>
      <c r="D400" s="12"/>
      <c r="E400" s="12"/>
      <c r="F400" s="12"/>
      <c r="G400" s="12"/>
      <c r="H400" s="12"/>
      <c r="I400" s="13"/>
      <c r="J400" s="12"/>
      <c r="K400" s="14" t="str">
        <f aca="false">IF(AND(I400&lt;&gt;"",H400&lt;&gt;"",J400&lt;&gt;""),IF(J400="W",I400*H400,IF(J400="L",-I400,IF(J400="P",I400*H400*0.5,""))),"")</f>
        <v/>
      </c>
      <c r="L400" s="15" t="str">
        <f aca="false">IF(AND(K400&lt;&gt;"",P399&lt;&gt;""),K400/P399,IF(K400&lt;&gt;"",K400/$D$2,""))</f>
        <v/>
      </c>
      <c r="M400" s="12"/>
      <c r="N400" s="12"/>
      <c r="O400" s="12"/>
      <c r="P400" s="16" t="str">
        <f aca="false">IF(K400&lt;&gt;"",P399+K400,IF(B400&lt;&gt;"",P399,""))</f>
        <v/>
      </c>
      <c r="Q400" s="17" t="str">
        <f aca="false">IF(P400&lt;&gt;"",MIN(0,P400-MAX($P$4:P400)),"")</f>
        <v/>
      </c>
    </row>
    <row r="401" customFormat="false" ht="15" hidden="false" customHeight="true" outlineLevel="0" collapsed="false">
      <c r="A401" s="11" t="str">
        <f aca="false">IF(B401&lt;&gt;"",COUNTA($B$4:B401),"")</f>
        <v/>
      </c>
      <c r="B401" s="20"/>
      <c r="C401" s="20"/>
      <c r="D401" s="20"/>
      <c r="E401" s="20"/>
      <c r="F401" s="20"/>
      <c r="G401" s="20"/>
      <c r="H401" s="20"/>
      <c r="I401" s="21"/>
      <c r="J401" s="20"/>
      <c r="K401" s="14" t="str">
        <f aca="false">IF(AND(I401&lt;&gt;"",H401&lt;&gt;"",J401&lt;&gt;""),IF(J401="W",I401*H401,IF(J401="L",-I401,IF(J401="P",I401*H401*0.5,""))),"")</f>
        <v/>
      </c>
      <c r="L401" s="15" t="str">
        <f aca="false">IF(AND(K401&lt;&gt;"",P400&lt;&gt;""),K401/P400,IF(K401&lt;&gt;"",K401/$D$2,""))</f>
        <v/>
      </c>
      <c r="M401" s="20"/>
      <c r="N401" s="20"/>
      <c r="O401" s="20"/>
      <c r="P401" s="16" t="str">
        <f aca="false">IF(K401&lt;&gt;"",P400+K401,IF(B401&lt;&gt;"",P400,""))</f>
        <v/>
      </c>
      <c r="Q401" s="17" t="str">
        <f aca="false">IF(P401&lt;&gt;"",MIN(0,P401-MAX($P$4:P401)),"")</f>
        <v/>
      </c>
    </row>
    <row r="402" customFormat="false" ht="15" hidden="false" customHeight="true" outlineLevel="0" collapsed="false">
      <c r="A402" s="11" t="str">
        <f aca="false">IF(B402&lt;&gt;"",COUNTA($B$4:B402),"")</f>
        <v/>
      </c>
      <c r="B402" s="12"/>
      <c r="C402" s="12"/>
      <c r="D402" s="12"/>
      <c r="E402" s="12"/>
      <c r="F402" s="12"/>
      <c r="G402" s="12"/>
      <c r="H402" s="12"/>
      <c r="I402" s="13"/>
      <c r="J402" s="12"/>
      <c r="K402" s="14" t="str">
        <f aca="false">IF(AND(I402&lt;&gt;"",H402&lt;&gt;"",J402&lt;&gt;""),IF(J402="W",I402*H402,IF(J402="L",-I402,IF(J402="P",I402*H402*0.5,""))),"")</f>
        <v/>
      </c>
      <c r="L402" s="15" t="str">
        <f aca="false">IF(AND(K402&lt;&gt;"",P401&lt;&gt;""),K402/P401,IF(K402&lt;&gt;"",K402/$D$2,""))</f>
        <v/>
      </c>
      <c r="M402" s="12"/>
      <c r="N402" s="12"/>
      <c r="O402" s="12"/>
      <c r="P402" s="16" t="str">
        <f aca="false">IF(K402&lt;&gt;"",P401+K402,IF(B402&lt;&gt;"",P401,""))</f>
        <v/>
      </c>
      <c r="Q402" s="17" t="str">
        <f aca="false">IF(P402&lt;&gt;"",MIN(0,P402-MAX($P$4:P402)),"")</f>
        <v/>
      </c>
    </row>
    <row r="403" customFormat="false" ht="15" hidden="false" customHeight="true" outlineLevel="0" collapsed="false">
      <c r="A403" s="11" t="str">
        <f aca="false">IF(B403&lt;&gt;"",COUNTA($B$4:B403),"")</f>
        <v/>
      </c>
      <c r="B403" s="20"/>
      <c r="C403" s="20"/>
      <c r="D403" s="20"/>
      <c r="E403" s="20"/>
      <c r="F403" s="20"/>
      <c r="G403" s="20"/>
      <c r="H403" s="20"/>
      <c r="I403" s="21"/>
      <c r="J403" s="20"/>
      <c r="K403" s="14" t="str">
        <f aca="false">IF(AND(I403&lt;&gt;"",H403&lt;&gt;"",J403&lt;&gt;""),IF(J403="W",I403*H403,IF(J403="L",-I403,IF(J403="P",I403*H403*0.5,""))),"")</f>
        <v/>
      </c>
      <c r="L403" s="15" t="str">
        <f aca="false">IF(AND(K403&lt;&gt;"",P402&lt;&gt;""),K403/P402,IF(K403&lt;&gt;"",K403/$D$2,""))</f>
        <v/>
      </c>
      <c r="M403" s="20"/>
      <c r="N403" s="20"/>
      <c r="O403" s="20"/>
      <c r="P403" s="16" t="str">
        <f aca="false">IF(K403&lt;&gt;"",P402+K403,IF(B403&lt;&gt;"",P402,""))</f>
        <v/>
      </c>
      <c r="Q403" s="17" t="str">
        <f aca="false">IF(P403&lt;&gt;"",MIN(0,P403-MAX($P$4:P403)),"")</f>
        <v/>
      </c>
    </row>
    <row r="404" customFormat="false" ht="15" hidden="false" customHeight="true" outlineLevel="0" collapsed="false">
      <c r="A404" s="11" t="str">
        <f aca="false">IF(B404&lt;&gt;"",COUNTA($B$4:B404),"")</f>
        <v/>
      </c>
      <c r="B404" s="12"/>
      <c r="C404" s="12"/>
      <c r="D404" s="12"/>
      <c r="E404" s="12"/>
      <c r="F404" s="12"/>
      <c r="G404" s="12"/>
      <c r="H404" s="12"/>
      <c r="I404" s="13"/>
      <c r="J404" s="12"/>
      <c r="K404" s="14" t="str">
        <f aca="false">IF(AND(I404&lt;&gt;"",H404&lt;&gt;"",J404&lt;&gt;""),IF(J404="W",I404*H404,IF(J404="L",-I404,IF(J404="P",I404*H404*0.5,""))),"")</f>
        <v/>
      </c>
      <c r="L404" s="15" t="str">
        <f aca="false">IF(AND(K404&lt;&gt;"",P403&lt;&gt;""),K404/P403,IF(K404&lt;&gt;"",K404/$D$2,""))</f>
        <v/>
      </c>
      <c r="M404" s="12"/>
      <c r="N404" s="12"/>
      <c r="O404" s="12"/>
      <c r="P404" s="16" t="str">
        <f aca="false">IF(K404&lt;&gt;"",P403+K404,IF(B404&lt;&gt;"",P403,""))</f>
        <v/>
      </c>
      <c r="Q404" s="17" t="str">
        <f aca="false">IF(P404&lt;&gt;"",MIN(0,P404-MAX($P$4:P404)),"")</f>
        <v/>
      </c>
    </row>
    <row r="405" customFormat="false" ht="15" hidden="false" customHeight="true" outlineLevel="0" collapsed="false">
      <c r="A405" s="11" t="str">
        <f aca="false">IF(B405&lt;&gt;"",COUNTA($B$4:B405),"")</f>
        <v/>
      </c>
      <c r="B405" s="20"/>
      <c r="C405" s="20"/>
      <c r="D405" s="20"/>
      <c r="E405" s="20"/>
      <c r="F405" s="20"/>
      <c r="G405" s="20"/>
      <c r="H405" s="20"/>
      <c r="I405" s="21"/>
      <c r="J405" s="20"/>
      <c r="K405" s="14" t="str">
        <f aca="false">IF(AND(I405&lt;&gt;"",H405&lt;&gt;"",J405&lt;&gt;""),IF(J405="W",I405*H405,IF(J405="L",-I405,IF(J405="P",I405*H405*0.5,""))),"")</f>
        <v/>
      </c>
      <c r="L405" s="15" t="str">
        <f aca="false">IF(AND(K405&lt;&gt;"",P404&lt;&gt;""),K405/P404,IF(K405&lt;&gt;"",K405/$D$2,""))</f>
        <v/>
      </c>
      <c r="M405" s="20"/>
      <c r="N405" s="20"/>
      <c r="O405" s="20"/>
      <c r="P405" s="16" t="str">
        <f aca="false">IF(K405&lt;&gt;"",P404+K405,IF(B405&lt;&gt;"",P404,""))</f>
        <v/>
      </c>
      <c r="Q405" s="17" t="str">
        <f aca="false">IF(P405&lt;&gt;"",MIN(0,P405-MAX($P$4:P405)),"")</f>
        <v/>
      </c>
    </row>
    <row r="406" customFormat="false" ht="15" hidden="false" customHeight="true" outlineLevel="0" collapsed="false">
      <c r="A406" s="11" t="str">
        <f aca="false">IF(B406&lt;&gt;"",COUNTA($B$4:B406),"")</f>
        <v/>
      </c>
      <c r="B406" s="12"/>
      <c r="C406" s="12"/>
      <c r="D406" s="12"/>
      <c r="E406" s="12"/>
      <c r="F406" s="12"/>
      <c r="G406" s="12"/>
      <c r="H406" s="12"/>
      <c r="I406" s="13"/>
      <c r="J406" s="12"/>
      <c r="K406" s="14" t="str">
        <f aca="false">IF(AND(I406&lt;&gt;"",H406&lt;&gt;"",J406&lt;&gt;""),IF(J406="W",I406*H406,IF(J406="L",-I406,IF(J406="P",I406*H406*0.5,""))),"")</f>
        <v/>
      </c>
      <c r="L406" s="15" t="str">
        <f aca="false">IF(AND(K406&lt;&gt;"",P405&lt;&gt;""),K406/P405,IF(K406&lt;&gt;"",K406/$D$2,""))</f>
        <v/>
      </c>
      <c r="M406" s="12"/>
      <c r="N406" s="12"/>
      <c r="O406" s="12"/>
      <c r="P406" s="16" t="str">
        <f aca="false">IF(K406&lt;&gt;"",P405+K406,IF(B406&lt;&gt;"",P405,""))</f>
        <v/>
      </c>
      <c r="Q406" s="17" t="str">
        <f aca="false">IF(P406&lt;&gt;"",MIN(0,P406-MAX($P$4:P406)),"")</f>
        <v/>
      </c>
    </row>
    <row r="407" customFormat="false" ht="15" hidden="false" customHeight="true" outlineLevel="0" collapsed="false">
      <c r="A407" s="11" t="str">
        <f aca="false">IF(B407&lt;&gt;"",COUNTA($B$4:B407),"")</f>
        <v/>
      </c>
      <c r="B407" s="20"/>
      <c r="C407" s="20"/>
      <c r="D407" s="20"/>
      <c r="E407" s="20"/>
      <c r="F407" s="20"/>
      <c r="G407" s="20"/>
      <c r="H407" s="20"/>
      <c r="I407" s="21"/>
      <c r="J407" s="20"/>
      <c r="K407" s="14" t="str">
        <f aca="false">IF(AND(I407&lt;&gt;"",H407&lt;&gt;"",J407&lt;&gt;""),IF(J407="W",I407*H407,IF(J407="L",-I407,IF(J407="P",I407*H407*0.5,""))),"")</f>
        <v/>
      </c>
      <c r="L407" s="15" t="str">
        <f aca="false">IF(AND(K407&lt;&gt;"",P406&lt;&gt;""),K407/P406,IF(K407&lt;&gt;"",K407/$D$2,""))</f>
        <v/>
      </c>
      <c r="M407" s="20"/>
      <c r="N407" s="20"/>
      <c r="O407" s="20"/>
      <c r="P407" s="16" t="str">
        <f aca="false">IF(K407&lt;&gt;"",P406+K407,IF(B407&lt;&gt;"",P406,""))</f>
        <v/>
      </c>
      <c r="Q407" s="17" t="str">
        <f aca="false">IF(P407&lt;&gt;"",MIN(0,P407-MAX($P$4:P407)),"")</f>
        <v/>
      </c>
    </row>
    <row r="408" customFormat="false" ht="15" hidden="false" customHeight="true" outlineLevel="0" collapsed="false">
      <c r="A408" s="11" t="str">
        <f aca="false">IF(B408&lt;&gt;"",COUNTA($B$4:B408),"")</f>
        <v/>
      </c>
      <c r="B408" s="12"/>
      <c r="C408" s="12"/>
      <c r="D408" s="12"/>
      <c r="E408" s="12"/>
      <c r="F408" s="12"/>
      <c r="G408" s="12"/>
      <c r="H408" s="12"/>
      <c r="I408" s="13"/>
      <c r="J408" s="12"/>
      <c r="K408" s="14" t="str">
        <f aca="false">IF(AND(I408&lt;&gt;"",H408&lt;&gt;"",J408&lt;&gt;""),IF(J408="W",I408*H408,IF(J408="L",-I408,IF(J408="P",I408*H408*0.5,""))),"")</f>
        <v/>
      </c>
      <c r="L408" s="15" t="str">
        <f aca="false">IF(AND(K408&lt;&gt;"",P407&lt;&gt;""),K408/P407,IF(K408&lt;&gt;"",K408/$D$2,""))</f>
        <v/>
      </c>
      <c r="M408" s="12"/>
      <c r="N408" s="12"/>
      <c r="O408" s="12"/>
      <c r="P408" s="16" t="str">
        <f aca="false">IF(K408&lt;&gt;"",P407+K408,IF(B408&lt;&gt;"",P407,""))</f>
        <v/>
      </c>
      <c r="Q408" s="17" t="str">
        <f aca="false">IF(P408&lt;&gt;"",MIN(0,P408-MAX($P$4:P408)),"")</f>
        <v/>
      </c>
    </row>
    <row r="409" customFormat="false" ht="15" hidden="false" customHeight="true" outlineLevel="0" collapsed="false">
      <c r="A409" s="11" t="str">
        <f aca="false">IF(B409&lt;&gt;"",COUNTA($B$4:B409),"")</f>
        <v/>
      </c>
      <c r="B409" s="20"/>
      <c r="C409" s="20"/>
      <c r="D409" s="20"/>
      <c r="E409" s="20"/>
      <c r="F409" s="20"/>
      <c r="G409" s="20"/>
      <c r="H409" s="20"/>
      <c r="I409" s="21"/>
      <c r="J409" s="20"/>
      <c r="K409" s="14" t="str">
        <f aca="false">IF(AND(I409&lt;&gt;"",H409&lt;&gt;"",J409&lt;&gt;""),IF(J409="W",I409*H409,IF(J409="L",-I409,IF(J409="P",I409*H409*0.5,""))),"")</f>
        <v/>
      </c>
      <c r="L409" s="15" t="str">
        <f aca="false">IF(AND(K409&lt;&gt;"",P408&lt;&gt;""),K409/P408,IF(K409&lt;&gt;"",K409/$D$2,""))</f>
        <v/>
      </c>
      <c r="M409" s="20"/>
      <c r="N409" s="20"/>
      <c r="O409" s="20"/>
      <c r="P409" s="16" t="str">
        <f aca="false">IF(K409&lt;&gt;"",P408+K409,IF(B409&lt;&gt;"",P408,""))</f>
        <v/>
      </c>
      <c r="Q409" s="17" t="str">
        <f aca="false">IF(P409&lt;&gt;"",MIN(0,P409-MAX($P$4:P409)),"")</f>
        <v/>
      </c>
    </row>
    <row r="410" customFormat="false" ht="15" hidden="false" customHeight="true" outlineLevel="0" collapsed="false">
      <c r="A410" s="11" t="str">
        <f aca="false">IF(B410&lt;&gt;"",COUNTA($B$4:B410),"")</f>
        <v/>
      </c>
      <c r="B410" s="12"/>
      <c r="C410" s="12"/>
      <c r="D410" s="12"/>
      <c r="E410" s="12"/>
      <c r="F410" s="12"/>
      <c r="G410" s="12"/>
      <c r="H410" s="12"/>
      <c r="I410" s="13"/>
      <c r="J410" s="12"/>
      <c r="K410" s="14" t="str">
        <f aca="false">IF(AND(I410&lt;&gt;"",H410&lt;&gt;"",J410&lt;&gt;""),IF(J410="W",I410*H410,IF(J410="L",-I410,IF(J410="P",I410*H410*0.5,""))),"")</f>
        <v/>
      </c>
      <c r="L410" s="15" t="str">
        <f aca="false">IF(AND(K410&lt;&gt;"",P409&lt;&gt;""),K410/P409,IF(K410&lt;&gt;"",K410/$D$2,""))</f>
        <v/>
      </c>
      <c r="M410" s="12"/>
      <c r="N410" s="12"/>
      <c r="O410" s="12"/>
      <c r="P410" s="16" t="str">
        <f aca="false">IF(K410&lt;&gt;"",P409+K410,IF(B410&lt;&gt;"",P409,""))</f>
        <v/>
      </c>
      <c r="Q410" s="17" t="str">
        <f aca="false">IF(P410&lt;&gt;"",MIN(0,P410-MAX($P$4:P410)),"")</f>
        <v/>
      </c>
    </row>
    <row r="411" customFormat="false" ht="15" hidden="false" customHeight="true" outlineLevel="0" collapsed="false">
      <c r="A411" s="11" t="str">
        <f aca="false">IF(B411&lt;&gt;"",COUNTA($B$4:B411),"")</f>
        <v/>
      </c>
      <c r="B411" s="20"/>
      <c r="C411" s="20"/>
      <c r="D411" s="20"/>
      <c r="E411" s="20"/>
      <c r="F411" s="20"/>
      <c r="G411" s="20"/>
      <c r="H411" s="20"/>
      <c r="I411" s="21"/>
      <c r="J411" s="20"/>
      <c r="K411" s="14" t="str">
        <f aca="false">IF(AND(I411&lt;&gt;"",H411&lt;&gt;"",J411&lt;&gt;""),IF(J411="W",I411*H411,IF(J411="L",-I411,IF(J411="P",I411*H411*0.5,""))),"")</f>
        <v/>
      </c>
      <c r="L411" s="15" t="str">
        <f aca="false">IF(AND(K411&lt;&gt;"",P410&lt;&gt;""),K411/P410,IF(K411&lt;&gt;"",K411/$D$2,""))</f>
        <v/>
      </c>
      <c r="M411" s="20"/>
      <c r="N411" s="20"/>
      <c r="O411" s="20"/>
      <c r="P411" s="16" t="str">
        <f aca="false">IF(K411&lt;&gt;"",P410+K411,IF(B411&lt;&gt;"",P410,""))</f>
        <v/>
      </c>
      <c r="Q411" s="17" t="str">
        <f aca="false">IF(P411&lt;&gt;"",MIN(0,P411-MAX($P$4:P411)),"")</f>
        <v/>
      </c>
    </row>
    <row r="412" customFormat="false" ht="15" hidden="false" customHeight="true" outlineLevel="0" collapsed="false">
      <c r="A412" s="11" t="str">
        <f aca="false">IF(B412&lt;&gt;"",COUNTA($B$4:B412),"")</f>
        <v/>
      </c>
      <c r="B412" s="12"/>
      <c r="C412" s="12"/>
      <c r="D412" s="12"/>
      <c r="E412" s="12"/>
      <c r="F412" s="12"/>
      <c r="G412" s="12"/>
      <c r="H412" s="12"/>
      <c r="I412" s="13"/>
      <c r="J412" s="12"/>
      <c r="K412" s="14" t="str">
        <f aca="false">IF(AND(I412&lt;&gt;"",H412&lt;&gt;"",J412&lt;&gt;""),IF(J412="W",I412*H412,IF(J412="L",-I412,IF(J412="P",I412*H412*0.5,""))),"")</f>
        <v/>
      </c>
      <c r="L412" s="15" t="str">
        <f aca="false">IF(AND(K412&lt;&gt;"",P411&lt;&gt;""),K412/P411,IF(K412&lt;&gt;"",K412/$D$2,""))</f>
        <v/>
      </c>
      <c r="M412" s="12"/>
      <c r="N412" s="12"/>
      <c r="O412" s="12"/>
      <c r="P412" s="16" t="str">
        <f aca="false">IF(K412&lt;&gt;"",P411+K412,IF(B412&lt;&gt;"",P411,""))</f>
        <v/>
      </c>
      <c r="Q412" s="17" t="str">
        <f aca="false">IF(P412&lt;&gt;"",MIN(0,P412-MAX($P$4:P412)),"")</f>
        <v/>
      </c>
    </row>
    <row r="413" customFormat="false" ht="15" hidden="false" customHeight="true" outlineLevel="0" collapsed="false">
      <c r="A413" s="11" t="str">
        <f aca="false">IF(B413&lt;&gt;"",COUNTA($B$4:B413),"")</f>
        <v/>
      </c>
      <c r="B413" s="20"/>
      <c r="C413" s="20"/>
      <c r="D413" s="20"/>
      <c r="E413" s="20"/>
      <c r="F413" s="20"/>
      <c r="G413" s="20"/>
      <c r="H413" s="20"/>
      <c r="I413" s="21"/>
      <c r="J413" s="20"/>
      <c r="K413" s="14" t="str">
        <f aca="false">IF(AND(I413&lt;&gt;"",H413&lt;&gt;"",J413&lt;&gt;""),IF(J413="W",I413*H413,IF(J413="L",-I413,IF(J413="P",I413*H413*0.5,""))),"")</f>
        <v/>
      </c>
      <c r="L413" s="15" t="str">
        <f aca="false">IF(AND(K413&lt;&gt;"",P412&lt;&gt;""),K413/P412,IF(K413&lt;&gt;"",K413/$D$2,""))</f>
        <v/>
      </c>
      <c r="M413" s="20"/>
      <c r="N413" s="20"/>
      <c r="O413" s="20"/>
      <c r="P413" s="16" t="str">
        <f aca="false">IF(K413&lt;&gt;"",P412+K413,IF(B413&lt;&gt;"",P412,""))</f>
        <v/>
      </c>
      <c r="Q413" s="17" t="str">
        <f aca="false">IF(P413&lt;&gt;"",MIN(0,P413-MAX($P$4:P413)),"")</f>
        <v/>
      </c>
    </row>
    <row r="414" customFormat="false" ht="15" hidden="false" customHeight="true" outlineLevel="0" collapsed="false">
      <c r="A414" s="11" t="str">
        <f aca="false">IF(B414&lt;&gt;"",COUNTA($B$4:B414),"")</f>
        <v/>
      </c>
      <c r="B414" s="12"/>
      <c r="C414" s="12"/>
      <c r="D414" s="12"/>
      <c r="E414" s="12"/>
      <c r="F414" s="12"/>
      <c r="G414" s="12"/>
      <c r="H414" s="12"/>
      <c r="I414" s="13"/>
      <c r="J414" s="12"/>
      <c r="K414" s="14" t="str">
        <f aca="false">IF(AND(I414&lt;&gt;"",H414&lt;&gt;"",J414&lt;&gt;""),IF(J414="W",I414*H414,IF(J414="L",-I414,IF(J414="P",I414*H414*0.5,""))),"")</f>
        <v/>
      </c>
      <c r="L414" s="15" t="str">
        <f aca="false">IF(AND(K414&lt;&gt;"",P413&lt;&gt;""),K414/P413,IF(K414&lt;&gt;"",K414/$D$2,""))</f>
        <v/>
      </c>
      <c r="M414" s="12"/>
      <c r="N414" s="12"/>
      <c r="O414" s="12"/>
      <c r="P414" s="16" t="str">
        <f aca="false">IF(K414&lt;&gt;"",P413+K414,IF(B414&lt;&gt;"",P413,""))</f>
        <v/>
      </c>
      <c r="Q414" s="17" t="str">
        <f aca="false">IF(P414&lt;&gt;"",MIN(0,P414-MAX($P$4:P414)),"")</f>
        <v/>
      </c>
    </row>
    <row r="415" customFormat="false" ht="15" hidden="false" customHeight="true" outlineLevel="0" collapsed="false">
      <c r="A415" s="11" t="str">
        <f aca="false">IF(B415&lt;&gt;"",COUNTA($B$4:B415),"")</f>
        <v/>
      </c>
      <c r="B415" s="20"/>
      <c r="C415" s="20"/>
      <c r="D415" s="20"/>
      <c r="E415" s="20"/>
      <c r="F415" s="20"/>
      <c r="G415" s="20"/>
      <c r="H415" s="20"/>
      <c r="I415" s="21"/>
      <c r="J415" s="20"/>
      <c r="K415" s="14" t="str">
        <f aca="false">IF(AND(I415&lt;&gt;"",H415&lt;&gt;"",J415&lt;&gt;""),IF(J415="W",I415*H415,IF(J415="L",-I415,IF(J415="P",I415*H415*0.5,""))),"")</f>
        <v/>
      </c>
      <c r="L415" s="15" t="str">
        <f aca="false">IF(AND(K415&lt;&gt;"",P414&lt;&gt;""),K415/P414,IF(K415&lt;&gt;"",K415/$D$2,""))</f>
        <v/>
      </c>
      <c r="M415" s="20"/>
      <c r="N415" s="20"/>
      <c r="O415" s="20"/>
      <c r="P415" s="16" t="str">
        <f aca="false">IF(K415&lt;&gt;"",P414+K415,IF(B415&lt;&gt;"",P414,""))</f>
        <v/>
      </c>
      <c r="Q415" s="17" t="str">
        <f aca="false">IF(P415&lt;&gt;"",MIN(0,P415-MAX($P$4:P415)),"")</f>
        <v/>
      </c>
    </row>
    <row r="416" customFormat="false" ht="15" hidden="false" customHeight="true" outlineLevel="0" collapsed="false">
      <c r="A416" s="11" t="str">
        <f aca="false">IF(B416&lt;&gt;"",COUNTA($B$4:B416),"")</f>
        <v/>
      </c>
      <c r="B416" s="12"/>
      <c r="C416" s="12"/>
      <c r="D416" s="12"/>
      <c r="E416" s="12"/>
      <c r="F416" s="12"/>
      <c r="G416" s="12"/>
      <c r="H416" s="12"/>
      <c r="I416" s="13"/>
      <c r="J416" s="12"/>
      <c r="K416" s="14" t="str">
        <f aca="false">IF(AND(I416&lt;&gt;"",H416&lt;&gt;"",J416&lt;&gt;""),IF(J416="W",I416*H416,IF(J416="L",-I416,IF(J416="P",I416*H416*0.5,""))),"")</f>
        <v/>
      </c>
      <c r="L416" s="15" t="str">
        <f aca="false">IF(AND(K416&lt;&gt;"",P415&lt;&gt;""),K416/P415,IF(K416&lt;&gt;"",K416/$D$2,""))</f>
        <v/>
      </c>
      <c r="M416" s="12"/>
      <c r="N416" s="12"/>
      <c r="O416" s="12"/>
      <c r="P416" s="16" t="str">
        <f aca="false">IF(K416&lt;&gt;"",P415+K416,IF(B416&lt;&gt;"",P415,""))</f>
        <v/>
      </c>
      <c r="Q416" s="17" t="str">
        <f aca="false">IF(P416&lt;&gt;"",MIN(0,P416-MAX($P$4:P416)),"")</f>
        <v/>
      </c>
    </row>
    <row r="417" customFormat="false" ht="15" hidden="false" customHeight="true" outlineLevel="0" collapsed="false">
      <c r="A417" s="11" t="str">
        <f aca="false">IF(B417&lt;&gt;"",COUNTA($B$4:B417),"")</f>
        <v/>
      </c>
      <c r="B417" s="20"/>
      <c r="C417" s="20"/>
      <c r="D417" s="20"/>
      <c r="E417" s="20"/>
      <c r="F417" s="20"/>
      <c r="G417" s="20"/>
      <c r="H417" s="20"/>
      <c r="I417" s="21"/>
      <c r="J417" s="20"/>
      <c r="K417" s="14" t="str">
        <f aca="false">IF(AND(I417&lt;&gt;"",H417&lt;&gt;"",J417&lt;&gt;""),IF(J417="W",I417*H417,IF(J417="L",-I417,IF(J417="P",I417*H417*0.5,""))),"")</f>
        <v/>
      </c>
      <c r="L417" s="15" t="str">
        <f aca="false">IF(AND(K417&lt;&gt;"",P416&lt;&gt;""),K417/P416,IF(K417&lt;&gt;"",K417/$D$2,""))</f>
        <v/>
      </c>
      <c r="M417" s="20"/>
      <c r="N417" s="20"/>
      <c r="O417" s="20"/>
      <c r="P417" s="16" t="str">
        <f aca="false">IF(K417&lt;&gt;"",P416+K417,IF(B417&lt;&gt;"",P416,""))</f>
        <v/>
      </c>
      <c r="Q417" s="17" t="str">
        <f aca="false">IF(P417&lt;&gt;"",MIN(0,P417-MAX($P$4:P417)),"")</f>
        <v/>
      </c>
    </row>
    <row r="418" customFormat="false" ht="15" hidden="false" customHeight="true" outlineLevel="0" collapsed="false">
      <c r="A418" s="11" t="str">
        <f aca="false">IF(B418&lt;&gt;"",COUNTA($B$4:B418),"")</f>
        <v/>
      </c>
      <c r="B418" s="12"/>
      <c r="C418" s="12"/>
      <c r="D418" s="12"/>
      <c r="E418" s="12"/>
      <c r="F418" s="12"/>
      <c r="G418" s="12"/>
      <c r="H418" s="12"/>
      <c r="I418" s="13"/>
      <c r="J418" s="12"/>
      <c r="K418" s="14" t="str">
        <f aca="false">IF(AND(I418&lt;&gt;"",H418&lt;&gt;"",J418&lt;&gt;""),IF(J418="W",I418*H418,IF(J418="L",-I418,IF(J418="P",I418*H418*0.5,""))),"")</f>
        <v/>
      </c>
      <c r="L418" s="15" t="str">
        <f aca="false">IF(AND(K418&lt;&gt;"",P417&lt;&gt;""),K418/P417,IF(K418&lt;&gt;"",K418/$D$2,""))</f>
        <v/>
      </c>
      <c r="M418" s="12"/>
      <c r="N418" s="12"/>
      <c r="O418" s="12"/>
      <c r="P418" s="16" t="str">
        <f aca="false">IF(K418&lt;&gt;"",P417+K418,IF(B418&lt;&gt;"",P417,""))</f>
        <v/>
      </c>
      <c r="Q418" s="17" t="str">
        <f aca="false">IF(P418&lt;&gt;"",MIN(0,P418-MAX($P$4:P418)),"")</f>
        <v/>
      </c>
    </row>
    <row r="419" customFormat="false" ht="15" hidden="false" customHeight="true" outlineLevel="0" collapsed="false">
      <c r="A419" s="11" t="str">
        <f aca="false">IF(B419&lt;&gt;"",COUNTA($B$4:B419),"")</f>
        <v/>
      </c>
      <c r="B419" s="20"/>
      <c r="C419" s="20"/>
      <c r="D419" s="20"/>
      <c r="E419" s="20"/>
      <c r="F419" s="20"/>
      <c r="G419" s="20"/>
      <c r="H419" s="20"/>
      <c r="I419" s="21"/>
      <c r="J419" s="20"/>
      <c r="K419" s="14" t="str">
        <f aca="false">IF(AND(I419&lt;&gt;"",H419&lt;&gt;"",J419&lt;&gt;""),IF(J419="W",I419*H419,IF(J419="L",-I419,IF(J419="P",I419*H419*0.5,""))),"")</f>
        <v/>
      </c>
      <c r="L419" s="15" t="str">
        <f aca="false">IF(AND(K419&lt;&gt;"",P418&lt;&gt;""),K419/P418,IF(K419&lt;&gt;"",K419/$D$2,""))</f>
        <v/>
      </c>
      <c r="M419" s="20"/>
      <c r="N419" s="20"/>
      <c r="O419" s="20"/>
      <c r="P419" s="16" t="str">
        <f aca="false">IF(K419&lt;&gt;"",P418+K419,IF(B419&lt;&gt;"",P418,""))</f>
        <v/>
      </c>
      <c r="Q419" s="17" t="str">
        <f aca="false">IF(P419&lt;&gt;"",MIN(0,P419-MAX($P$4:P419)),"")</f>
        <v/>
      </c>
    </row>
    <row r="420" customFormat="false" ht="15" hidden="false" customHeight="true" outlineLevel="0" collapsed="false">
      <c r="A420" s="11" t="str">
        <f aca="false">IF(B420&lt;&gt;"",COUNTA($B$4:B420),"")</f>
        <v/>
      </c>
      <c r="B420" s="12"/>
      <c r="C420" s="12"/>
      <c r="D420" s="12"/>
      <c r="E420" s="12"/>
      <c r="F420" s="12"/>
      <c r="G420" s="12"/>
      <c r="H420" s="12"/>
      <c r="I420" s="13"/>
      <c r="J420" s="12"/>
      <c r="K420" s="14" t="str">
        <f aca="false">IF(AND(I420&lt;&gt;"",H420&lt;&gt;"",J420&lt;&gt;""),IF(J420="W",I420*H420,IF(J420="L",-I420,IF(J420="P",I420*H420*0.5,""))),"")</f>
        <v/>
      </c>
      <c r="L420" s="15" t="str">
        <f aca="false">IF(AND(K420&lt;&gt;"",P419&lt;&gt;""),K420/P419,IF(K420&lt;&gt;"",K420/$D$2,""))</f>
        <v/>
      </c>
      <c r="M420" s="12"/>
      <c r="N420" s="12"/>
      <c r="O420" s="12"/>
      <c r="P420" s="16" t="str">
        <f aca="false">IF(K420&lt;&gt;"",P419+K420,IF(B420&lt;&gt;"",P419,""))</f>
        <v/>
      </c>
      <c r="Q420" s="17" t="str">
        <f aca="false">IF(P420&lt;&gt;"",MIN(0,P420-MAX($P$4:P420)),"")</f>
        <v/>
      </c>
    </row>
    <row r="421" customFormat="false" ht="15" hidden="false" customHeight="true" outlineLevel="0" collapsed="false">
      <c r="A421" s="11" t="str">
        <f aca="false">IF(B421&lt;&gt;"",COUNTA($B$4:B421),"")</f>
        <v/>
      </c>
      <c r="B421" s="20"/>
      <c r="C421" s="20"/>
      <c r="D421" s="20"/>
      <c r="E421" s="20"/>
      <c r="F421" s="20"/>
      <c r="G421" s="20"/>
      <c r="H421" s="20"/>
      <c r="I421" s="21"/>
      <c r="J421" s="20"/>
      <c r="K421" s="14" t="str">
        <f aca="false">IF(AND(I421&lt;&gt;"",H421&lt;&gt;"",J421&lt;&gt;""),IF(J421="W",I421*H421,IF(J421="L",-I421,IF(J421="P",I421*H421*0.5,""))),"")</f>
        <v/>
      </c>
      <c r="L421" s="15" t="str">
        <f aca="false">IF(AND(K421&lt;&gt;"",P420&lt;&gt;""),K421/P420,IF(K421&lt;&gt;"",K421/$D$2,""))</f>
        <v/>
      </c>
      <c r="M421" s="20"/>
      <c r="N421" s="20"/>
      <c r="O421" s="20"/>
      <c r="P421" s="16" t="str">
        <f aca="false">IF(K421&lt;&gt;"",P420+K421,IF(B421&lt;&gt;"",P420,""))</f>
        <v/>
      </c>
      <c r="Q421" s="17" t="str">
        <f aca="false">IF(P421&lt;&gt;"",MIN(0,P421-MAX($P$4:P421)),"")</f>
        <v/>
      </c>
    </row>
    <row r="422" customFormat="false" ht="15" hidden="false" customHeight="true" outlineLevel="0" collapsed="false">
      <c r="A422" s="11" t="str">
        <f aca="false">IF(B422&lt;&gt;"",COUNTA($B$4:B422),"")</f>
        <v/>
      </c>
      <c r="B422" s="12"/>
      <c r="C422" s="12"/>
      <c r="D422" s="12"/>
      <c r="E422" s="12"/>
      <c r="F422" s="12"/>
      <c r="G422" s="12"/>
      <c r="H422" s="12"/>
      <c r="I422" s="13"/>
      <c r="J422" s="12"/>
      <c r="K422" s="14" t="str">
        <f aca="false">IF(AND(I422&lt;&gt;"",H422&lt;&gt;"",J422&lt;&gt;""),IF(J422="W",I422*H422,IF(J422="L",-I422,IF(J422="P",I422*H422*0.5,""))),"")</f>
        <v/>
      </c>
      <c r="L422" s="15" t="str">
        <f aca="false">IF(AND(K422&lt;&gt;"",P421&lt;&gt;""),K422/P421,IF(K422&lt;&gt;"",K422/$D$2,""))</f>
        <v/>
      </c>
      <c r="M422" s="12"/>
      <c r="N422" s="12"/>
      <c r="O422" s="12"/>
      <c r="P422" s="16" t="str">
        <f aca="false">IF(K422&lt;&gt;"",P421+K422,IF(B422&lt;&gt;"",P421,""))</f>
        <v/>
      </c>
      <c r="Q422" s="17" t="str">
        <f aca="false">IF(P422&lt;&gt;"",MIN(0,P422-MAX($P$4:P422)),"")</f>
        <v/>
      </c>
    </row>
    <row r="423" customFormat="false" ht="15" hidden="false" customHeight="true" outlineLevel="0" collapsed="false">
      <c r="A423" s="11" t="str">
        <f aca="false">IF(B423&lt;&gt;"",COUNTA($B$4:B423),"")</f>
        <v/>
      </c>
      <c r="B423" s="20"/>
      <c r="C423" s="20"/>
      <c r="D423" s="20"/>
      <c r="E423" s="20"/>
      <c r="F423" s="20"/>
      <c r="G423" s="20"/>
      <c r="H423" s="20"/>
      <c r="I423" s="21"/>
      <c r="J423" s="20"/>
      <c r="K423" s="14" t="str">
        <f aca="false">IF(AND(I423&lt;&gt;"",H423&lt;&gt;"",J423&lt;&gt;""),IF(J423="W",I423*H423,IF(J423="L",-I423,IF(J423="P",I423*H423*0.5,""))),"")</f>
        <v/>
      </c>
      <c r="L423" s="15" t="str">
        <f aca="false">IF(AND(K423&lt;&gt;"",P422&lt;&gt;""),K423/P422,IF(K423&lt;&gt;"",K423/$D$2,""))</f>
        <v/>
      </c>
      <c r="M423" s="20"/>
      <c r="N423" s="20"/>
      <c r="O423" s="20"/>
      <c r="P423" s="16" t="str">
        <f aca="false">IF(K423&lt;&gt;"",P422+K423,IF(B423&lt;&gt;"",P422,""))</f>
        <v/>
      </c>
      <c r="Q423" s="17" t="str">
        <f aca="false">IF(P423&lt;&gt;"",MIN(0,P423-MAX($P$4:P423)),"")</f>
        <v/>
      </c>
    </row>
    <row r="424" customFormat="false" ht="15" hidden="false" customHeight="true" outlineLevel="0" collapsed="false">
      <c r="A424" s="11" t="str">
        <f aca="false">IF(B424&lt;&gt;"",COUNTA($B$4:B424),"")</f>
        <v/>
      </c>
      <c r="B424" s="12"/>
      <c r="C424" s="12"/>
      <c r="D424" s="12"/>
      <c r="E424" s="12"/>
      <c r="F424" s="12"/>
      <c r="G424" s="12"/>
      <c r="H424" s="12"/>
      <c r="I424" s="13"/>
      <c r="J424" s="12"/>
      <c r="K424" s="14" t="str">
        <f aca="false">IF(AND(I424&lt;&gt;"",H424&lt;&gt;"",J424&lt;&gt;""),IF(J424="W",I424*H424,IF(J424="L",-I424,IF(J424="P",I424*H424*0.5,""))),"")</f>
        <v/>
      </c>
      <c r="L424" s="15" t="str">
        <f aca="false">IF(AND(K424&lt;&gt;"",P423&lt;&gt;""),K424/P423,IF(K424&lt;&gt;"",K424/$D$2,""))</f>
        <v/>
      </c>
      <c r="M424" s="12"/>
      <c r="N424" s="12"/>
      <c r="O424" s="12"/>
      <c r="P424" s="16" t="str">
        <f aca="false">IF(K424&lt;&gt;"",P423+K424,IF(B424&lt;&gt;"",P423,""))</f>
        <v/>
      </c>
      <c r="Q424" s="17" t="str">
        <f aca="false">IF(P424&lt;&gt;"",MIN(0,P424-MAX($P$4:P424)),"")</f>
        <v/>
      </c>
    </row>
    <row r="425" customFormat="false" ht="15" hidden="false" customHeight="true" outlineLevel="0" collapsed="false">
      <c r="A425" s="11" t="str">
        <f aca="false">IF(B425&lt;&gt;"",COUNTA($B$4:B425),"")</f>
        <v/>
      </c>
      <c r="B425" s="20"/>
      <c r="C425" s="20"/>
      <c r="D425" s="20"/>
      <c r="E425" s="20"/>
      <c r="F425" s="20"/>
      <c r="G425" s="20"/>
      <c r="H425" s="20"/>
      <c r="I425" s="21"/>
      <c r="J425" s="20"/>
      <c r="K425" s="14" t="str">
        <f aca="false">IF(AND(I425&lt;&gt;"",H425&lt;&gt;"",J425&lt;&gt;""),IF(J425="W",I425*H425,IF(J425="L",-I425,IF(J425="P",I425*H425*0.5,""))),"")</f>
        <v/>
      </c>
      <c r="L425" s="15" t="str">
        <f aca="false">IF(AND(K425&lt;&gt;"",P424&lt;&gt;""),K425/P424,IF(K425&lt;&gt;"",K425/$D$2,""))</f>
        <v/>
      </c>
      <c r="M425" s="20"/>
      <c r="N425" s="20"/>
      <c r="O425" s="20"/>
      <c r="P425" s="16" t="str">
        <f aca="false">IF(K425&lt;&gt;"",P424+K425,IF(B425&lt;&gt;"",P424,""))</f>
        <v/>
      </c>
      <c r="Q425" s="17" t="str">
        <f aca="false">IF(P425&lt;&gt;"",MIN(0,P425-MAX($P$4:P425)),"")</f>
        <v/>
      </c>
    </row>
    <row r="426" customFormat="false" ht="15" hidden="false" customHeight="true" outlineLevel="0" collapsed="false">
      <c r="A426" s="11" t="str">
        <f aca="false">IF(B426&lt;&gt;"",COUNTA($B$4:B426),"")</f>
        <v/>
      </c>
      <c r="B426" s="12"/>
      <c r="C426" s="12"/>
      <c r="D426" s="12"/>
      <c r="E426" s="12"/>
      <c r="F426" s="12"/>
      <c r="G426" s="12"/>
      <c r="H426" s="12"/>
      <c r="I426" s="13"/>
      <c r="J426" s="12"/>
      <c r="K426" s="14" t="str">
        <f aca="false">IF(AND(I426&lt;&gt;"",H426&lt;&gt;"",J426&lt;&gt;""),IF(J426="W",I426*H426,IF(J426="L",-I426,IF(J426="P",I426*H426*0.5,""))),"")</f>
        <v/>
      </c>
      <c r="L426" s="15" t="str">
        <f aca="false">IF(AND(K426&lt;&gt;"",P425&lt;&gt;""),K426/P425,IF(K426&lt;&gt;"",K426/$D$2,""))</f>
        <v/>
      </c>
      <c r="M426" s="12"/>
      <c r="N426" s="12"/>
      <c r="O426" s="12"/>
      <c r="P426" s="16" t="str">
        <f aca="false">IF(K426&lt;&gt;"",P425+K426,IF(B426&lt;&gt;"",P425,""))</f>
        <v/>
      </c>
      <c r="Q426" s="17" t="str">
        <f aca="false">IF(P426&lt;&gt;"",MIN(0,P426-MAX($P$4:P426)),"")</f>
        <v/>
      </c>
    </row>
    <row r="427" customFormat="false" ht="15" hidden="false" customHeight="true" outlineLevel="0" collapsed="false">
      <c r="A427" s="11" t="str">
        <f aca="false">IF(B427&lt;&gt;"",COUNTA($B$4:B427),"")</f>
        <v/>
      </c>
      <c r="B427" s="20"/>
      <c r="C427" s="20"/>
      <c r="D427" s="20"/>
      <c r="E427" s="20"/>
      <c r="F427" s="20"/>
      <c r="G427" s="20"/>
      <c r="H427" s="20"/>
      <c r="I427" s="21"/>
      <c r="J427" s="20"/>
      <c r="K427" s="14" t="str">
        <f aca="false">IF(AND(I427&lt;&gt;"",H427&lt;&gt;"",J427&lt;&gt;""),IF(J427="W",I427*H427,IF(J427="L",-I427,IF(J427="P",I427*H427*0.5,""))),"")</f>
        <v/>
      </c>
      <c r="L427" s="15" t="str">
        <f aca="false">IF(AND(K427&lt;&gt;"",P426&lt;&gt;""),K427/P426,IF(K427&lt;&gt;"",K427/$D$2,""))</f>
        <v/>
      </c>
      <c r="M427" s="20"/>
      <c r="N427" s="20"/>
      <c r="O427" s="20"/>
      <c r="P427" s="16" t="str">
        <f aca="false">IF(K427&lt;&gt;"",P426+K427,IF(B427&lt;&gt;"",P426,""))</f>
        <v/>
      </c>
      <c r="Q427" s="17" t="str">
        <f aca="false">IF(P427&lt;&gt;"",MIN(0,P427-MAX($P$4:P427)),"")</f>
        <v/>
      </c>
    </row>
    <row r="428" customFormat="false" ht="15" hidden="false" customHeight="true" outlineLevel="0" collapsed="false">
      <c r="A428" s="11" t="str">
        <f aca="false">IF(B428&lt;&gt;"",COUNTA($B$4:B428),"")</f>
        <v/>
      </c>
      <c r="B428" s="12"/>
      <c r="C428" s="12"/>
      <c r="D428" s="12"/>
      <c r="E428" s="12"/>
      <c r="F428" s="12"/>
      <c r="G428" s="12"/>
      <c r="H428" s="12"/>
      <c r="I428" s="13"/>
      <c r="J428" s="12"/>
      <c r="K428" s="14" t="str">
        <f aca="false">IF(AND(I428&lt;&gt;"",H428&lt;&gt;"",J428&lt;&gt;""),IF(J428="W",I428*H428,IF(J428="L",-I428,IF(J428="P",I428*H428*0.5,""))),"")</f>
        <v/>
      </c>
      <c r="L428" s="15" t="str">
        <f aca="false">IF(AND(K428&lt;&gt;"",P427&lt;&gt;""),K428/P427,IF(K428&lt;&gt;"",K428/$D$2,""))</f>
        <v/>
      </c>
      <c r="M428" s="12"/>
      <c r="N428" s="12"/>
      <c r="O428" s="12"/>
      <c r="P428" s="16" t="str">
        <f aca="false">IF(K428&lt;&gt;"",P427+K428,IF(B428&lt;&gt;"",P427,""))</f>
        <v/>
      </c>
      <c r="Q428" s="17" t="str">
        <f aca="false">IF(P428&lt;&gt;"",MIN(0,P428-MAX($P$4:P428)),"")</f>
        <v/>
      </c>
    </row>
    <row r="429" customFormat="false" ht="15" hidden="false" customHeight="true" outlineLevel="0" collapsed="false">
      <c r="A429" s="11" t="str">
        <f aca="false">IF(B429&lt;&gt;"",COUNTA($B$4:B429),"")</f>
        <v/>
      </c>
      <c r="B429" s="20"/>
      <c r="C429" s="20"/>
      <c r="D429" s="20"/>
      <c r="E429" s="20"/>
      <c r="F429" s="20"/>
      <c r="G429" s="20"/>
      <c r="H429" s="20"/>
      <c r="I429" s="21"/>
      <c r="J429" s="20"/>
      <c r="K429" s="14" t="str">
        <f aca="false">IF(AND(I429&lt;&gt;"",H429&lt;&gt;"",J429&lt;&gt;""),IF(J429="W",I429*H429,IF(J429="L",-I429,IF(J429="P",I429*H429*0.5,""))),"")</f>
        <v/>
      </c>
      <c r="L429" s="15" t="str">
        <f aca="false">IF(AND(K429&lt;&gt;"",P428&lt;&gt;""),K429/P428,IF(K429&lt;&gt;"",K429/$D$2,""))</f>
        <v/>
      </c>
      <c r="M429" s="20"/>
      <c r="N429" s="20"/>
      <c r="O429" s="20"/>
      <c r="P429" s="16" t="str">
        <f aca="false">IF(K429&lt;&gt;"",P428+K429,IF(B429&lt;&gt;"",P428,""))</f>
        <v/>
      </c>
      <c r="Q429" s="17" t="str">
        <f aca="false">IF(P429&lt;&gt;"",MIN(0,P429-MAX($P$4:P429)),"")</f>
        <v/>
      </c>
    </row>
    <row r="430" customFormat="false" ht="15" hidden="false" customHeight="true" outlineLevel="0" collapsed="false">
      <c r="A430" s="11" t="str">
        <f aca="false">IF(B430&lt;&gt;"",COUNTA($B$4:B430),"")</f>
        <v/>
      </c>
      <c r="B430" s="12"/>
      <c r="C430" s="12"/>
      <c r="D430" s="12"/>
      <c r="E430" s="12"/>
      <c r="F430" s="12"/>
      <c r="G430" s="12"/>
      <c r="H430" s="12"/>
      <c r="I430" s="13"/>
      <c r="J430" s="12"/>
      <c r="K430" s="14" t="str">
        <f aca="false">IF(AND(I430&lt;&gt;"",H430&lt;&gt;"",J430&lt;&gt;""),IF(J430="W",I430*H430,IF(J430="L",-I430,IF(J430="P",I430*H430*0.5,""))),"")</f>
        <v/>
      </c>
      <c r="L430" s="15" t="str">
        <f aca="false">IF(AND(K430&lt;&gt;"",P429&lt;&gt;""),K430/P429,IF(K430&lt;&gt;"",K430/$D$2,""))</f>
        <v/>
      </c>
      <c r="M430" s="12"/>
      <c r="N430" s="12"/>
      <c r="O430" s="12"/>
      <c r="P430" s="16" t="str">
        <f aca="false">IF(K430&lt;&gt;"",P429+K430,IF(B430&lt;&gt;"",P429,""))</f>
        <v/>
      </c>
      <c r="Q430" s="17" t="str">
        <f aca="false">IF(P430&lt;&gt;"",MIN(0,P430-MAX($P$4:P430)),"")</f>
        <v/>
      </c>
    </row>
    <row r="431" customFormat="false" ht="15" hidden="false" customHeight="true" outlineLevel="0" collapsed="false">
      <c r="A431" s="11" t="str">
        <f aca="false">IF(B431&lt;&gt;"",COUNTA($B$4:B431),"")</f>
        <v/>
      </c>
      <c r="B431" s="20"/>
      <c r="C431" s="20"/>
      <c r="D431" s="20"/>
      <c r="E431" s="20"/>
      <c r="F431" s="20"/>
      <c r="G431" s="20"/>
      <c r="H431" s="20"/>
      <c r="I431" s="21"/>
      <c r="J431" s="20"/>
      <c r="K431" s="14" t="str">
        <f aca="false">IF(AND(I431&lt;&gt;"",H431&lt;&gt;"",J431&lt;&gt;""),IF(J431="W",I431*H431,IF(J431="L",-I431,IF(J431="P",I431*H431*0.5,""))),"")</f>
        <v/>
      </c>
      <c r="L431" s="15" t="str">
        <f aca="false">IF(AND(K431&lt;&gt;"",P430&lt;&gt;""),K431/P430,IF(K431&lt;&gt;"",K431/$D$2,""))</f>
        <v/>
      </c>
      <c r="M431" s="20"/>
      <c r="N431" s="20"/>
      <c r="O431" s="20"/>
      <c r="P431" s="16" t="str">
        <f aca="false">IF(K431&lt;&gt;"",P430+K431,IF(B431&lt;&gt;"",P430,""))</f>
        <v/>
      </c>
      <c r="Q431" s="17" t="str">
        <f aca="false">IF(P431&lt;&gt;"",MIN(0,P431-MAX($P$4:P431)),"")</f>
        <v/>
      </c>
    </row>
    <row r="432" customFormat="false" ht="15" hidden="false" customHeight="true" outlineLevel="0" collapsed="false">
      <c r="A432" s="11" t="str">
        <f aca="false">IF(B432&lt;&gt;"",COUNTA($B$4:B432),"")</f>
        <v/>
      </c>
      <c r="B432" s="12"/>
      <c r="C432" s="12"/>
      <c r="D432" s="12"/>
      <c r="E432" s="12"/>
      <c r="F432" s="12"/>
      <c r="G432" s="12"/>
      <c r="H432" s="12"/>
      <c r="I432" s="13"/>
      <c r="J432" s="12"/>
      <c r="K432" s="14" t="str">
        <f aca="false">IF(AND(I432&lt;&gt;"",H432&lt;&gt;"",J432&lt;&gt;""),IF(J432="W",I432*H432,IF(J432="L",-I432,IF(J432="P",I432*H432*0.5,""))),"")</f>
        <v/>
      </c>
      <c r="L432" s="15" t="str">
        <f aca="false">IF(AND(K432&lt;&gt;"",P431&lt;&gt;""),K432/P431,IF(K432&lt;&gt;"",K432/$D$2,""))</f>
        <v/>
      </c>
      <c r="M432" s="12"/>
      <c r="N432" s="12"/>
      <c r="O432" s="12"/>
      <c r="P432" s="16" t="str">
        <f aca="false">IF(K432&lt;&gt;"",P431+K432,IF(B432&lt;&gt;"",P431,""))</f>
        <v/>
      </c>
      <c r="Q432" s="17" t="str">
        <f aca="false">IF(P432&lt;&gt;"",MIN(0,P432-MAX($P$4:P432)),"")</f>
        <v/>
      </c>
    </row>
    <row r="433" customFormat="false" ht="15" hidden="false" customHeight="true" outlineLevel="0" collapsed="false">
      <c r="A433" s="11" t="str">
        <f aca="false">IF(B433&lt;&gt;"",COUNTA($B$4:B433),"")</f>
        <v/>
      </c>
      <c r="B433" s="20"/>
      <c r="C433" s="20"/>
      <c r="D433" s="20"/>
      <c r="E433" s="20"/>
      <c r="F433" s="20"/>
      <c r="G433" s="20"/>
      <c r="H433" s="20"/>
      <c r="I433" s="21"/>
      <c r="J433" s="20"/>
      <c r="K433" s="14" t="str">
        <f aca="false">IF(AND(I433&lt;&gt;"",H433&lt;&gt;"",J433&lt;&gt;""),IF(J433="W",I433*H433,IF(J433="L",-I433,IF(J433="P",I433*H433*0.5,""))),"")</f>
        <v/>
      </c>
      <c r="L433" s="15" t="str">
        <f aca="false">IF(AND(K433&lt;&gt;"",P432&lt;&gt;""),K433/P432,IF(K433&lt;&gt;"",K433/$D$2,""))</f>
        <v/>
      </c>
      <c r="M433" s="20"/>
      <c r="N433" s="20"/>
      <c r="O433" s="20"/>
      <c r="P433" s="16" t="str">
        <f aca="false">IF(K433&lt;&gt;"",P432+K433,IF(B433&lt;&gt;"",P432,""))</f>
        <v/>
      </c>
      <c r="Q433" s="17" t="str">
        <f aca="false">IF(P433&lt;&gt;"",MIN(0,P433-MAX($P$4:P433)),"")</f>
        <v/>
      </c>
    </row>
    <row r="434" customFormat="false" ht="15" hidden="false" customHeight="true" outlineLevel="0" collapsed="false">
      <c r="A434" s="11" t="str">
        <f aca="false">IF(B434&lt;&gt;"",COUNTA($B$4:B434),"")</f>
        <v/>
      </c>
      <c r="B434" s="12"/>
      <c r="C434" s="12"/>
      <c r="D434" s="12"/>
      <c r="E434" s="12"/>
      <c r="F434" s="12"/>
      <c r="G434" s="12"/>
      <c r="H434" s="12"/>
      <c r="I434" s="13"/>
      <c r="J434" s="12"/>
      <c r="K434" s="14" t="str">
        <f aca="false">IF(AND(I434&lt;&gt;"",H434&lt;&gt;"",J434&lt;&gt;""),IF(J434="W",I434*H434,IF(J434="L",-I434,IF(J434="P",I434*H434*0.5,""))),"")</f>
        <v/>
      </c>
      <c r="L434" s="15" t="str">
        <f aca="false">IF(AND(K434&lt;&gt;"",P433&lt;&gt;""),K434/P433,IF(K434&lt;&gt;"",K434/$D$2,""))</f>
        <v/>
      </c>
      <c r="M434" s="12"/>
      <c r="N434" s="12"/>
      <c r="O434" s="12"/>
      <c r="P434" s="16" t="str">
        <f aca="false">IF(K434&lt;&gt;"",P433+K434,IF(B434&lt;&gt;"",P433,""))</f>
        <v/>
      </c>
      <c r="Q434" s="17" t="str">
        <f aca="false">IF(P434&lt;&gt;"",MIN(0,P434-MAX($P$4:P434)),"")</f>
        <v/>
      </c>
    </row>
    <row r="435" customFormat="false" ht="15" hidden="false" customHeight="true" outlineLevel="0" collapsed="false">
      <c r="A435" s="11" t="str">
        <f aca="false">IF(B435&lt;&gt;"",COUNTA($B$4:B435),"")</f>
        <v/>
      </c>
      <c r="B435" s="20"/>
      <c r="C435" s="20"/>
      <c r="D435" s="20"/>
      <c r="E435" s="20"/>
      <c r="F435" s="20"/>
      <c r="G435" s="20"/>
      <c r="H435" s="20"/>
      <c r="I435" s="21"/>
      <c r="J435" s="20"/>
      <c r="K435" s="14" t="str">
        <f aca="false">IF(AND(I435&lt;&gt;"",H435&lt;&gt;"",J435&lt;&gt;""),IF(J435="W",I435*H435,IF(J435="L",-I435,IF(J435="P",I435*H435*0.5,""))),"")</f>
        <v/>
      </c>
      <c r="L435" s="15" t="str">
        <f aca="false">IF(AND(K435&lt;&gt;"",P434&lt;&gt;""),K435/P434,IF(K435&lt;&gt;"",K435/$D$2,""))</f>
        <v/>
      </c>
      <c r="M435" s="20"/>
      <c r="N435" s="20"/>
      <c r="O435" s="20"/>
      <c r="P435" s="16" t="str">
        <f aca="false">IF(K435&lt;&gt;"",P434+K435,IF(B435&lt;&gt;"",P434,""))</f>
        <v/>
      </c>
      <c r="Q435" s="17" t="str">
        <f aca="false">IF(P435&lt;&gt;"",MIN(0,P435-MAX($P$4:P435)),"")</f>
        <v/>
      </c>
    </row>
    <row r="436" customFormat="false" ht="15" hidden="false" customHeight="true" outlineLevel="0" collapsed="false">
      <c r="A436" s="11" t="str">
        <f aca="false">IF(B436&lt;&gt;"",COUNTA($B$4:B436),"")</f>
        <v/>
      </c>
      <c r="B436" s="12"/>
      <c r="C436" s="12"/>
      <c r="D436" s="12"/>
      <c r="E436" s="12"/>
      <c r="F436" s="12"/>
      <c r="G436" s="12"/>
      <c r="H436" s="12"/>
      <c r="I436" s="13"/>
      <c r="J436" s="12"/>
      <c r="K436" s="14" t="str">
        <f aca="false">IF(AND(I436&lt;&gt;"",H436&lt;&gt;"",J436&lt;&gt;""),IF(J436="W",I436*H436,IF(J436="L",-I436,IF(J436="P",I436*H436*0.5,""))),"")</f>
        <v/>
      </c>
      <c r="L436" s="15" t="str">
        <f aca="false">IF(AND(K436&lt;&gt;"",P435&lt;&gt;""),K436/P435,IF(K436&lt;&gt;"",K436/$D$2,""))</f>
        <v/>
      </c>
      <c r="M436" s="12"/>
      <c r="N436" s="12"/>
      <c r="O436" s="12"/>
      <c r="P436" s="16" t="str">
        <f aca="false">IF(K436&lt;&gt;"",P435+K436,IF(B436&lt;&gt;"",P435,""))</f>
        <v/>
      </c>
      <c r="Q436" s="17" t="str">
        <f aca="false">IF(P436&lt;&gt;"",MIN(0,P436-MAX($P$4:P436)),"")</f>
        <v/>
      </c>
    </row>
    <row r="437" customFormat="false" ht="15" hidden="false" customHeight="true" outlineLevel="0" collapsed="false">
      <c r="A437" s="11" t="str">
        <f aca="false">IF(B437&lt;&gt;"",COUNTA($B$4:B437),"")</f>
        <v/>
      </c>
      <c r="B437" s="20"/>
      <c r="C437" s="20"/>
      <c r="D437" s="20"/>
      <c r="E437" s="20"/>
      <c r="F437" s="20"/>
      <c r="G437" s="20"/>
      <c r="H437" s="20"/>
      <c r="I437" s="21"/>
      <c r="J437" s="20"/>
      <c r="K437" s="14" t="str">
        <f aca="false">IF(AND(I437&lt;&gt;"",H437&lt;&gt;"",J437&lt;&gt;""),IF(J437="W",I437*H437,IF(J437="L",-I437,IF(J437="P",I437*H437*0.5,""))),"")</f>
        <v/>
      </c>
      <c r="L437" s="15" t="str">
        <f aca="false">IF(AND(K437&lt;&gt;"",P436&lt;&gt;""),K437/P436,IF(K437&lt;&gt;"",K437/$D$2,""))</f>
        <v/>
      </c>
      <c r="M437" s="20"/>
      <c r="N437" s="20"/>
      <c r="O437" s="20"/>
      <c r="P437" s="16" t="str">
        <f aca="false">IF(K437&lt;&gt;"",P436+K437,IF(B437&lt;&gt;"",P436,""))</f>
        <v/>
      </c>
      <c r="Q437" s="17" t="str">
        <f aca="false">IF(P437&lt;&gt;"",MIN(0,P437-MAX($P$4:P437)),"")</f>
        <v/>
      </c>
    </row>
    <row r="438" customFormat="false" ht="15" hidden="false" customHeight="true" outlineLevel="0" collapsed="false">
      <c r="A438" s="11" t="str">
        <f aca="false">IF(B438&lt;&gt;"",COUNTA($B$4:B438),"")</f>
        <v/>
      </c>
      <c r="B438" s="12"/>
      <c r="C438" s="12"/>
      <c r="D438" s="12"/>
      <c r="E438" s="12"/>
      <c r="F438" s="12"/>
      <c r="G438" s="12"/>
      <c r="H438" s="12"/>
      <c r="I438" s="13"/>
      <c r="J438" s="12"/>
      <c r="K438" s="14" t="str">
        <f aca="false">IF(AND(I438&lt;&gt;"",H438&lt;&gt;"",J438&lt;&gt;""),IF(J438="W",I438*H438,IF(J438="L",-I438,IF(J438="P",I438*H438*0.5,""))),"")</f>
        <v/>
      </c>
      <c r="L438" s="15" t="str">
        <f aca="false">IF(AND(K438&lt;&gt;"",P437&lt;&gt;""),K438/P437,IF(K438&lt;&gt;"",K438/$D$2,""))</f>
        <v/>
      </c>
      <c r="M438" s="12"/>
      <c r="N438" s="12"/>
      <c r="O438" s="12"/>
      <c r="P438" s="16" t="str">
        <f aca="false">IF(K438&lt;&gt;"",P437+K438,IF(B438&lt;&gt;"",P437,""))</f>
        <v/>
      </c>
      <c r="Q438" s="17" t="str">
        <f aca="false">IF(P438&lt;&gt;"",MIN(0,P438-MAX($P$4:P438)),"")</f>
        <v/>
      </c>
    </row>
    <row r="439" customFormat="false" ht="15" hidden="false" customHeight="true" outlineLevel="0" collapsed="false">
      <c r="A439" s="11" t="str">
        <f aca="false">IF(B439&lt;&gt;"",COUNTA($B$4:B439),"")</f>
        <v/>
      </c>
      <c r="B439" s="20"/>
      <c r="C439" s="20"/>
      <c r="D439" s="20"/>
      <c r="E439" s="20"/>
      <c r="F439" s="20"/>
      <c r="G439" s="20"/>
      <c r="H439" s="20"/>
      <c r="I439" s="21"/>
      <c r="J439" s="20"/>
      <c r="K439" s="14" t="str">
        <f aca="false">IF(AND(I439&lt;&gt;"",H439&lt;&gt;"",J439&lt;&gt;""),IF(J439="W",I439*H439,IF(J439="L",-I439,IF(J439="P",I439*H439*0.5,""))),"")</f>
        <v/>
      </c>
      <c r="L439" s="15" t="str">
        <f aca="false">IF(AND(K439&lt;&gt;"",P438&lt;&gt;""),K439/P438,IF(K439&lt;&gt;"",K439/$D$2,""))</f>
        <v/>
      </c>
      <c r="M439" s="20"/>
      <c r="N439" s="20"/>
      <c r="O439" s="20"/>
      <c r="P439" s="16" t="str">
        <f aca="false">IF(K439&lt;&gt;"",P438+K439,IF(B439&lt;&gt;"",P438,""))</f>
        <v/>
      </c>
      <c r="Q439" s="17" t="str">
        <f aca="false">IF(P439&lt;&gt;"",MIN(0,P439-MAX($P$4:P439)),"")</f>
        <v/>
      </c>
    </row>
    <row r="440" customFormat="false" ht="15" hidden="false" customHeight="true" outlineLevel="0" collapsed="false">
      <c r="A440" s="11" t="str">
        <f aca="false">IF(B440&lt;&gt;"",COUNTA($B$4:B440),"")</f>
        <v/>
      </c>
      <c r="B440" s="12"/>
      <c r="C440" s="12"/>
      <c r="D440" s="12"/>
      <c r="E440" s="12"/>
      <c r="F440" s="12"/>
      <c r="G440" s="12"/>
      <c r="H440" s="12"/>
      <c r="I440" s="13"/>
      <c r="J440" s="12"/>
      <c r="K440" s="14" t="str">
        <f aca="false">IF(AND(I440&lt;&gt;"",H440&lt;&gt;"",J440&lt;&gt;""),IF(J440="W",I440*H440,IF(J440="L",-I440,IF(J440="P",I440*H440*0.5,""))),"")</f>
        <v/>
      </c>
      <c r="L440" s="15" t="str">
        <f aca="false">IF(AND(K440&lt;&gt;"",P439&lt;&gt;""),K440/P439,IF(K440&lt;&gt;"",K440/$D$2,""))</f>
        <v/>
      </c>
      <c r="M440" s="12"/>
      <c r="N440" s="12"/>
      <c r="O440" s="12"/>
      <c r="P440" s="16" t="str">
        <f aca="false">IF(K440&lt;&gt;"",P439+K440,IF(B440&lt;&gt;"",P439,""))</f>
        <v/>
      </c>
      <c r="Q440" s="17" t="str">
        <f aca="false">IF(P440&lt;&gt;"",MIN(0,P440-MAX($P$4:P440)),"")</f>
        <v/>
      </c>
    </row>
    <row r="441" customFormat="false" ht="15" hidden="false" customHeight="true" outlineLevel="0" collapsed="false">
      <c r="A441" s="11" t="str">
        <f aca="false">IF(B441&lt;&gt;"",COUNTA($B$4:B441),"")</f>
        <v/>
      </c>
      <c r="B441" s="20"/>
      <c r="C441" s="20"/>
      <c r="D441" s="20"/>
      <c r="E441" s="20"/>
      <c r="F441" s="20"/>
      <c r="G441" s="20"/>
      <c r="H441" s="20"/>
      <c r="I441" s="21"/>
      <c r="J441" s="20"/>
      <c r="K441" s="14" t="str">
        <f aca="false">IF(AND(I441&lt;&gt;"",H441&lt;&gt;"",J441&lt;&gt;""),IF(J441="W",I441*H441,IF(J441="L",-I441,IF(J441="P",I441*H441*0.5,""))),"")</f>
        <v/>
      </c>
      <c r="L441" s="15" t="str">
        <f aca="false">IF(AND(K441&lt;&gt;"",P440&lt;&gt;""),K441/P440,IF(K441&lt;&gt;"",K441/$D$2,""))</f>
        <v/>
      </c>
      <c r="M441" s="20"/>
      <c r="N441" s="20"/>
      <c r="O441" s="20"/>
      <c r="P441" s="16" t="str">
        <f aca="false">IF(K441&lt;&gt;"",P440+K441,IF(B441&lt;&gt;"",P440,""))</f>
        <v/>
      </c>
      <c r="Q441" s="17" t="str">
        <f aca="false">IF(P441&lt;&gt;"",MIN(0,P441-MAX($P$4:P441)),"")</f>
        <v/>
      </c>
    </row>
    <row r="442" customFormat="false" ht="15" hidden="false" customHeight="true" outlineLevel="0" collapsed="false">
      <c r="A442" s="11" t="str">
        <f aca="false">IF(B442&lt;&gt;"",COUNTA($B$4:B442),"")</f>
        <v/>
      </c>
      <c r="B442" s="12"/>
      <c r="C442" s="12"/>
      <c r="D442" s="12"/>
      <c r="E442" s="12"/>
      <c r="F442" s="12"/>
      <c r="G442" s="12"/>
      <c r="H442" s="12"/>
      <c r="I442" s="13"/>
      <c r="J442" s="12"/>
      <c r="K442" s="14" t="str">
        <f aca="false">IF(AND(I442&lt;&gt;"",H442&lt;&gt;"",J442&lt;&gt;""),IF(J442="W",I442*H442,IF(J442="L",-I442,IF(J442="P",I442*H442*0.5,""))),"")</f>
        <v/>
      </c>
      <c r="L442" s="15" t="str">
        <f aca="false">IF(AND(K442&lt;&gt;"",P441&lt;&gt;""),K442/P441,IF(K442&lt;&gt;"",K442/$D$2,""))</f>
        <v/>
      </c>
      <c r="M442" s="12"/>
      <c r="N442" s="12"/>
      <c r="O442" s="12"/>
      <c r="P442" s="16" t="str">
        <f aca="false">IF(K442&lt;&gt;"",P441+K442,IF(B442&lt;&gt;"",P441,""))</f>
        <v/>
      </c>
      <c r="Q442" s="17" t="str">
        <f aca="false">IF(P442&lt;&gt;"",MIN(0,P442-MAX($P$4:P442)),"")</f>
        <v/>
      </c>
    </row>
    <row r="443" customFormat="false" ht="15" hidden="false" customHeight="true" outlineLevel="0" collapsed="false">
      <c r="A443" s="11" t="str">
        <f aca="false">IF(B443&lt;&gt;"",COUNTA($B$4:B443),"")</f>
        <v/>
      </c>
      <c r="B443" s="20"/>
      <c r="C443" s="20"/>
      <c r="D443" s="20"/>
      <c r="E443" s="20"/>
      <c r="F443" s="20"/>
      <c r="G443" s="20"/>
      <c r="H443" s="20"/>
      <c r="I443" s="21"/>
      <c r="J443" s="20"/>
      <c r="K443" s="14" t="str">
        <f aca="false">IF(AND(I443&lt;&gt;"",H443&lt;&gt;"",J443&lt;&gt;""),IF(J443="W",I443*H443,IF(J443="L",-I443,IF(J443="P",I443*H443*0.5,""))),"")</f>
        <v/>
      </c>
      <c r="L443" s="15" t="str">
        <f aca="false">IF(AND(K443&lt;&gt;"",P442&lt;&gt;""),K443/P442,IF(K443&lt;&gt;"",K443/$D$2,""))</f>
        <v/>
      </c>
      <c r="M443" s="20"/>
      <c r="N443" s="20"/>
      <c r="O443" s="20"/>
      <c r="P443" s="16" t="str">
        <f aca="false">IF(K443&lt;&gt;"",P442+K443,IF(B443&lt;&gt;"",P442,""))</f>
        <v/>
      </c>
      <c r="Q443" s="17" t="str">
        <f aca="false">IF(P443&lt;&gt;"",MIN(0,P443-MAX($P$4:P443)),"")</f>
        <v/>
      </c>
    </row>
    <row r="444" customFormat="false" ht="15" hidden="false" customHeight="true" outlineLevel="0" collapsed="false">
      <c r="A444" s="11" t="str">
        <f aca="false">IF(B444&lt;&gt;"",COUNTA($B$4:B444),"")</f>
        <v/>
      </c>
      <c r="B444" s="12"/>
      <c r="C444" s="12"/>
      <c r="D444" s="12"/>
      <c r="E444" s="12"/>
      <c r="F444" s="12"/>
      <c r="G444" s="12"/>
      <c r="H444" s="12"/>
      <c r="I444" s="13"/>
      <c r="J444" s="12"/>
      <c r="K444" s="14" t="str">
        <f aca="false">IF(AND(I444&lt;&gt;"",H444&lt;&gt;"",J444&lt;&gt;""),IF(J444="W",I444*H444,IF(J444="L",-I444,IF(J444="P",I444*H444*0.5,""))),"")</f>
        <v/>
      </c>
      <c r="L444" s="15" t="str">
        <f aca="false">IF(AND(K444&lt;&gt;"",P443&lt;&gt;""),K444/P443,IF(K444&lt;&gt;"",K444/$D$2,""))</f>
        <v/>
      </c>
      <c r="M444" s="12"/>
      <c r="N444" s="12"/>
      <c r="O444" s="12"/>
      <c r="P444" s="16" t="str">
        <f aca="false">IF(K444&lt;&gt;"",P443+K444,IF(B444&lt;&gt;"",P443,""))</f>
        <v/>
      </c>
      <c r="Q444" s="17" t="str">
        <f aca="false">IF(P444&lt;&gt;"",MIN(0,P444-MAX($P$4:P444)),"")</f>
        <v/>
      </c>
    </row>
    <row r="445" customFormat="false" ht="15" hidden="false" customHeight="true" outlineLevel="0" collapsed="false">
      <c r="A445" s="11" t="str">
        <f aca="false">IF(B445&lt;&gt;"",COUNTA($B$4:B445),"")</f>
        <v/>
      </c>
      <c r="B445" s="20"/>
      <c r="C445" s="20"/>
      <c r="D445" s="20"/>
      <c r="E445" s="20"/>
      <c r="F445" s="20"/>
      <c r="G445" s="20"/>
      <c r="H445" s="20"/>
      <c r="I445" s="21"/>
      <c r="J445" s="20"/>
      <c r="K445" s="14" t="str">
        <f aca="false">IF(AND(I445&lt;&gt;"",H445&lt;&gt;"",J445&lt;&gt;""),IF(J445="W",I445*H445,IF(J445="L",-I445,IF(J445="P",I445*H445*0.5,""))),"")</f>
        <v/>
      </c>
      <c r="L445" s="15" t="str">
        <f aca="false">IF(AND(K445&lt;&gt;"",P444&lt;&gt;""),K445/P444,IF(K445&lt;&gt;"",K445/$D$2,""))</f>
        <v/>
      </c>
      <c r="M445" s="20"/>
      <c r="N445" s="20"/>
      <c r="O445" s="20"/>
      <c r="P445" s="16" t="str">
        <f aca="false">IF(K445&lt;&gt;"",P444+K445,IF(B445&lt;&gt;"",P444,""))</f>
        <v/>
      </c>
      <c r="Q445" s="17" t="str">
        <f aca="false">IF(P445&lt;&gt;"",MIN(0,P445-MAX($P$4:P445)),"")</f>
        <v/>
      </c>
    </row>
    <row r="446" customFormat="false" ht="15" hidden="false" customHeight="true" outlineLevel="0" collapsed="false">
      <c r="A446" s="11" t="str">
        <f aca="false">IF(B446&lt;&gt;"",COUNTA($B$4:B446),"")</f>
        <v/>
      </c>
      <c r="B446" s="12"/>
      <c r="C446" s="12"/>
      <c r="D446" s="12"/>
      <c r="E446" s="12"/>
      <c r="F446" s="12"/>
      <c r="G446" s="12"/>
      <c r="H446" s="12"/>
      <c r="I446" s="13"/>
      <c r="J446" s="12"/>
      <c r="K446" s="14" t="str">
        <f aca="false">IF(AND(I446&lt;&gt;"",H446&lt;&gt;"",J446&lt;&gt;""),IF(J446="W",I446*H446,IF(J446="L",-I446,IF(J446="P",I446*H446*0.5,""))),"")</f>
        <v/>
      </c>
      <c r="L446" s="15" t="str">
        <f aca="false">IF(AND(K446&lt;&gt;"",P445&lt;&gt;""),K446/P445,IF(K446&lt;&gt;"",K446/$D$2,""))</f>
        <v/>
      </c>
      <c r="M446" s="12"/>
      <c r="N446" s="12"/>
      <c r="O446" s="12"/>
      <c r="P446" s="16" t="str">
        <f aca="false">IF(K446&lt;&gt;"",P445+K446,IF(B446&lt;&gt;"",P445,""))</f>
        <v/>
      </c>
      <c r="Q446" s="17" t="str">
        <f aca="false">IF(P446&lt;&gt;"",MIN(0,P446-MAX($P$4:P446)),"")</f>
        <v/>
      </c>
    </row>
    <row r="447" customFormat="false" ht="15" hidden="false" customHeight="true" outlineLevel="0" collapsed="false">
      <c r="A447" s="11" t="str">
        <f aca="false">IF(B447&lt;&gt;"",COUNTA($B$4:B447),"")</f>
        <v/>
      </c>
      <c r="B447" s="20"/>
      <c r="C447" s="20"/>
      <c r="D447" s="20"/>
      <c r="E447" s="20"/>
      <c r="F447" s="20"/>
      <c r="G447" s="20"/>
      <c r="H447" s="20"/>
      <c r="I447" s="21"/>
      <c r="J447" s="20"/>
      <c r="K447" s="14" t="str">
        <f aca="false">IF(AND(I447&lt;&gt;"",H447&lt;&gt;"",J447&lt;&gt;""),IF(J447="W",I447*H447,IF(J447="L",-I447,IF(J447="P",I447*H447*0.5,""))),"")</f>
        <v/>
      </c>
      <c r="L447" s="15" t="str">
        <f aca="false">IF(AND(K447&lt;&gt;"",P446&lt;&gt;""),K447/P446,IF(K447&lt;&gt;"",K447/$D$2,""))</f>
        <v/>
      </c>
      <c r="M447" s="20"/>
      <c r="N447" s="20"/>
      <c r="O447" s="20"/>
      <c r="P447" s="16" t="str">
        <f aca="false">IF(K447&lt;&gt;"",P446+K447,IF(B447&lt;&gt;"",P446,""))</f>
        <v/>
      </c>
      <c r="Q447" s="17" t="str">
        <f aca="false">IF(P447&lt;&gt;"",MIN(0,P447-MAX($P$4:P447)),"")</f>
        <v/>
      </c>
    </row>
    <row r="448" customFormat="false" ht="15" hidden="false" customHeight="true" outlineLevel="0" collapsed="false">
      <c r="A448" s="11" t="str">
        <f aca="false">IF(B448&lt;&gt;"",COUNTA($B$4:B448),"")</f>
        <v/>
      </c>
      <c r="B448" s="12"/>
      <c r="C448" s="12"/>
      <c r="D448" s="12"/>
      <c r="E448" s="12"/>
      <c r="F448" s="12"/>
      <c r="G448" s="12"/>
      <c r="H448" s="12"/>
      <c r="I448" s="13"/>
      <c r="J448" s="12"/>
      <c r="K448" s="14" t="str">
        <f aca="false">IF(AND(I448&lt;&gt;"",H448&lt;&gt;"",J448&lt;&gt;""),IF(J448="W",I448*H448,IF(J448="L",-I448,IF(J448="P",I448*H448*0.5,""))),"")</f>
        <v/>
      </c>
      <c r="L448" s="15" t="str">
        <f aca="false">IF(AND(K448&lt;&gt;"",P447&lt;&gt;""),K448/P447,IF(K448&lt;&gt;"",K448/$D$2,""))</f>
        <v/>
      </c>
      <c r="M448" s="12"/>
      <c r="N448" s="12"/>
      <c r="O448" s="12"/>
      <c r="P448" s="16" t="str">
        <f aca="false">IF(K448&lt;&gt;"",P447+K448,IF(B448&lt;&gt;"",P447,""))</f>
        <v/>
      </c>
      <c r="Q448" s="17" t="str">
        <f aca="false">IF(P448&lt;&gt;"",MIN(0,P448-MAX($P$4:P448)),"")</f>
        <v/>
      </c>
    </row>
    <row r="449" customFormat="false" ht="15" hidden="false" customHeight="true" outlineLevel="0" collapsed="false">
      <c r="A449" s="11" t="str">
        <f aca="false">IF(B449&lt;&gt;"",COUNTA($B$4:B449),"")</f>
        <v/>
      </c>
      <c r="B449" s="20"/>
      <c r="C449" s="20"/>
      <c r="D449" s="20"/>
      <c r="E449" s="20"/>
      <c r="F449" s="20"/>
      <c r="G449" s="20"/>
      <c r="H449" s="20"/>
      <c r="I449" s="21"/>
      <c r="J449" s="20"/>
      <c r="K449" s="14" t="str">
        <f aca="false">IF(AND(I449&lt;&gt;"",H449&lt;&gt;"",J449&lt;&gt;""),IF(J449="W",I449*H449,IF(J449="L",-I449,IF(J449="P",I449*H449*0.5,""))),"")</f>
        <v/>
      </c>
      <c r="L449" s="15" t="str">
        <f aca="false">IF(AND(K449&lt;&gt;"",P448&lt;&gt;""),K449/P448,IF(K449&lt;&gt;"",K449/$D$2,""))</f>
        <v/>
      </c>
      <c r="M449" s="20"/>
      <c r="N449" s="20"/>
      <c r="O449" s="20"/>
      <c r="P449" s="16" t="str">
        <f aca="false">IF(K449&lt;&gt;"",P448+K449,IF(B449&lt;&gt;"",P448,""))</f>
        <v/>
      </c>
      <c r="Q449" s="17" t="str">
        <f aca="false">IF(P449&lt;&gt;"",MIN(0,P449-MAX($P$4:P449)),"")</f>
        <v/>
      </c>
    </row>
    <row r="450" customFormat="false" ht="15" hidden="false" customHeight="true" outlineLevel="0" collapsed="false">
      <c r="A450" s="11" t="str">
        <f aca="false">IF(B450&lt;&gt;"",COUNTA($B$4:B450),"")</f>
        <v/>
      </c>
      <c r="B450" s="12"/>
      <c r="C450" s="12"/>
      <c r="D450" s="12"/>
      <c r="E450" s="12"/>
      <c r="F450" s="12"/>
      <c r="G450" s="12"/>
      <c r="H450" s="12"/>
      <c r="I450" s="13"/>
      <c r="J450" s="12"/>
      <c r="K450" s="14" t="str">
        <f aca="false">IF(AND(I450&lt;&gt;"",H450&lt;&gt;"",J450&lt;&gt;""),IF(J450="W",I450*H450,IF(J450="L",-I450,IF(J450="P",I450*H450*0.5,""))),"")</f>
        <v/>
      </c>
      <c r="L450" s="15" t="str">
        <f aca="false">IF(AND(K450&lt;&gt;"",P449&lt;&gt;""),K450/P449,IF(K450&lt;&gt;"",K450/$D$2,""))</f>
        <v/>
      </c>
      <c r="M450" s="12"/>
      <c r="N450" s="12"/>
      <c r="O450" s="12"/>
      <c r="P450" s="16" t="str">
        <f aca="false">IF(K450&lt;&gt;"",P449+K450,IF(B450&lt;&gt;"",P449,""))</f>
        <v/>
      </c>
      <c r="Q450" s="17" t="str">
        <f aca="false">IF(P450&lt;&gt;"",MIN(0,P450-MAX($P$4:P450)),"")</f>
        <v/>
      </c>
    </row>
    <row r="451" customFormat="false" ht="15" hidden="false" customHeight="true" outlineLevel="0" collapsed="false">
      <c r="A451" s="11" t="str">
        <f aca="false">IF(B451&lt;&gt;"",COUNTA($B$4:B451),"")</f>
        <v/>
      </c>
      <c r="B451" s="20"/>
      <c r="C451" s="20"/>
      <c r="D451" s="20"/>
      <c r="E451" s="20"/>
      <c r="F451" s="20"/>
      <c r="G451" s="20"/>
      <c r="H451" s="20"/>
      <c r="I451" s="21"/>
      <c r="J451" s="20"/>
      <c r="K451" s="14" t="str">
        <f aca="false">IF(AND(I451&lt;&gt;"",H451&lt;&gt;"",J451&lt;&gt;""),IF(J451="W",I451*H451,IF(J451="L",-I451,IF(J451="P",I451*H451*0.5,""))),"")</f>
        <v/>
      </c>
      <c r="L451" s="15" t="str">
        <f aca="false">IF(AND(K451&lt;&gt;"",P450&lt;&gt;""),K451/P450,IF(K451&lt;&gt;"",K451/$D$2,""))</f>
        <v/>
      </c>
      <c r="M451" s="20"/>
      <c r="N451" s="20"/>
      <c r="O451" s="20"/>
      <c r="P451" s="16" t="str">
        <f aca="false">IF(K451&lt;&gt;"",P450+K451,IF(B451&lt;&gt;"",P450,""))</f>
        <v/>
      </c>
      <c r="Q451" s="17" t="str">
        <f aca="false">IF(P451&lt;&gt;"",MIN(0,P451-MAX($P$4:P451)),"")</f>
        <v/>
      </c>
    </row>
    <row r="452" customFormat="false" ht="15" hidden="false" customHeight="true" outlineLevel="0" collapsed="false">
      <c r="A452" s="11" t="str">
        <f aca="false">IF(B452&lt;&gt;"",COUNTA($B$4:B452),"")</f>
        <v/>
      </c>
      <c r="B452" s="12"/>
      <c r="C452" s="12"/>
      <c r="D452" s="12"/>
      <c r="E452" s="12"/>
      <c r="F452" s="12"/>
      <c r="G452" s="12"/>
      <c r="H452" s="12"/>
      <c r="I452" s="13"/>
      <c r="J452" s="12"/>
      <c r="K452" s="14" t="str">
        <f aca="false">IF(AND(I452&lt;&gt;"",H452&lt;&gt;"",J452&lt;&gt;""),IF(J452="W",I452*H452,IF(J452="L",-I452,IF(J452="P",I452*H452*0.5,""))),"")</f>
        <v/>
      </c>
      <c r="L452" s="15" t="str">
        <f aca="false">IF(AND(K452&lt;&gt;"",P451&lt;&gt;""),K452/P451,IF(K452&lt;&gt;"",K452/$D$2,""))</f>
        <v/>
      </c>
      <c r="M452" s="12"/>
      <c r="N452" s="12"/>
      <c r="O452" s="12"/>
      <c r="P452" s="16" t="str">
        <f aca="false">IF(K452&lt;&gt;"",P451+K452,IF(B452&lt;&gt;"",P451,""))</f>
        <v/>
      </c>
      <c r="Q452" s="17" t="str">
        <f aca="false">IF(P452&lt;&gt;"",MIN(0,P452-MAX($P$4:P452)),"")</f>
        <v/>
      </c>
    </row>
    <row r="453" customFormat="false" ht="15" hidden="false" customHeight="true" outlineLevel="0" collapsed="false">
      <c r="A453" s="11" t="str">
        <f aca="false">IF(B453&lt;&gt;"",COUNTA($B$4:B453),"")</f>
        <v/>
      </c>
      <c r="B453" s="20"/>
      <c r="C453" s="20"/>
      <c r="D453" s="20"/>
      <c r="E453" s="20"/>
      <c r="F453" s="20"/>
      <c r="G453" s="20"/>
      <c r="H453" s="20"/>
      <c r="I453" s="21"/>
      <c r="J453" s="20"/>
      <c r="K453" s="14" t="str">
        <f aca="false">IF(AND(I453&lt;&gt;"",H453&lt;&gt;"",J453&lt;&gt;""),IF(J453="W",I453*H453,IF(J453="L",-I453,IF(J453="P",I453*H453*0.5,""))),"")</f>
        <v/>
      </c>
      <c r="L453" s="15" t="str">
        <f aca="false">IF(AND(K453&lt;&gt;"",P452&lt;&gt;""),K453/P452,IF(K453&lt;&gt;"",K453/$D$2,""))</f>
        <v/>
      </c>
      <c r="M453" s="20"/>
      <c r="N453" s="20"/>
      <c r="O453" s="20"/>
      <c r="P453" s="16" t="str">
        <f aca="false">IF(K453&lt;&gt;"",P452+K453,IF(B453&lt;&gt;"",P452,""))</f>
        <v/>
      </c>
      <c r="Q453" s="17" t="str">
        <f aca="false">IF(P453&lt;&gt;"",MIN(0,P453-MAX($P$4:P453)),"")</f>
        <v/>
      </c>
    </row>
    <row r="454" customFormat="false" ht="15" hidden="false" customHeight="true" outlineLevel="0" collapsed="false">
      <c r="A454" s="11" t="str">
        <f aca="false">IF(B454&lt;&gt;"",COUNTA($B$4:B454),"")</f>
        <v/>
      </c>
      <c r="B454" s="12"/>
      <c r="C454" s="12"/>
      <c r="D454" s="12"/>
      <c r="E454" s="12"/>
      <c r="F454" s="12"/>
      <c r="G454" s="12"/>
      <c r="H454" s="12"/>
      <c r="I454" s="13"/>
      <c r="J454" s="12"/>
      <c r="K454" s="14" t="str">
        <f aca="false">IF(AND(I454&lt;&gt;"",H454&lt;&gt;"",J454&lt;&gt;""),IF(J454="W",I454*H454,IF(J454="L",-I454,IF(J454="P",I454*H454*0.5,""))),"")</f>
        <v/>
      </c>
      <c r="L454" s="15" t="str">
        <f aca="false">IF(AND(K454&lt;&gt;"",P453&lt;&gt;""),K454/P453,IF(K454&lt;&gt;"",K454/$D$2,""))</f>
        <v/>
      </c>
      <c r="M454" s="12"/>
      <c r="N454" s="12"/>
      <c r="O454" s="12"/>
      <c r="P454" s="16" t="str">
        <f aca="false">IF(K454&lt;&gt;"",P453+K454,IF(B454&lt;&gt;"",P453,""))</f>
        <v/>
      </c>
      <c r="Q454" s="17" t="str">
        <f aca="false">IF(P454&lt;&gt;"",MIN(0,P454-MAX($P$4:P454)),"")</f>
        <v/>
      </c>
    </row>
    <row r="455" customFormat="false" ht="15" hidden="false" customHeight="true" outlineLevel="0" collapsed="false">
      <c r="A455" s="11" t="str">
        <f aca="false">IF(B455&lt;&gt;"",COUNTA($B$4:B455),"")</f>
        <v/>
      </c>
      <c r="B455" s="20"/>
      <c r="C455" s="20"/>
      <c r="D455" s="20"/>
      <c r="E455" s="20"/>
      <c r="F455" s="20"/>
      <c r="G455" s="20"/>
      <c r="H455" s="20"/>
      <c r="I455" s="21"/>
      <c r="J455" s="20"/>
      <c r="K455" s="14" t="str">
        <f aca="false">IF(AND(I455&lt;&gt;"",H455&lt;&gt;"",J455&lt;&gt;""),IF(J455="W",I455*H455,IF(J455="L",-I455,IF(J455="P",I455*H455*0.5,""))),"")</f>
        <v/>
      </c>
      <c r="L455" s="15" t="str">
        <f aca="false">IF(AND(K455&lt;&gt;"",P454&lt;&gt;""),K455/P454,IF(K455&lt;&gt;"",K455/$D$2,""))</f>
        <v/>
      </c>
      <c r="M455" s="20"/>
      <c r="N455" s="20"/>
      <c r="O455" s="20"/>
      <c r="P455" s="16" t="str">
        <f aca="false">IF(K455&lt;&gt;"",P454+K455,IF(B455&lt;&gt;"",P454,""))</f>
        <v/>
      </c>
      <c r="Q455" s="17" t="str">
        <f aca="false">IF(P455&lt;&gt;"",MIN(0,P455-MAX($P$4:P455)),"")</f>
        <v/>
      </c>
    </row>
    <row r="456" customFormat="false" ht="15" hidden="false" customHeight="true" outlineLevel="0" collapsed="false">
      <c r="A456" s="11" t="str">
        <f aca="false">IF(B456&lt;&gt;"",COUNTA($B$4:B456),"")</f>
        <v/>
      </c>
      <c r="B456" s="12"/>
      <c r="C456" s="12"/>
      <c r="D456" s="12"/>
      <c r="E456" s="12"/>
      <c r="F456" s="12"/>
      <c r="G456" s="12"/>
      <c r="H456" s="12"/>
      <c r="I456" s="13"/>
      <c r="J456" s="12"/>
      <c r="K456" s="14" t="str">
        <f aca="false">IF(AND(I456&lt;&gt;"",H456&lt;&gt;"",J456&lt;&gt;""),IF(J456="W",I456*H456,IF(J456="L",-I456,IF(J456="P",I456*H456*0.5,""))),"")</f>
        <v/>
      </c>
      <c r="L456" s="15" t="str">
        <f aca="false">IF(AND(K456&lt;&gt;"",P455&lt;&gt;""),K456/P455,IF(K456&lt;&gt;"",K456/$D$2,""))</f>
        <v/>
      </c>
      <c r="M456" s="12"/>
      <c r="N456" s="12"/>
      <c r="O456" s="12"/>
      <c r="P456" s="16" t="str">
        <f aca="false">IF(K456&lt;&gt;"",P455+K456,IF(B456&lt;&gt;"",P455,""))</f>
        <v/>
      </c>
      <c r="Q456" s="17" t="str">
        <f aca="false">IF(P456&lt;&gt;"",MIN(0,P456-MAX($P$4:P456)),"")</f>
        <v/>
      </c>
    </row>
    <row r="457" customFormat="false" ht="15" hidden="false" customHeight="true" outlineLevel="0" collapsed="false">
      <c r="A457" s="11" t="str">
        <f aca="false">IF(B457&lt;&gt;"",COUNTA($B$4:B457),"")</f>
        <v/>
      </c>
      <c r="B457" s="20"/>
      <c r="C457" s="20"/>
      <c r="D457" s="20"/>
      <c r="E457" s="20"/>
      <c r="F457" s="20"/>
      <c r="G457" s="20"/>
      <c r="H457" s="20"/>
      <c r="I457" s="21"/>
      <c r="J457" s="20"/>
      <c r="K457" s="14" t="str">
        <f aca="false">IF(AND(I457&lt;&gt;"",H457&lt;&gt;"",J457&lt;&gt;""),IF(J457="W",I457*H457,IF(J457="L",-I457,IF(J457="P",I457*H457*0.5,""))),"")</f>
        <v/>
      </c>
      <c r="L457" s="15" t="str">
        <f aca="false">IF(AND(K457&lt;&gt;"",P456&lt;&gt;""),K457/P456,IF(K457&lt;&gt;"",K457/$D$2,""))</f>
        <v/>
      </c>
      <c r="M457" s="20"/>
      <c r="N457" s="20"/>
      <c r="O457" s="20"/>
      <c r="P457" s="16" t="str">
        <f aca="false">IF(K457&lt;&gt;"",P456+K457,IF(B457&lt;&gt;"",P456,""))</f>
        <v/>
      </c>
      <c r="Q457" s="17" t="str">
        <f aca="false">IF(P457&lt;&gt;"",MIN(0,P457-MAX($P$4:P457)),"")</f>
        <v/>
      </c>
    </row>
    <row r="458" customFormat="false" ht="15" hidden="false" customHeight="true" outlineLevel="0" collapsed="false">
      <c r="A458" s="11" t="str">
        <f aca="false">IF(B458&lt;&gt;"",COUNTA($B$4:B458),"")</f>
        <v/>
      </c>
      <c r="B458" s="12"/>
      <c r="C458" s="12"/>
      <c r="D458" s="12"/>
      <c r="E458" s="12"/>
      <c r="F458" s="12"/>
      <c r="G458" s="12"/>
      <c r="H458" s="12"/>
      <c r="I458" s="13"/>
      <c r="J458" s="12"/>
      <c r="K458" s="14" t="str">
        <f aca="false">IF(AND(I458&lt;&gt;"",H458&lt;&gt;"",J458&lt;&gt;""),IF(J458="W",I458*H458,IF(J458="L",-I458,IF(J458="P",I458*H458*0.5,""))),"")</f>
        <v/>
      </c>
      <c r="L458" s="15" t="str">
        <f aca="false">IF(AND(K458&lt;&gt;"",P457&lt;&gt;""),K458/P457,IF(K458&lt;&gt;"",K458/$D$2,""))</f>
        <v/>
      </c>
      <c r="M458" s="12"/>
      <c r="N458" s="12"/>
      <c r="O458" s="12"/>
      <c r="P458" s="16" t="str">
        <f aca="false">IF(K458&lt;&gt;"",P457+K458,IF(B458&lt;&gt;"",P457,""))</f>
        <v/>
      </c>
      <c r="Q458" s="17" t="str">
        <f aca="false">IF(P458&lt;&gt;"",MIN(0,P458-MAX($P$4:P458)),"")</f>
        <v/>
      </c>
    </row>
    <row r="459" customFormat="false" ht="15" hidden="false" customHeight="true" outlineLevel="0" collapsed="false">
      <c r="A459" s="11" t="str">
        <f aca="false">IF(B459&lt;&gt;"",COUNTA($B$4:B459),"")</f>
        <v/>
      </c>
      <c r="B459" s="20"/>
      <c r="C459" s="20"/>
      <c r="D459" s="20"/>
      <c r="E459" s="20"/>
      <c r="F459" s="20"/>
      <c r="G459" s="20"/>
      <c r="H459" s="20"/>
      <c r="I459" s="21"/>
      <c r="J459" s="20"/>
      <c r="K459" s="14" t="str">
        <f aca="false">IF(AND(I459&lt;&gt;"",H459&lt;&gt;"",J459&lt;&gt;""),IF(J459="W",I459*H459,IF(J459="L",-I459,IF(J459="P",I459*H459*0.5,""))),"")</f>
        <v/>
      </c>
      <c r="L459" s="15" t="str">
        <f aca="false">IF(AND(K459&lt;&gt;"",P458&lt;&gt;""),K459/P458,IF(K459&lt;&gt;"",K459/$D$2,""))</f>
        <v/>
      </c>
      <c r="M459" s="20"/>
      <c r="N459" s="20"/>
      <c r="O459" s="20"/>
      <c r="P459" s="16" t="str">
        <f aca="false">IF(K459&lt;&gt;"",P458+K459,IF(B459&lt;&gt;"",P458,""))</f>
        <v/>
      </c>
      <c r="Q459" s="17" t="str">
        <f aca="false">IF(P459&lt;&gt;"",MIN(0,P459-MAX($P$4:P459)),"")</f>
        <v/>
      </c>
    </row>
    <row r="460" customFormat="false" ht="15" hidden="false" customHeight="true" outlineLevel="0" collapsed="false">
      <c r="A460" s="11" t="str">
        <f aca="false">IF(B460&lt;&gt;"",COUNTA($B$4:B460),"")</f>
        <v/>
      </c>
      <c r="B460" s="12"/>
      <c r="C460" s="12"/>
      <c r="D460" s="12"/>
      <c r="E460" s="12"/>
      <c r="F460" s="12"/>
      <c r="G460" s="12"/>
      <c r="H460" s="12"/>
      <c r="I460" s="13"/>
      <c r="J460" s="12"/>
      <c r="K460" s="14" t="str">
        <f aca="false">IF(AND(I460&lt;&gt;"",H460&lt;&gt;"",J460&lt;&gt;""),IF(J460="W",I460*H460,IF(J460="L",-I460,IF(J460="P",I460*H460*0.5,""))),"")</f>
        <v/>
      </c>
      <c r="L460" s="15" t="str">
        <f aca="false">IF(AND(K460&lt;&gt;"",P459&lt;&gt;""),K460/P459,IF(K460&lt;&gt;"",K460/$D$2,""))</f>
        <v/>
      </c>
      <c r="M460" s="12"/>
      <c r="N460" s="12"/>
      <c r="O460" s="12"/>
      <c r="P460" s="16" t="str">
        <f aca="false">IF(K460&lt;&gt;"",P459+K460,IF(B460&lt;&gt;"",P459,""))</f>
        <v/>
      </c>
      <c r="Q460" s="17" t="str">
        <f aca="false">IF(P460&lt;&gt;"",MIN(0,P460-MAX($P$4:P460)),"")</f>
        <v/>
      </c>
    </row>
    <row r="461" customFormat="false" ht="15" hidden="false" customHeight="true" outlineLevel="0" collapsed="false">
      <c r="A461" s="11" t="str">
        <f aca="false">IF(B461&lt;&gt;"",COUNTA($B$4:B461),"")</f>
        <v/>
      </c>
      <c r="B461" s="20"/>
      <c r="C461" s="20"/>
      <c r="D461" s="20"/>
      <c r="E461" s="20"/>
      <c r="F461" s="20"/>
      <c r="G461" s="20"/>
      <c r="H461" s="20"/>
      <c r="I461" s="21"/>
      <c r="J461" s="20"/>
      <c r="K461" s="14" t="str">
        <f aca="false">IF(AND(I461&lt;&gt;"",H461&lt;&gt;"",J461&lt;&gt;""),IF(J461="W",I461*H461,IF(J461="L",-I461,IF(J461="P",I461*H461*0.5,""))),"")</f>
        <v/>
      </c>
      <c r="L461" s="15" t="str">
        <f aca="false">IF(AND(K461&lt;&gt;"",P460&lt;&gt;""),K461/P460,IF(K461&lt;&gt;"",K461/$D$2,""))</f>
        <v/>
      </c>
      <c r="M461" s="20"/>
      <c r="N461" s="20"/>
      <c r="O461" s="20"/>
      <c r="P461" s="16" t="str">
        <f aca="false">IF(K461&lt;&gt;"",P460+K461,IF(B461&lt;&gt;"",P460,""))</f>
        <v/>
      </c>
      <c r="Q461" s="17" t="str">
        <f aca="false">IF(P461&lt;&gt;"",MIN(0,P461-MAX($P$4:P461)),"")</f>
        <v/>
      </c>
    </row>
    <row r="462" customFormat="false" ht="15" hidden="false" customHeight="true" outlineLevel="0" collapsed="false">
      <c r="A462" s="11" t="str">
        <f aca="false">IF(B462&lt;&gt;"",COUNTA($B$4:B462),"")</f>
        <v/>
      </c>
      <c r="B462" s="12"/>
      <c r="C462" s="12"/>
      <c r="D462" s="12"/>
      <c r="E462" s="12"/>
      <c r="F462" s="12"/>
      <c r="G462" s="12"/>
      <c r="H462" s="12"/>
      <c r="I462" s="13"/>
      <c r="J462" s="12"/>
      <c r="K462" s="14" t="str">
        <f aca="false">IF(AND(I462&lt;&gt;"",H462&lt;&gt;"",J462&lt;&gt;""),IF(J462="W",I462*H462,IF(J462="L",-I462,IF(J462="P",I462*H462*0.5,""))),"")</f>
        <v/>
      </c>
      <c r="L462" s="15" t="str">
        <f aca="false">IF(AND(K462&lt;&gt;"",P461&lt;&gt;""),K462/P461,IF(K462&lt;&gt;"",K462/$D$2,""))</f>
        <v/>
      </c>
      <c r="M462" s="12"/>
      <c r="N462" s="12"/>
      <c r="O462" s="12"/>
      <c r="P462" s="16" t="str">
        <f aca="false">IF(K462&lt;&gt;"",P461+K462,IF(B462&lt;&gt;"",P461,""))</f>
        <v/>
      </c>
      <c r="Q462" s="17" t="str">
        <f aca="false">IF(P462&lt;&gt;"",MIN(0,P462-MAX($P$4:P462)),"")</f>
        <v/>
      </c>
    </row>
    <row r="463" customFormat="false" ht="15" hidden="false" customHeight="true" outlineLevel="0" collapsed="false">
      <c r="A463" s="11" t="str">
        <f aca="false">IF(B463&lt;&gt;"",COUNTA($B$4:B463),"")</f>
        <v/>
      </c>
      <c r="B463" s="20"/>
      <c r="C463" s="20"/>
      <c r="D463" s="20"/>
      <c r="E463" s="20"/>
      <c r="F463" s="20"/>
      <c r="G463" s="20"/>
      <c r="H463" s="20"/>
      <c r="I463" s="21"/>
      <c r="J463" s="20"/>
      <c r="K463" s="14" t="str">
        <f aca="false">IF(AND(I463&lt;&gt;"",H463&lt;&gt;"",J463&lt;&gt;""),IF(J463="W",I463*H463,IF(J463="L",-I463,IF(J463="P",I463*H463*0.5,""))),"")</f>
        <v/>
      </c>
      <c r="L463" s="15" t="str">
        <f aca="false">IF(AND(K463&lt;&gt;"",P462&lt;&gt;""),K463/P462,IF(K463&lt;&gt;"",K463/$D$2,""))</f>
        <v/>
      </c>
      <c r="M463" s="20"/>
      <c r="N463" s="20"/>
      <c r="O463" s="20"/>
      <c r="P463" s="16" t="str">
        <f aca="false">IF(K463&lt;&gt;"",P462+K463,IF(B463&lt;&gt;"",P462,""))</f>
        <v/>
      </c>
      <c r="Q463" s="17" t="str">
        <f aca="false">IF(P463&lt;&gt;"",MIN(0,P463-MAX($P$4:P463)),"")</f>
        <v/>
      </c>
    </row>
    <row r="464" customFormat="false" ht="15" hidden="false" customHeight="true" outlineLevel="0" collapsed="false">
      <c r="A464" s="11" t="str">
        <f aca="false">IF(B464&lt;&gt;"",COUNTA($B$4:B464),"")</f>
        <v/>
      </c>
      <c r="B464" s="12"/>
      <c r="C464" s="12"/>
      <c r="D464" s="12"/>
      <c r="E464" s="12"/>
      <c r="F464" s="12"/>
      <c r="G464" s="12"/>
      <c r="H464" s="12"/>
      <c r="I464" s="13"/>
      <c r="J464" s="12"/>
      <c r="K464" s="14" t="str">
        <f aca="false">IF(AND(I464&lt;&gt;"",H464&lt;&gt;"",J464&lt;&gt;""),IF(J464="W",I464*H464,IF(J464="L",-I464,IF(J464="P",I464*H464*0.5,""))),"")</f>
        <v/>
      </c>
      <c r="L464" s="15" t="str">
        <f aca="false">IF(AND(K464&lt;&gt;"",P463&lt;&gt;""),K464/P463,IF(K464&lt;&gt;"",K464/$D$2,""))</f>
        <v/>
      </c>
      <c r="M464" s="12"/>
      <c r="N464" s="12"/>
      <c r="O464" s="12"/>
      <c r="P464" s="16" t="str">
        <f aca="false">IF(K464&lt;&gt;"",P463+K464,IF(B464&lt;&gt;"",P463,""))</f>
        <v/>
      </c>
      <c r="Q464" s="17" t="str">
        <f aca="false">IF(P464&lt;&gt;"",MIN(0,P464-MAX($P$4:P464)),"")</f>
        <v/>
      </c>
    </row>
    <row r="465" customFormat="false" ht="15" hidden="false" customHeight="true" outlineLevel="0" collapsed="false">
      <c r="A465" s="11" t="str">
        <f aca="false">IF(B465&lt;&gt;"",COUNTA($B$4:B465),"")</f>
        <v/>
      </c>
      <c r="B465" s="20"/>
      <c r="C465" s="20"/>
      <c r="D465" s="20"/>
      <c r="E465" s="20"/>
      <c r="F465" s="20"/>
      <c r="G465" s="20"/>
      <c r="H465" s="20"/>
      <c r="I465" s="21"/>
      <c r="J465" s="20"/>
      <c r="K465" s="14" t="str">
        <f aca="false">IF(AND(I465&lt;&gt;"",H465&lt;&gt;"",J465&lt;&gt;""),IF(J465="W",I465*H465,IF(J465="L",-I465,IF(J465="P",I465*H465*0.5,""))),"")</f>
        <v/>
      </c>
      <c r="L465" s="15" t="str">
        <f aca="false">IF(AND(K465&lt;&gt;"",P464&lt;&gt;""),K465/P464,IF(K465&lt;&gt;"",K465/$D$2,""))</f>
        <v/>
      </c>
      <c r="M465" s="20"/>
      <c r="N465" s="20"/>
      <c r="O465" s="20"/>
      <c r="P465" s="16" t="str">
        <f aca="false">IF(K465&lt;&gt;"",P464+K465,IF(B465&lt;&gt;"",P464,""))</f>
        <v/>
      </c>
      <c r="Q465" s="17" t="str">
        <f aca="false">IF(P465&lt;&gt;"",MIN(0,P465-MAX($P$4:P465)),"")</f>
        <v/>
      </c>
    </row>
    <row r="466" customFormat="false" ht="15" hidden="false" customHeight="true" outlineLevel="0" collapsed="false">
      <c r="A466" s="11" t="str">
        <f aca="false">IF(B466&lt;&gt;"",COUNTA($B$4:B466),"")</f>
        <v/>
      </c>
      <c r="B466" s="12"/>
      <c r="C466" s="12"/>
      <c r="D466" s="12"/>
      <c r="E466" s="12"/>
      <c r="F466" s="12"/>
      <c r="G466" s="12"/>
      <c r="H466" s="12"/>
      <c r="I466" s="13"/>
      <c r="J466" s="12"/>
      <c r="K466" s="14" t="str">
        <f aca="false">IF(AND(I466&lt;&gt;"",H466&lt;&gt;"",J466&lt;&gt;""),IF(J466="W",I466*H466,IF(J466="L",-I466,IF(J466="P",I466*H466*0.5,""))),"")</f>
        <v/>
      </c>
      <c r="L466" s="15" t="str">
        <f aca="false">IF(AND(K466&lt;&gt;"",P465&lt;&gt;""),K466/P465,IF(K466&lt;&gt;"",K466/$D$2,""))</f>
        <v/>
      </c>
      <c r="M466" s="12"/>
      <c r="N466" s="12"/>
      <c r="O466" s="12"/>
      <c r="P466" s="16" t="str">
        <f aca="false">IF(K466&lt;&gt;"",P465+K466,IF(B466&lt;&gt;"",P465,""))</f>
        <v/>
      </c>
      <c r="Q466" s="17" t="str">
        <f aca="false">IF(P466&lt;&gt;"",MIN(0,P466-MAX($P$4:P466)),"")</f>
        <v/>
      </c>
    </row>
    <row r="467" customFormat="false" ht="15" hidden="false" customHeight="true" outlineLevel="0" collapsed="false">
      <c r="A467" s="11" t="str">
        <f aca="false">IF(B467&lt;&gt;"",COUNTA($B$4:B467),"")</f>
        <v/>
      </c>
      <c r="B467" s="20"/>
      <c r="C467" s="20"/>
      <c r="D467" s="20"/>
      <c r="E467" s="20"/>
      <c r="F467" s="20"/>
      <c r="G467" s="20"/>
      <c r="H467" s="20"/>
      <c r="I467" s="21"/>
      <c r="J467" s="20"/>
      <c r="K467" s="14" t="str">
        <f aca="false">IF(AND(I467&lt;&gt;"",H467&lt;&gt;"",J467&lt;&gt;""),IF(J467="W",I467*H467,IF(J467="L",-I467,IF(J467="P",I467*H467*0.5,""))),"")</f>
        <v/>
      </c>
      <c r="L467" s="15" t="str">
        <f aca="false">IF(AND(K467&lt;&gt;"",P466&lt;&gt;""),K467/P466,IF(K467&lt;&gt;"",K467/$D$2,""))</f>
        <v/>
      </c>
      <c r="M467" s="20"/>
      <c r="N467" s="20"/>
      <c r="O467" s="20"/>
      <c r="P467" s="16" t="str">
        <f aca="false">IF(K467&lt;&gt;"",P466+K467,IF(B467&lt;&gt;"",P466,""))</f>
        <v/>
      </c>
      <c r="Q467" s="17" t="str">
        <f aca="false">IF(P467&lt;&gt;"",MIN(0,P467-MAX($P$4:P467)),"")</f>
        <v/>
      </c>
    </row>
    <row r="468" customFormat="false" ht="15" hidden="false" customHeight="true" outlineLevel="0" collapsed="false">
      <c r="A468" s="11" t="str">
        <f aca="false">IF(B468&lt;&gt;"",COUNTA($B$4:B468),"")</f>
        <v/>
      </c>
      <c r="B468" s="12"/>
      <c r="C468" s="12"/>
      <c r="D468" s="12"/>
      <c r="E468" s="12"/>
      <c r="F468" s="12"/>
      <c r="G468" s="12"/>
      <c r="H468" s="12"/>
      <c r="I468" s="13"/>
      <c r="J468" s="12"/>
      <c r="K468" s="14" t="str">
        <f aca="false">IF(AND(I468&lt;&gt;"",H468&lt;&gt;"",J468&lt;&gt;""),IF(J468="W",I468*H468,IF(J468="L",-I468,IF(J468="P",I468*H468*0.5,""))),"")</f>
        <v/>
      </c>
      <c r="L468" s="15" t="str">
        <f aca="false">IF(AND(K468&lt;&gt;"",P467&lt;&gt;""),K468/P467,IF(K468&lt;&gt;"",K468/$D$2,""))</f>
        <v/>
      </c>
      <c r="M468" s="12"/>
      <c r="N468" s="12"/>
      <c r="O468" s="12"/>
      <c r="P468" s="16" t="str">
        <f aca="false">IF(K468&lt;&gt;"",P467+K468,IF(B468&lt;&gt;"",P467,""))</f>
        <v/>
      </c>
      <c r="Q468" s="17" t="str">
        <f aca="false">IF(P468&lt;&gt;"",MIN(0,P468-MAX($P$4:P468)),"")</f>
        <v/>
      </c>
    </row>
    <row r="469" customFormat="false" ht="15" hidden="false" customHeight="true" outlineLevel="0" collapsed="false">
      <c r="A469" s="11" t="str">
        <f aca="false">IF(B469&lt;&gt;"",COUNTA($B$4:B469),"")</f>
        <v/>
      </c>
      <c r="B469" s="20"/>
      <c r="C469" s="20"/>
      <c r="D469" s="20"/>
      <c r="E469" s="20"/>
      <c r="F469" s="20"/>
      <c r="G469" s="20"/>
      <c r="H469" s="20"/>
      <c r="I469" s="21"/>
      <c r="J469" s="20"/>
      <c r="K469" s="14" t="str">
        <f aca="false">IF(AND(I469&lt;&gt;"",H469&lt;&gt;"",J469&lt;&gt;""),IF(J469="W",I469*H469,IF(J469="L",-I469,IF(J469="P",I469*H469*0.5,""))),"")</f>
        <v/>
      </c>
      <c r="L469" s="15" t="str">
        <f aca="false">IF(AND(K469&lt;&gt;"",P468&lt;&gt;""),K469/P468,IF(K469&lt;&gt;"",K469/$D$2,""))</f>
        <v/>
      </c>
      <c r="M469" s="20"/>
      <c r="N469" s="20"/>
      <c r="O469" s="20"/>
      <c r="P469" s="16" t="str">
        <f aca="false">IF(K469&lt;&gt;"",P468+K469,IF(B469&lt;&gt;"",P468,""))</f>
        <v/>
      </c>
      <c r="Q469" s="17" t="str">
        <f aca="false">IF(P469&lt;&gt;"",MIN(0,P469-MAX($P$4:P469)),"")</f>
        <v/>
      </c>
    </row>
    <row r="470" customFormat="false" ht="15" hidden="false" customHeight="true" outlineLevel="0" collapsed="false">
      <c r="A470" s="11" t="str">
        <f aca="false">IF(B470&lt;&gt;"",COUNTA($B$4:B470),"")</f>
        <v/>
      </c>
      <c r="B470" s="12"/>
      <c r="C470" s="12"/>
      <c r="D470" s="12"/>
      <c r="E470" s="12"/>
      <c r="F470" s="12"/>
      <c r="G470" s="12"/>
      <c r="H470" s="12"/>
      <c r="I470" s="13"/>
      <c r="J470" s="12"/>
      <c r="K470" s="14" t="str">
        <f aca="false">IF(AND(I470&lt;&gt;"",H470&lt;&gt;"",J470&lt;&gt;""),IF(J470="W",I470*H470,IF(J470="L",-I470,IF(J470="P",I470*H470*0.5,""))),"")</f>
        <v/>
      </c>
      <c r="L470" s="15" t="str">
        <f aca="false">IF(AND(K470&lt;&gt;"",P469&lt;&gt;""),K470/P469,IF(K470&lt;&gt;"",K470/$D$2,""))</f>
        <v/>
      </c>
      <c r="M470" s="12"/>
      <c r="N470" s="12"/>
      <c r="O470" s="12"/>
      <c r="P470" s="16" t="str">
        <f aca="false">IF(K470&lt;&gt;"",P469+K470,IF(B470&lt;&gt;"",P469,""))</f>
        <v/>
      </c>
      <c r="Q470" s="17" t="str">
        <f aca="false">IF(P470&lt;&gt;"",MIN(0,P470-MAX($P$4:P470)),"")</f>
        <v/>
      </c>
    </row>
    <row r="471" customFormat="false" ht="15" hidden="false" customHeight="true" outlineLevel="0" collapsed="false">
      <c r="A471" s="11" t="str">
        <f aca="false">IF(B471&lt;&gt;"",COUNTA($B$4:B471),"")</f>
        <v/>
      </c>
      <c r="B471" s="20"/>
      <c r="C471" s="20"/>
      <c r="D471" s="20"/>
      <c r="E471" s="20"/>
      <c r="F471" s="20"/>
      <c r="G471" s="20"/>
      <c r="H471" s="20"/>
      <c r="I471" s="21"/>
      <c r="J471" s="20"/>
      <c r="K471" s="14" t="str">
        <f aca="false">IF(AND(I471&lt;&gt;"",H471&lt;&gt;"",J471&lt;&gt;""),IF(J471="W",I471*H471,IF(J471="L",-I471,IF(J471="P",I471*H471*0.5,""))),"")</f>
        <v/>
      </c>
      <c r="L471" s="15" t="str">
        <f aca="false">IF(AND(K471&lt;&gt;"",P470&lt;&gt;""),K471/P470,IF(K471&lt;&gt;"",K471/$D$2,""))</f>
        <v/>
      </c>
      <c r="M471" s="20"/>
      <c r="N471" s="20"/>
      <c r="O471" s="20"/>
      <c r="P471" s="16" t="str">
        <f aca="false">IF(K471&lt;&gt;"",P470+K471,IF(B471&lt;&gt;"",P470,""))</f>
        <v/>
      </c>
      <c r="Q471" s="17" t="str">
        <f aca="false">IF(P471&lt;&gt;"",MIN(0,P471-MAX($P$4:P471)),"")</f>
        <v/>
      </c>
    </row>
    <row r="472" customFormat="false" ht="15" hidden="false" customHeight="true" outlineLevel="0" collapsed="false">
      <c r="A472" s="11" t="str">
        <f aca="false">IF(B472&lt;&gt;"",COUNTA($B$4:B472),"")</f>
        <v/>
      </c>
      <c r="B472" s="12"/>
      <c r="C472" s="12"/>
      <c r="D472" s="12"/>
      <c r="E472" s="12"/>
      <c r="F472" s="12"/>
      <c r="G472" s="12"/>
      <c r="H472" s="12"/>
      <c r="I472" s="13"/>
      <c r="J472" s="12"/>
      <c r="K472" s="14" t="str">
        <f aca="false">IF(AND(I472&lt;&gt;"",H472&lt;&gt;"",J472&lt;&gt;""),IF(J472="W",I472*H472,IF(J472="L",-I472,IF(J472="P",I472*H472*0.5,""))),"")</f>
        <v/>
      </c>
      <c r="L472" s="15" t="str">
        <f aca="false">IF(AND(K472&lt;&gt;"",P471&lt;&gt;""),K472/P471,IF(K472&lt;&gt;"",K472/$D$2,""))</f>
        <v/>
      </c>
      <c r="M472" s="12"/>
      <c r="N472" s="12"/>
      <c r="O472" s="12"/>
      <c r="P472" s="16" t="str">
        <f aca="false">IF(K472&lt;&gt;"",P471+K472,IF(B472&lt;&gt;"",P471,""))</f>
        <v/>
      </c>
      <c r="Q472" s="17" t="str">
        <f aca="false">IF(P472&lt;&gt;"",MIN(0,P472-MAX($P$4:P472)),"")</f>
        <v/>
      </c>
    </row>
    <row r="473" customFormat="false" ht="15" hidden="false" customHeight="true" outlineLevel="0" collapsed="false">
      <c r="A473" s="11" t="str">
        <f aca="false">IF(B473&lt;&gt;"",COUNTA($B$4:B473),"")</f>
        <v/>
      </c>
      <c r="B473" s="20"/>
      <c r="C473" s="20"/>
      <c r="D473" s="20"/>
      <c r="E473" s="20"/>
      <c r="F473" s="20"/>
      <c r="G473" s="20"/>
      <c r="H473" s="20"/>
      <c r="I473" s="21"/>
      <c r="J473" s="20"/>
      <c r="K473" s="14" t="str">
        <f aca="false">IF(AND(I473&lt;&gt;"",H473&lt;&gt;"",J473&lt;&gt;""),IF(J473="W",I473*H473,IF(J473="L",-I473,IF(J473="P",I473*H473*0.5,""))),"")</f>
        <v/>
      </c>
      <c r="L473" s="15" t="str">
        <f aca="false">IF(AND(K473&lt;&gt;"",P472&lt;&gt;""),K473/P472,IF(K473&lt;&gt;"",K473/$D$2,""))</f>
        <v/>
      </c>
      <c r="M473" s="20"/>
      <c r="N473" s="20"/>
      <c r="O473" s="20"/>
      <c r="P473" s="16" t="str">
        <f aca="false">IF(K473&lt;&gt;"",P472+K473,IF(B473&lt;&gt;"",P472,""))</f>
        <v/>
      </c>
      <c r="Q473" s="17" t="str">
        <f aca="false">IF(P473&lt;&gt;"",MIN(0,P473-MAX($P$4:P473)),"")</f>
        <v/>
      </c>
    </row>
    <row r="474" customFormat="false" ht="15" hidden="false" customHeight="true" outlineLevel="0" collapsed="false">
      <c r="A474" s="11" t="str">
        <f aca="false">IF(B474&lt;&gt;"",COUNTA($B$4:B474),"")</f>
        <v/>
      </c>
      <c r="B474" s="12"/>
      <c r="C474" s="12"/>
      <c r="D474" s="12"/>
      <c r="E474" s="12"/>
      <c r="F474" s="12"/>
      <c r="G474" s="12"/>
      <c r="H474" s="12"/>
      <c r="I474" s="13"/>
      <c r="J474" s="12"/>
      <c r="K474" s="14" t="str">
        <f aca="false">IF(AND(I474&lt;&gt;"",H474&lt;&gt;"",J474&lt;&gt;""),IF(J474="W",I474*H474,IF(J474="L",-I474,IF(J474="P",I474*H474*0.5,""))),"")</f>
        <v/>
      </c>
      <c r="L474" s="15" t="str">
        <f aca="false">IF(AND(K474&lt;&gt;"",P473&lt;&gt;""),K474/P473,IF(K474&lt;&gt;"",K474/$D$2,""))</f>
        <v/>
      </c>
      <c r="M474" s="12"/>
      <c r="N474" s="12"/>
      <c r="O474" s="12"/>
      <c r="P474" s="16" t="str">
        <f aca="false">IF(K474&lt;&gt;"",P473+K474,IF(B474&lt;&gt;"",P473,""))</f>
        <v/>
      </c>
      <c r="Q474" s="17" t="str">
        <f aca="false">IF(P474&lt;&gt;"",MIN(0,P474-MAX($P$4:P474)),"")</f>
        <v/>
      </c>
    </row>
    <row r="475" customFormat="false" ht="15" hidden="false" customHeight="true" outlineLevel="0" collapsed="false">
      <c r="A475" s="11" t="str">
        <f aca="false">IF(B475&lt;&gt;"",COUNTA($B$4:B475),"")</f>
        <v/>
      </c>
      <c r="B475" s="20"/>
      <c r="C475" s="20"/>
      <c r="D475" s="20"/>
      <c r="E475" s="20"/>
      <c r="F475" s="20"/>
      <c r="G475" s="20"/>
      <c r="H475" s="20"/>
      <c r="I475" s="21"/>
      <c r="J475" s="20"/>
      <c r="K475" s="14" t="str">
        <f aca="false">IF(AND(I475&lt;&gt;"",H475&lt;&gt;"",J475&lt;&gt;""),IF(J475="W",I475*H475,IF(J475="L",-I475,IF(J475="P",I475*H475*0.5,""))),"")</f>
        <v/>
      </c>
      <c r="L475" s="15" t="str">
        <f aca="false">IF(AND(K475&lt;&gt;"",P474&lt;&gt;""),K475/P474,IF(K475&lt;&gt;"",K475/$D$2,""))</f>
        <v/>
      </c>
      <c r="M475" s="20"/>
      <c r="N475" s="20"/>
      <c r="O475" s="20"/>
      <c r="P475" s="16" t="str">
        <f aca="false">IF(K475&lt;&gt;"",P474+K475,IF(B475&lt;&gt;"",P474,""))</f>
        <v/>
      </c>
      <c r="Q475" s="17" t="str">
        <f aca="false">IF(P475&lt;&gt;"",MIN(0,P475-MAX($P$4:P475)),"")</f>
        <v/>
      </c>
    </row>
    <row r="476" customFormat="false" ht="15" hidden="false" customHeight="true" outlineLevel="0" collapsed="false">
      <c r="A476" s="11" t="str">
        <f aca="false">IF(B476&lt;&gt;"",COUNTA($B$4:B476),"")</f>
        <v/>
      </c>
      <c r="B476" s="12"/>
      <c r="C476" s="12"/>
      <c r="D476" s="12"/>
      <c r="E476" s="12"/>
      <c r="F476" s="12"/>
      <c r="G476" s="12"/>
      <c r="H476" s="12"/>
      <c r="I476" s="13"/>
      <c r="J476" s="12"/>
      <c r="K476" s="14" t="str">
        <f aca="false">IF(AND(I476&lt;&gt;"",H476&lt;&gt;"",J476&lt;&gt;""),IF(J476="W",I476*H476,IF(J476="L",-I476,IF(J476="P",I476*H476*0.5,""))),"")</f>
        <v/>
      </c>
      <c r="L476" s="15" t="str">
        <f aca="false">IF(AND(K476&lt;&gt;"",P475&lt;&gt;""),K476/P475,IF(K476&lt;&gt;"",K476/$D$2,""))</f>
        <v/>
      </c>
      <c r="M476" s="12"/>
      <c r="N476" s="12"/>
      <c r="O476" s="12"/>
      <c r="P476" s="16" t="str">
        <f aca="false">IF(K476&lt;&gt;"",P475+K476,IF(B476&lt;&gt;"",P475,""))</f>
        <v/>
      </c>
      <c r="Q476" s="17" t="str">
        <f aca="false">IF(P476&lt;&gt;"",MIN(0,P476-MAX($P$4:P476)),"")</f>
        <v/>
      </c>
    </row>
    <row r="477" customFormat="false" ht="15" hidden="false" customHeight="true" outlineLevel="0" collapsed="false">
      <c r="A477" s="11" t="str">
        <f aca="false">IF(B477&lt;&gt;"",COUNTA($B$4:B477),"")</f>
        <v/>
      </c>
      <c r="B477" s="20"/>
      <c r="C477" s="20"/>
      <c r="D477" s="20"/>
      <c r="E477" s="20"/>
      <c r="F477" s="20"/>
      <c r="G477" s="20"/>
      <c r="H477" s="20"/>
      <c r="I477" s="21"/>
      <c r="J477" s="20"/>
      <c r="K477" s="14" t="str">
        <f aca="false">IF(AND(I477&lt;&gt;"",H477&lt;&gt;"",J477&lt;&gt;""),IF(J477="W",I477*H477,IF(J477="L",-I477,IF(J477="P",I477*H477*0.5,""))),"")</f>
        <v/>
      </c>
      <c r="L477" s="15" t="str">
        <f aca="false">IF(AND(K477&lt;&gt;"",P476&lt;&gt;""),K477/P476,IF(K477&lt;&gt;"",K477/$D$2,""))</f>
        <v/>
      </c>
      <c r="M477" s="20"/>
      <c r="N477" s="20"/>
      <c r="O477" s="20"/>
      <c r="P477" s="16" t="str">
        <f aca="false">IF(K477&lt;&gt;"",P476+K477,IF(B477&lt;&gt;"",P476,""))</f>
        <v/>
      </c>
      <c r="Q477" s="17" t="str">
        <f aca="false">IF(P477&lt;&gt;"",MIN(0,P477-MAX($P$4:P477)),"")</f>
        <v/>
      </c>
    </row>
    <row r="478" customFormat="false" ht="15" hidden="false" customHeight="true" outlineLevel="0" collapsed="false">
      <c r="A478" s="11" t="str">
        <f aca="false">IF(B478&lt;&gt;"",COUNTA($B$4:B478),"")</f>
        <v/>
      </c>
      <c r="B478" s="12"/>
      <c r="C478" s="12"/>
      <c r="D478" s="12"/>
      <c r="E478" s="12"/>
      <c r="F478" s="12"/>
      <c r="G478" s="12"/>
      <c r="H478" s="12"/>
      <c r="I478" s="13"/>
      <c r="J478" s="12"/>
      <c r="K478" s="14" t="str">
        <f aca="false">IF(AND(I478&lt;&gt;"",H478&lt;&gt;"",J478&lt;&gt;""),IF(J478="W",I478*H478,IF(J478="L",-I478,IF(J478="P",I478*H478*0.5,""))),"")</f>
        <v/>
      </c>
      <c r="L478" s="15" t="str">
        <f aca="false">IF(AND(K478&lt;&gt;"",P477&lt;&gt;""),K478/P477,IF(K478&lt;&gt;"",K478/$D$2,""))</f>
        <v/>
      </c>
      <c r="M478" s="12"/>
      <c r="N478" s="12"/>
      <c r="O478" s="12"/>
      <c r="P478" s="16" t="str">
        <f aca="false">IF(K478&lt;&gt;"",P477+K478,IF(B478&lt;&gt;"",P477,""))</f>
        <v/>
      </c>
      <c r="Q478" s="17" t="str">
        <f aca="false">IF(P478&lt;&gt;"",MIN(0,P478-MAX($P$4:P478)),"")</f>
        <v/>
      </c>
    </row>
    <row r="479" customFormat="false" ht="15" hidden="false" customHeight="true" outlineLevel="0" collapsed="false">
      <c r="A479" s="11" t="str">
        <f aca="false">IF(B479&lt;&gt;"",COUNTA($B$4:B479),"")</f>
        <v/>
      </c>
      <c r="B479" s="20"/>
      <c r="C479" s="20"/>
      <c r="D479" s="20"/>
      <c r="E479" s="20"/>
      <c r="F479" s="20"/>
      <c r="G479" s="20"/>
      <c r="H479" s="20"/>
      <c r="I479" s="21"/>
      <c r="J479" s="20"/>
      <c r="K479" s="14" t="str">
        <f aca="false">IF(AND(I479&lt;&gt;"",H479&lt;&gt;"",J479&lt;&gt;""),IF(J479="W",I479*H479,IF(J479="L",-I479,IF(J479="P",I479*H479*0.5,""))),"")</f>
        <v/>
      </c>
      <c r="L479" s="15" t="str">
        <f aca="false">IF(AND(K479&lt;&gt;"",P478&lt;&gt;""),K479/P478,IF(K479&lt;&gt;"",K479/$D$2,""))</f>
        <v/>
      </c>
      <c r="M479" s="20"/>
      <c r="N479" s="20"/>
      <c r="O479" s="20"/>
      <c r="P479" s="16" t="str">
        <f aca="false">IF(K479&lt;&gt;"",P478+K479,IF(B479&lt;&gt;"",P478,""))</f>
        <v/>
      </c>
      <c r="Q479" s="17" t="str">
        <f aca="false">IF(P479&lt;&gt;"",MIN(0,P479-MAX($P$4:P479)),"")</f>
        <v/>
      </c>
    </row>
    <row r="480" customFormat="false" ht="15" hidden="false" customHeight="true" outlineLevel="0" collapsed="false">
      <c r="A480" s="11" t="str">
        <f aca="false">IF(B480&lt;&gt;"",COUNTA($B$4:B480),"")</f>
        <v/>
      </c>
      <c r="B480" s="12"/>
      <c r="C480" s="12"/>
      <c r="D480" s="12"/>
      <c r="E480" s="12"/>
      <c r="F480" s="12"/>
      <c r="G480" s="12"/>
      <c r="H480" s="12"/>
      <c r="I480" s="13"/>
      <c r="J480" s="12"/>
      <c r="K480" s="14" t="str">
        <f aca="false">IF(AND(I480&lt;&gt;"",H480&lt;&gt;"",J480&lt;&gt;""),IF(J480="W",I480*H480,IF(J480="L",-I480,IF(J480="P",I480*H480*0.5,""))),"")</f>
        <v/>
      </c>
      <c r="L480" s="15" t="str">
        <f aca="false">IF(AND(K480&lt;&gt;"",P479&lt;&gt;""),K480/P479,IF(K480&lt;&gt;"",K480/$D$2,""))</f>
        <v/>
      </c>
      <c r="M480" s="12"/>
      <c r="N480" s="12"/>
      <c r="O480" s="12"/>
      <c r="P480" s="16" t="str">
        <f aca="false">IF(K480&lt;&gt;"",P479+K480,IF(B480&lt;&gt;"",P479,""))</f>
        <v/>
      </c>
      <c r="Q480" s="17" t="str">
        <f aca="false">IF(P480&lt;&gt;"",MIN(0,P480-MAX($P$4:P480)),"")</f>
        <v/>
      </c>
    </row>
    <row r="481" customFormat="false" ht="15" hidden="false" customHeight="true" outlineLevel="0" collapsed="false">
      <c r="A481" s="11" t="str">
        <f aca="false">IF(B481&lt;&gt;"",COUNTA($B$4:B481),"")</f>
        <v/>
      </c>
      <c r="B481" s="20"/>
      <c r="C481" s="20"/>
      <c r="D481" s="20"/>
      <c r="E481" s="20"/>
      <c r="F481" s="20"/>
      <c r="G481" s="20"/>
      <c r="H481" s="20"/>
      <c r="I481" s="21"/>
      <c r="J481" s="20"/>
      <c r="K481" s="14" t="str">
        <f aca="false">IF(AND(I481&lt;&gt;"",H481&lt;&gt;"",J481&lt;&gt;""),IF(J481="W",I481*H481,IF(J481="L",-I481,IF(J481="P",I481*H481*0.5,""))),"")</f>
        <v/>
      </c>
      <c r="L481" s="15" t="str">
        <f aca="false">IF(AND(K481&lt;&gt;"",P480&lt;&gt;""),K481/P480,IF(K481&lt;&gt;"",K481/$D$2,""))</f>
        <v/>
      </c>
      <c r="M481" s="20"/>
      <c r="N481" s="20"/>
      <c r="O481" s="20"/>
      <c r="P481" s="16" t="str">
        <f aca="false">IF(K481&lt;&gt;"",P480+K481,IF(B481&lt;&gt;"",P480,""))</f>
        <v/>
      </c>
      <c r="Q481" s="17" t="str">
        <f aca="false">IF(P481&lt;&gt;"",MIN(0,P481-MAX($P$4:P481)),"")</f>
        <v/>
      </c>
    </row>
    <row r="482" customFormat="false" ht="15" hidden="false" customHeight="true" outlineLevel="0" collapsed="false">
      <c r="A482" s="11" t="str">
        <f aca="false">IF(B482&lt;&gt;"",COUNTA($B$4:B482),"")</f>
        <v/>
      </c>
      <c r="B482" s="12"/>
      <c r="C482" s="12"/>
      <c r="D482" s="12"/>
      <c r="E482" s="12"/>
      <c r="F482" s="12"/>
      <c r="G482" s="12"/>
      <c r="H482" s="12"/>
      <c r="I482" s="13"/>
      <c r="J482" s="12"/>
      <c r="K482" s="14" t="str">
        <f aca="false">IF(AND(I482&lt;&gt;"",H482&lt;&gt;"",J482&lt;&gt;""),IF(J482="W",I482*H482,IF(J482="L",-I482,IF(J482="P",I482*H482*0.5,""))),"")</f>
        <v/>
      </c>
      <c r="L482" s="15" t="str">
        <f aca="false">IF(AND(K482&lt;&gt;"",P481&lt;&gt;""),K482/P481,IF(K482&lt;&gt;"",K482/$D$2,""))</f>
        <v/>
      </c>
      <c r="M482" s="12"/>
      <c r="N482" s="12"/>
      <c r="O482" s="12"/>
      <c r="P482" s="16" t="str">
        <f aca="false">IF(K482&lt;&gt;"",P481+K482,IF(B482&lt;&gt;"",P481,""))</f>
        <v/>
      </c>
      <c r="Q482" s="17" t="str">
        <f aca="false">IF(P482&lt;&gt;"",MIN(0,P482-MAX($P$4:P482)),"")</f>
        <v/>
      </c>
    </row>
    <row r="483" customFormat="false" ht="15" hidden="false" customHeight="true" outlineLevel="0" collapsed="false">
      <c r="A483" s="11" t="str">
        <f aca="false">IF(B483&lt;&gt;"",COUNTA($B$4:B483),"")</f>
        <v/>
      </c>
      <c r="B483" s="20"/>
      <c r="C483" s="20"/>
      <c r="D483" s="20"/>
      <c r="E483" s="20"/>
      <c r="F483" s="20"/>
      <c r="G483" s="20"/>
      <c r="H483" s="20"/>
      <c r="I483" s="21"/>
      <c r="J483" s="20"/>
      <c r="K483" s="14" t="str">
        <f aca="false">IF(AND(I483&lt;&gt;"",H483&lt;&gt;"",J483&lt;&gt;""),IF(J483="W",I483*H483,IF(J483="L",-I483,IF(J483="P",I483*H483*0.5,""))),"")</f>
        <v/>
      </c>
      <c r="L483" s="15" t="str">
        <f aca="false">IF(AND(K483&lt;&gt;"",P482&lt;&gt;""),K483/P482,IF(K483&lt;&gt;"",K483/$D$2,""))</f>
        <v/>
      </c>
      <c r="M483" s="20"/>
      <c r="N483" s="20"/>
      <c r="O483" s="20"/>
      <c r="P483" s="16" t="str">
        <f aca="false">IF(K483&lt;&gt;"",P482+K483,IF(B483&lt;&gt;"",P482,""))</f>
        <v/>
      </c>
      <c r="Q483" s="17" t="str">
        <f aca="false">IF(P483&lt;&gt;"",MIN(0,P483-MAX($P$4:P483)),"")</f>
        <v/>
      </c>
    </row>
    <row r="484" customFormat="false" ht="15" hidden="false" customHeight="true" outlineLevel="0" collapsed="false">
      <c r="A484" s="11" t="str">
        <f aca="false">IF(B484&lt;&gt;"",COUNTA($B$4:B484),"")</f>
        <v/>
      </c>
      <c r="B484" s="12"/>
      <c r="C484" s="12"/>
      <c r="D484" s="12"/>
      <c r="E484" s="12"/>
      <c r="F484" s="12"/>
      <c r="G484" s="12"/>
      <c r="H484" s="12"/>
      <c r="I484" s="13"/>
      <c r="J484" s="12"/>
      <c r="K484" s="14" t="str">
        <f aca="false">IF(AND(I484&lt;&gt;"",H484&lt;&gt;"",J484&lt;&gt;""),IF(J484="W",I484*H484,IF(J484="L",-I484,IF(J484="P",I484*H484*0.5,""))),"")</f>
        <v/>
      </c>
      <c r="L484" s="15" t="str">
        <f aca="false">IF(AND(K484&lt;&gt;"",P483&lt;&gt;""),K484/P483,IF(K484&lt;&gt;"",K484/$D$2,""))</f>
        <v/>
      </c>
      <c r="M484" s="12"/>
      <c r="N484" s="12"/>
      <c r="O484" s="12"/>
      <c r="P484" s="16" t="str">
        <f aca="false">IF(K484&lt;&gt;"",P483+K484,IF(B484&lt;&gt;"",P483,""))</f>
        <v/>
      </c>
      <c r="Q484" s="17" t="str">
        <f aca="false">IF(P484&lt;&gt;"",MIN(0,P484-MAX($P$4:P484)),"")</f>
        <v/>
      </c>
    </row>
    <row r="485" customFormat="false" ht="15" hidden="false" customHeight="true" outlineLevel="0" collapsed="false">
      <c r="A485" s="11" t="str">
        <f aca="false">IF(B485&lt;&gt;"",COUNTA($B$4:B485),"")</f>
        <v/>
      </c>
      <c r="B485" s="20"/>
      <c r="C485" s="20"/>
      <c r="D485" s="20"/>
      <c r="E485" s="20"/>
      <c r="F485" s="20"/>
      <c r="G485" s="20"/>
      <c r="H485" s="20"/>
      <c r="I485" s="21"/>
      <c r="J485" s="20"/>
      <c r="K485" s="14" t="str">
        <f aca="false">IF(AND(I485&lt;&gt;"",H485&lt;&gt;"",J485&lt;&gt;""),IF(J485="W",I485*H485,IF(J485="L",-I485,IF(J485="P",I485*H485*0.5,""))),"")</f>
        <v/>
      </c>
      <c r="L485" s="15" t="str">
        <f aca="false">IF(AND(K485&lt;&gt;"",P484&lt;&gt;""),K485/P484,IF(K485&lt;&gt;"",K485/$D$2,""))</f>
        <v/>
      </c>
      <c r="M485" s="20"/>
      <c r="N485" s="20"/>
      <c r="O485" s="20"/>
      <c r="P485" s="16" t="str">
        <f aca="false">IF(K485&lt;&gt;"",P484+K485,IF(B485&lt;&gt;"",P484,""))</f>
        <v/>
      </c>
      <c r="Q485" s="17" t="str">
        <f aca="false">IF(P485&lt;&gt;"",MIN(0,P485-MAX($P$4:P485)),"")</f>
        <v/>
      </c>
    </row>
    <row r="486" customFormat="false" ht="15" hidden="false" customHeight="true" outlineLevel="0" collapsed="false">
      <c r="A486" s="11" t="str">
        <f aca="false">IF(B486&lt;&gt;"",COUNTA($B$4:B486),"")</f>
        <v/>
      </c>
      <c r="B486" s="12"/>
      <c r="C486" s="12"/>
      <c r="D486" s="12"/>
      <c r="E486" s="12"/>
      <c r="F486" s="12"/>
      <c r="G486" s="12"/>
      <c r="H486" s="12"/>
      <c r="I486" s="13"/>
      <c r="J486" s="12"/>
      <c r="K486" s="14" t="str">
        <f aca="false">IF(AND(I486&lt;&gt;"",H486&lt;&gt;"",J486&lt;&gt;""),IF(J486="W",I486*H486,IF(J486="L",-I486,IF(J486="P",I486*H486*0.5,""))),"")</f>
        <v/>
      </c>
      <c r="L486" s="15" t="str">
        <f aca="false">IF(AND(K486&lt;&gt;"",P485&lt;&gt;""),K486/P485,IF(K486&lt;&gt;"",K486/$D$2,""))</f>
        <v/>
      </c>
      <c r="M486" s="12"/>
      <c r="N486" s="12"/>
      <c r="O486" s="12"/>
      <c r="P486" s="16" t="str">
        <f aca="false">IF(K486&lt;&gt;"",P485+K486,IF(B486&lt;&gt;"",P485,""))</f>
        <v/>
      </c>
      <c r="Q486" s="17" t="str">
        <f aca="false">IF(P486&lt;&gt;"",MIN(0,P486-MAX($P$4:P486)),"")</f>
        <v/>
      </c>
    </row>
    <row r="487" customFormat="false" ht="15" hidden="false" customHeight="true" outlineLevel="0" collapsed="false">
      <c r="A487" s="11" t="str">
        <f aca="false">IF(B487&lt;&gt;"",COUNTA($B$4:B487),"")</f>
        <v/>
      </c>
      <c r="B487" s="20"/>
      <c r="C487" s="20"/>
      <c r="D487" s="20"/>
      <c r="E487" s="20"/>
      <c r="F487" s="20"/>
      <c r="G487" s="20"/>
      <c r="H487" s="20"/>
      <c r="I487" s="21"/>
      <c r="J487" s="20"/>
      <c r="K487" s="14" t="str">
        <f aca="false">IF(AND(I487&lt;&gt;"",H487&lt;&gt;"",J487&lt;&gt;""),IF(J487="W",I487*H487,IF(J487="L",-I487,IF(J487="P",I487*H487*0.5,""))),"")</f>
        <v/>
      </c>
      <c r="L487" s="15" t="str">
        <f aca="false">IF(AND(K487&lt;&gt;"",P486&lt;&gt;""),K487/P486,IF(K487&lt;&gt;"",K487/$D$2,""))</f>
        <v/>
      </c>
      <c r="M487" s="20"/>
      <c r="N487" s="20"/>
      <c r="O487" s="20"/>
      <c r="P487" s="16" t="str">
        <f aca="false">IF(K487&lt;&gt;"",P486+K487,IF(B487&lt;&gt;"",P486,""))</f>
        <v/>
      </c>
      <c r="Q487" s="17" t="str">
        <f aca="false">IF(P487&lt;&gt;"",MIN(0,P487-MAX($P$4:P487)),"")</f>
        <v/>
      </c>
    </row>
    <row r="488" customFormat="false" ht="15" hidden="false" customHeight="true" outlineLevel="0" collapsed="false">
      <c r="A488" s="11" t="str">
        <f aca="false">IF(B488&lt;&gt;"",COUNTA($B$4:B488),"")</f>
        <v/>
      </c>
      <c r="B488" s="12"/>
      <c r="C488" s="12"/>
      <c r="D488" s="12"/>
      <c r="E488" s="12"/>
      <c r="F488" s="12"/>
      <c r="G488" s="12"/>
      <c r="H488" s="12"/>
      <c r="I488" s="13"/>
      <c r="J488" s="12"/>
      <c r="K488" s="14" t="str">
        <f aca="false">IF(AND(I488&lt;&gt;"",H488&lt;&gt;"",J488&lt;&gt;""),IF(J488="W",I488*H488,IF(J488="L",-I488,IF(J488="P",I488*H488*0.5,""))),"")</f>
        <v/>
      </c>
      <c r="L488" s="15" t="str">
        <f aca="false">IF(AND(K488&lt;&gt;"",P487&lt;&gt;""),K488/P487,IF(K488&lt;&gt;"",K488/$D$2,""))</f>
        <v/>
      </c>
      <c r="M488" s="12"/>
      <c r="N488" s="12"/>
      <c r="O488" s="12"/>
      <c r="P488" s="16" t="str">
        <f aca="false">IF(K488&lt;&gt;"",P487+K488,IF(B488&lt;&gt;"",P487,""))</f>
        <v/>
      </c>
      <c r="Q488" s="17" t="str">
        <f aca="false">IF(P488&lt;&gt;"",MIN(0,P488-MAX($P$4:P488)),"")</f>
        <v/>
      </c>
    </row>
    <row r="489" customFormat="false" ht="15" hidden="false" customHeight="true" outlineLevel="0" collapsed="false">
      <c r="A489" s="11" t="str">
        <f aca="false">IF(B489&lt;&gt;"",COUNTA($B$4:B489),"")</f>
        <v/>
      </c>
      <c r="B489" s="20"/>
      <c r="C489" s="20"/>
      <c r="D489" s="20"/>
      <c r="E489" s="20"/>
      <c r="F489" s="20"/>
      <c r="G489" s="20"/>
      <c r="H489" s="20"/>
      <c r="I489" s="21"/>
      <c r="J489" s="20"/>
      <c r="K489" s="14" t="str">
        <f aca="false">IF(AND(I489&lt;&gt;"",H489&lt;&gt;"",J489&lt;&gt;""),IF(J489="W",I489*H489,IF(J489="L",-I489,IF(J489="P",I489*H489*0.5,""))),"")</f>
        <v/>
      </c>
      <c r="L489" s="15" t="str">
        <f aca="false">IF(AND(K489&lt;&gt;"",P488&lt;&gt;""),K489/P488,IF(K489&lt;&gt;"",K489/$D$2,""))</f>
        <v/>
      </c>
      <c r="M489" s="20"/>
      <c r="N489" s="20"/>
      <c r="O489" s="20"/>
      <c r="P489" s="16" t="str">
        <f aca="false">IF(K489&lt;&gt;"",P488+K489,IF(B489&lt;&gt;"",P488,""))</f>
        <v/>
      </c>
      <c r="Q489" s="17" t="str">
        <f aca="false">IF(P489&lt;&gt;"",MIN(0,P489-MAX($P$4:P489)),"")</f>
        <v/>
      </c>
    </row>
    <row r="490" customFormat="false" ht="15" hidden="false" customHeight="true" outlineLevel="0" collapsed="false">
      <c r="A490" s="11" t="str">
        <f aca="false">IF(B490&lt;&gt;"",COUNTA($B$4:B490),"")</f>
        <v/>
      </c>
      <c r="B490" s="12"/>
      <c r="C490" s="12"/>
      <c r="D490" s="12"/>
      <c r="E490" s="12"/>
      <c r="F490" s="12"/>
      <c r="G490" s="12"/>
      <c r="H490" s="12"/>
      <c r="I490" s="13"/>
      <c r="J490" s="12"/>
      <c r="K490" s="14" t="str">
        <f aca="false">IF(AND(I490&lt;&gt;"",H490&lt;&gt;"",J490&lt;&gt;""),IF(J490="W",I490*H490,IF(J490="L",-I490,IF(J490="P",I490*H490*0.5,""))),"")</f>
        <v/>
      </c>
      <c r="L490" s="15" t="str">
        <f aca="false">IF(AND(K490&lt;&gt;"",P489&lt;&gt;""),K490/P489,IF(K490&lt;&gt;"",K490/$D$2,""))</f>
        <v/>
      </c>
      <c r="M490" s="12"/>
      <c r="N490" s="12"/>
      <c r="O490" s="12"/>
      <c r="P490" s="16" t="str">
        <f aca="false">IF(K490&lt;&gt;"",P489+K490,IF(B490&lt;&gt;"",P489,""))</f>
        <v/>
      </c>
      <c r="Q490" s="17" t="str">
        <f aca="false">IF(P490&lt;&gt;"",MIN(0,P490-MAX($P$4:P490)),"")</f>
        <v/>
      </c>
    </row>
    <row r="491" customFormat="false" ht="15" hidden="false" customHeight="true" outlineLevel="0" collapsed="false">
      <c r="A491" s="11" t="str">
        <f aca="false">IF(B491&lt;&gt;"",COUNTA($B$4:B491),"")</f>
        <v/>
      </c>
      <c r="B491" s="20"/>
      <c r="C491" s="20"/>
      <c r="D491" s="20"/>
      <c r="E491" s="20"/>
      <c r="F491" s="20"/>
      <c r="G491" s="20"/>
      <c r="H491" s="20"/>
      <c r="I491" s="21"/>
      <c r="J491" s="20"/>
      <c r="K491" s="14" t="str">
        <f aca="false">IF(AND(I491&lt;&gt;"",H491&lt;&gt;"",J491&lt;&gt;""),IF(J491="W",I491*H491,IF(J491="L",-I491,IF(J491="P",I491*H491*0.5,""))),"")</f>
        <v/>
      </c>
      <c r="L491" s="15" t="str">
        <f aca="false">IF(AND(K491&lt;&gt;"",P490&lt;&gt;""),K491/P490,IF(K491&lt;&gt;"",K491/$D$2,""))</f>
        <v/>
      </c>
      <c r="M491" s="20"/>
      <c r="N491" s="20"/>
      <c r="O491" s="20"/>
      <c r="P491" s="16" t="str">
        <f aca="false">IF(K491&lt;&gt;"",P490+K491,IF(B491&lt;&gt;"",P490,""))</f>
        <v/>
      </c>
      <c r="Q491" s="17" t="str">
        <f aca="false">IF(P491&lt;&gt;"",MIN(0,P491-MAX($P$4:P491)),"")</f>
        <v/>
      </c>
    </row>
    <row r="492" customFormat="false" ht="15" hidden="false" customHeight="true" outlineLevel="0" collapsed="false">
      <c r="A492" s="11" t="str">
        <f aca="false">IF(B492&lt;&gt;"",COUNTA($B$4:B492),"")</f>
        <v/>
      </c>
      <c r="B492" s="12"/>
      <c r="C492" s="12"/>
      <c r="D492" s="12"/>
      <c r="E492" s="12"/>
      <c r="F492" s="12"/>
      <c r="G492" s="12"/>
      <c r="H492" s="12"/>
      <c r="I492" s="13"/>
      <c r="J492" s="12"/>
      <c r="K492" s="14" t="str">
        <f aca="false">IF(AND(I492&lt;&gt;"",H492&lt;&gt;"",J492&lt;&gt;""),IF(J492="W",I492*H492,IF(J492="L",-I492,IF(J492="P",I492*H492*0.5,""))),"")</f>
        <v/>
      </c>
      <c r="L492" s="15" t="str">
        <f aca="false">IF(AND(K492&lt;&gt;"",P491&lt;&gt;""),K492/P491,IF(K492&lt;&gt;"",K492/$D$2,""))</f>
        <v/>
      </c>
      <c r="M492" s="12"/>
      <c r="N492" s="12"/>
      <c r="O492" s="12"/>
      <c r="P492" s="16" t="str">
        <f aca="false">IF(K492&lt;&gt;"",P491+K492,IF(B492&lt;&gt;"",P491,""))</f>
        <v/>
      </c>
      <c r="Q492" s="17" t="str">
        <f aca="false">IF(P492&lt;&gt;"",MIN(0,P492-MAX($P$4:P492)),"")</f>
        <v/>
      </c>
    </row>
    <row r="493" customFormat="false" ht="15" hidden="false" customHeight="true" outlineLevel="0" collapsed="false">
      <c r="A493" s="11" t="str">
        <f aca="false">IF(B493&lt;&gt;"",COUNTA($B$4:B493),"")</f>
        <v/>
      </c>
      <c r="B493" s="20"/>
      <c r="C493" s="20"/>
      <c r="D493" s="20"/>
      <c r="E493" s="20"/>
      <c r="F493" s="20"/>
      <c r="G493" s="20"/>
      <c r="H493" s="20"/>
      <c r="I493" s="21"/>
      <c r="J493" s="20"/>
      <c r="K493" s="14" t="str">
        <f aca="false">IF(AND(I493&lt;&gt;"",H493&lt;&gt;"",J493&lt;&gt;""),IF(J493="W",I493*H493,IF(J493="L",-I493,IF(J493="P",I493*H493*0.5,""))),"")</f>
        <v/>
      </c>
      <c r="L493" s="15" t="str">
        <f aca="false">IF(AND(K493&lt;&gt;"",P492&lt;&gt;""),K493/P492,IF(K493&lt;&gt;"",K493/$D$2,""))</f>
        <v/>
      </c>
      <c r="M493" s="20"/>
      <c r="N493" s="20"/>
      <c r="O493" s="20"/>
      <c r="P493" s="16" t="str">
        <f aca="false">IF(K493&lt;&gt;"",P492+K493,IF(B493&lt;&gt;"",P492,""))</f>
        <v/>
      </c>
      <c r="Q493" s="17" t="str">
        <f aca="false">IF(P493&lt;&gt;"",MIN(0,P493-MAX($P$4:P493)),"")</f>
        <v/>
      </c>
    </row>
    <row r="494" customFormat="false" ht="15" hidden="false" customHeight="true" outlineLevel="0" collapsed="false">
      <c r="A494" s="11" t="str">
        <f aca="false">IF(B494&lt;&gt;"",COUNTA($B$4:B494),"")</f>
        <v/>
      </c>
      <c r="B494" s="12"/>
      <c r="C494" s="12"/>
      <c r="D494" s="12"/>
      <c r="E494" s="12"/>
      <c r="F494" s="12"/>
      <c r="G494" s="12"/>
      <c r="H494" s="12"/>
      <c r="I494" s="13"/>
      <c r="J494" s="12"/>
      <c r="K494" s="14" t="str">
        <f aca="false">IF(AND(I494&lt;&gt;"",H494&lt;&gt;"",J494&lt;&gt;""),IF(J494="W",I494*H494,IF(J494="L",-I494,IF(J494="P",I494*H494*0.5,""))),"")</f>
        <v/>
      </c>
      <c r="L494" s="15" t="str">
        <f aca="false">IF(AND(K494&lt;&gt;"",P493&lt;&gt;""),K494/P493,IF(K494&lt;&gt;"",K494/$D$2,""))</f>
        <v/>
      </c>
      <c r="M494" s="12"/>
      <c r="N494" s="12"/>
      <c r="O494" s="12"/>
      <c r="P494" s="16" t="str">
        <f aca="false">IF(K494&lt;&gt;"",P493+K494,IF(B494&lt;&gt;"",P493,""))</f>
        <v/>
      </c>
      <c r="Q494" s="17" t="str">
        <f aca="false">IF(P494&lt;&gt;"",MIN(0,P494-MAX($P$4:P494)),"")</f>
        <v/>
      </c>
    </row>
    <row r="495" customFormat="false" ht="15" hidden="false" customHeight="true" outlineLevel="0" collapsed="false">
      <c r="A495" s="11" t="str">
        <f aca="false">IF(B495&lt;&gt;"",COUNTA($B$4:B495),"")</f>
        <v/>
      </c>
      <c r="B495" s="20"/>
      <c r="C495" s="20"/>
      <c r="D495" s="20"/>
      <c r="E495" s="20"/>
      <c r="F495" s="20"/>
      <c r="G495" s="20"/>
      <c r="H495" s="20"/>
      <c r="I495" s="21"/>
      <c r="J495" s="20"/>
      <c r="K495" s="14" t="str">
        <f aca="false">IF(AND(I495&lt;&gt;"",H495&lt;&gt;"",J495&lt;&gt;""),IF(J495="W",I495*H495,IF(J495="L",-I495,IF(J495="P",I495*H495*0.5,""))),"")</f>
        <v/>
      </c>
      <c r="L495" s="15" t="str">
        <f aca="false">IF(AND(K495&lt;&gt;"",P494&lt;&gt;""),K495/P494,IF(K495&lt;&gt;"",K495/$D$2,""))</f>
        <v/>
      </c>
      <c r="M495" s="20"/>
      <c r="N495" s="20"/>
      <c r="O495" s="20"/>
      <c r="P495" s="16" t="str">
        <f aca="false">IF(K495&lt;&gt;"",P494+K495,IF(B495&lt;&gt;"",P494,""))</f>
        <v/>
      </c>
      <c r="Q495" s="17" t="str">
        <f aca="false">IF(P495&lt;&gt;"",MIN(0,P495-MAX($P$4:P495)),"")</f>
        <v/>
      </c>
    </row>
    <row r="496" customFormat="false" ht="15" hidden="false" customHeight="true" outlineLevel="0" collapsed="false">
      <c r="A496" s="11" t="str">
        <f aca="false">IF(B496&lt;&gt;"",COUNTA($B$4:B496),"")</f>
        <v/>
      </c>
      <c r="B496" s="12"/>
      <c r="C496" s="12"/>
      <c r="D496" s="12"/>
      <c r="E496" s="12"/>
      <c r="F496" s="12"/>
      <c r="G496" s="12"/>
      <c r="H496" s="12"/>
      <c r="I496" s="13"/>
      <c r="J496" s="12"/>
      <c r="K496" s="14" t="str">
        <f aca="false">IF(AND(I496&lt;&gt;"",H496&lt;&gt;"",J496&lt;&gt;""),IF(J496="W",I496*H496,IF(J496="L",-I496,IF(J496="P",I496*H496*0.5,""))),"")</f>
        <v/>
      </c>
      <c r="L496" s="15" t="str">
        <f aca="false">IF(AND(K496&lt;&gt;"",P495&lt;&gt;""),K496/P495,IF(K496&lt;&gt;"",K496/$D$2,""))</f>
        <v/>
      </c>
      <c r="M496" s="12"/>
      <c r="N496" s="12"/>
      <c r="O496" s="12"/>
      <c r="P496" s="16" t="str">
        <f aca="false">IF(K496&lt;&gt;"",P495+K496,IF(B496&lt;&gt;"",P495,""))</f>
        <v/>
      </c>
      <c r="Q496" s="17" t="str">
        <f aca="false">IF(P496&lt;&gt;"",MIN(0,P496-MAX($P$4:P496)),"")</f>
        <v/>
      </c>
    </row>
    <row r="497" customFormat="false" ht="15" hidden="false" customHeight="true" outlineLevel="0" collapsed="false">
      <c r="A497" s="11" t="str">
        <f aca="false">IF(B497&lt;&gt;"",COUNTA($B$4:B497),"")</f>
        <v/>
      </c>
      <c r="B497" s="20"/>
      <c r="C497" s="20"/>
      <c r="D497" s="20"/>
      <c r="E497" s="20"/>
      <c r="F497" s="20"/>
      <c r="G497" s="20"/>
      <c r="H497" s="20"/>
      <c r="I497" s="21"/>
      <c r="J497" s="20"/>
      <c r="K497" s="14" t="str">
        <f aca="false">IF(AND(I497&lt;&gt;"",H497&lt;&gt;"",J497&lt;&gt;""),IF(J497="W",I497*H497,IF(J497="L",-I497,IF(J497="P",I497*H497*0.5,""))),"")</f>
        <v/>
      </c>
      <c r="L497" s="15" t="str">
        <f aca="false">IF(AND(K497&lt;&gt;"",P496&lt;&gt;""),K497/P496,IF(K497&lt;&gt;"",K497/$D$2,""))</f>
        <v/>
      </c>
      <c r="M497" s="20"/>
      <c r="N497" s="20"/>
      <c r="O497" s="20"/>
      <c r="P497" s="16" t="str">
        <f aca="false">IF(K497&lt;&gt;"",P496+K497,IF(B497&lt;&gt;"",P496,""))</f>
        <v/>
      </c>
      <c r="Q497" s="17" t="str">
        <f aca="false">IF(P497&lt;&gt;"",MIN(0,P497-MAX($P$4:P497)),"")</f>
        <v/>
      </c>
    </row>
    <row r="498" customFormat="false" ht="15" hidden="false" customHeight="true" outlineLevel="0" collapsed="false">
      <c r="A498" s="11" t="str">
        <f aca="false">IF(B498&lt;&gt;"",COUNTA($B$4:B498),"")</f>
        <v/>
      </c>
      <c r="B498" s="12"/>
      <c r="C498" s="12"/>
      <c r="D498" s="12"/>
      <c r="E498" s="12"/>
      <c r="F498" s="12"/>
      <c r="G498" s="12"/>
      <c r="H498" s="12"/>
      <c r="I498" s="13"/>
      <c r="J498" s="12"/>
      <c r="K498" s="14" t="str">
        <f aca="false">IF(AND(I498&lt;&gt;"",H498&lt;&gt;"",J498&lt;&gt;""),IF(J498="W",I498*H498,IF(J498="L",-I498,IF(J498="P",I498*H498*0.5,""))),"")</f>
        <v/>
      </c>
      <c r="L498" s="15" t="str">
        <f aca="false">IF(AND(K498&lt;&gt;"",P497&lt;&gt;""),K498/P497,IF(K498&lt;&gt;"",K498/$D$2,""))</f>
        <v/>
      </c>
      <c r="M498" s="12"/>
      <c r="N498" s="12"/>
      <c r="O498" s="12"/>
      <c r="P498" s="16" t="str">
        <f aca="false">IF(K498&lt;&gt;"",P497+K498,IF(B498&lt;&gt;"",P497,""))</f>
        <v/>
      </c>
      <c r="Q498" s="17" t="str">
        <f aca="false">IF(P498&lt;&gt;"",MIN(0,P498-MAX($P$4:P498)),"")</f>
        <v/>
      </c>
    </row>
    <row r="499" customFormat="false" ht="15" hidden="false" customHeight="true" outlineLevel="0" collapsed="false">
      <c r="A499" s="11" t="str">
        <f aca="false">IF(B499&lt;&gt;"",COUNTA($B$4:B499),"")</f>
        <v/>
      </c>
      <c r="B499" s="20"/>
      <c r="C499" s="20"/>
      <c r="D499" s="20"/>
      <c r="E499" s="20"/>
      <c r="F499" s="20"/>
      <c r="G499" s="20"/>
      <c r="H499" s="20"/>
      <c r="I499" s="21"/>
      <c r="J499" s="20"/>
      <c r="K499" s="14" t="str">
        <f aca="false">IF(AND(I499&lt;&gt;"",H499&lt;&gt;"",J499&lt;&gt;""),IF(J499="W",I499*H499,IF(J499="L",-I499,IF(J499="P",I499*H499*0.5,""))),"")</f>
        <v/>
      </c>
      <c r="L499" s="15" t="str">
        <f aca="false">IF(AND(K499&lt;&gt;"",P498&lt;&gt;""),K499/P498,IF(K499&lt;&gt;"",K499/$D$2,""))</f>
        <v/>
      </c>
      <c r="M499" s="20"/>
      <c r="N499" s="20"/>
      <c r="O499" s="20"/>
      <c r="P499" s="16" t="str">
        <f aca="false">IF(K499&lt;&gt;"",P498+K499,IF(B499&lt;&gt;"",P498,""))</f>
        <v/>
      </c>
      <c r="Q499" s="17" t="str">
        <f aca="false">IF(P499&lt;&gt;"",MIN(0,P499-MAX($P$4:P499)),"")</f>
        <v/>
      </c>
    </row>
    <row r="500" customFormat="false" ht="15" hidden="false" customHeight="true" outlineLevel="0" collapsed="false">
      <c r="A500" s="11" t="str">
        <f aca="false">IF(B500&lt;&gt;"",COUNTA($B$4:B500),"")</f>
        <v/>
      </c>
      <c r="B500" s="12"/>
      <c r="C500" s="12"/>
      <c r="D500" s="12"/>
      <c r="E500" s="12"/>
      <c r="F500" s="12"/>
      <c r="G500" s="12"/>
      <c r="H500" s="12"/>
      <c r="I500" s="13"/>
      <c r="J500" s="12"/>
      <c r="K500" s="14" t="str">
        <f aca="false">IF(AND(I500&lt;&gt;"",H500&lt;&gt;"",J500&lt;&gt;""),IF(J500="W",I500*H500,IF(J500="L",-I500,IF(J500="P",I500*H500*0.5,""))),"")</f>
        <v/>
      </c>
      <c r="L500" s="15" t="str">
        <f aca="false">IF(AND(K500&lt;&gt;"",P499&lt;&gt;""),K500/P499,IF(K500&lt;&gt;"",K500/$D$2,""))</f>
        <v/>
      </c>
      <c r="M500" s="12"/>
      <c r="N500" s="12"/>
      <c r="O500" s="12"/>
      <c r="P500" s="16" t="str">
        <f aca="false">IF(K500&lt;&gt;"",P499+K500,IF(B500&lt;&gt;"",P499,""))</f>
        <v/>
      </c>
      <c r="Q500" s="17" t="str">
        <f aca="false">IF(P500&lt;&gt;"",MIN(0,P500-MAX($P$4:P500)),"")</f>
        <v/>
      </c>
    </row>
    <row r="501" customFormat="false" ht="15" hidden="false" customHeight="true" outlineLevel="0" collapsed="false">
      <c r="A501" s="11" t="str">
        <f aca="false">IF(B501&lt;&gt;"",COUNTA($B$4:B501),"")</f>
        <v/>
      </c>
      <c r="B501" s="20"/>
      <c r="C501" s="20"/>
      <c r="D501" s="20"/>
      <c r="E501" s="20"/>
      <c r="F501" s="20"/>
      <c r="G501" s="20"/>
      <c r="H501" s="20"/>
      <c r="I501" s="21"/>
      <c r="J501" s="20"/>
      <c r="K501" s="14" t="str">
        <f aca="false">IF(AND(I501&lt;&gt;"",H501&lt;&gt;"",J501&lt;&gt;""),IF(J501="W",I501*H501,IF(J501="L",-I501,IF(J501="P",I501*H501*0.5,""))),"")</f>
        <v/>
      </c>
      <c r="L501" s="15" t="str">
        <f aca="false">IF(AND(K501&lt;&gt;"",P500&lt;&gt;""),K501/P500,IF(K501&lt;&gt;"",K501/$D$2,""))</f>
        <v/>
      </c>
      <c r="M501" s="20"/>
      <c r="N501" s="20"/>
      <c r="O501" s="20"/>
      <c r="P501" s="16" t="str">
        <f aca="false">IF(K501&lt;&gt;"",P500+K501,IF(B501&lt;&gt;"",P500,""))</f>
        <v/>
      </c>
      <c r="Q501" s="17" t="str">
        <f aca="false">IF(P501&lt;&gt;"",MIN(0,P501-MAX($P$4:P501)),"")</f>
        <v/>
      </c>
    </row>
    <row r="502" customFormat="false" ht="15" hidden="false" customHeight="true" outlineLevel="0" collapsed="false">
      <c r="A502" s="11" t="str">
        <f aca="false">IF(B502&lt;&gt;"",COUNTA($B$4:B502),"")</f>
        <v/>
      </c>
      <c r="B502" s="12"/>
      <c r="C502" s="12"/>
      <c r="D502" s="12"/>
      <c r="E502" s="12"/>
      <c r="F502" s="12"/>
      <c r="G502" s="12"/>
      <c r="H502" s="12"/>
      <c r="I502" s="13"/>
      <c r="J502" s="12"/>
      <c r="K502" s="14" t="str">
        <f aca="false">IF(AND(I502&lt;&gt;"",H502&lt;&gt;"",J502&lt;&gt;""),IF(J502="W",I502*H502,IF(J502="L",-I502,IF(J502="P",I502*H502*0.5,""))),"")</f>
        <v/>
      </c>
      <c r="L502" s="15" t="str">
        <f aca="false">IF(AND(K502&lt;&gt;"",P501&lt;&gt;""),K502/P501,IF(K502&lt;&gt;"",K502/$D$2,""))</f>
        <v/>
      </c>
      <c r="M502" s="12"/>
      <c r="N502" s="12"/>
      <c r="O502" s="12"/>
      <c r="P502" s="16" t="str">
        <f aca="false">IF(K502&lt;&gt;"",P501+K502,IF(B502&lt;&gt;"",P501,""))</f>
        <v/>
      </c>
      <c r="Q502" s="17" t="str">
        <f aca="false">IF(P502&lt;&gt;"",MIN(0,P502-MAX($P$4:P502)),"")</f>
        <v/>
      </c>
    </row>
    <row r="503" customFormat="false" ht="15" hidden="false" customHeight="true" outlineLevel="0" collapsed="false">
      <c r="A503" s="11" t="str">
        <f aca="false">IF(B503&lt;&gt;"",COUNTA($B$4:B503),"")</f>
        <v/>
      </c>
      <c r="B503" s="20"/>
      <c r="C503" s="20"/>
      <c r="D503" s="20"/>
      <c r="E503" s="20"/>
      <c r="F503" s="20"/>
      <c r="G503" s="20"/>
      <c r="H503" s="20"/>
      <c r="I503" s="21"/>
      <c r="J503" s="20"/>
      <c r="K503" s="14" t="str">
        <f aca="false">IF(AND(I503&lt;&gt;"",H503&lt;&gt;"",J503&lt;&gt;""),IF(J503="W",I503*H503,IF(J503="L",-I503,IF(J503="P",I503*H503*0.5,""))),"")</f>
        <v/>
      </c>
      <c r="L503" s="15" t="str">
        <f aca="false">IF(AND(K503&lt;&gt;"",P502&lt;&gt;""),K503/P502,IF(K503&lt;&gt;"",K503/$D$2,""))</f>
        <v/>
      </c>
      <c r="M503" s="20"/>
      <c r="N503" s="20"/>
      <c r="O503" s="20"/>
      <c r="P503" s="16" t="str">
        <f aca="false">IF(K503&lt;&gt;"",P502+K503,IF(B503&lt;&gt;"",P502,""))</f>
        <v/>
      </c>
      <c r="Q503" s="17" t="str">
        <f aca="false">IF(P503&lt;&gt;"",MIN(0,P503-MAX($P$4:P503)),"")</f>
        <v/>
      </c>
    </row>
  </sheetData>
  <conditionalFormatting sqref="M4:M503">
    <cfRule type="expression" priority="2" aboveAverage="0" equalAverage="0" bottom="0" percent="0" rank="0" text="" dxfId="0">
      <formula>M4="Win"</formula>
    </cfRule>
    <cfRule type="expression" priority="3" aboveAverage="0" equalAverage="0" bottom="0" percent="0" rank="0" text="" dxfId="1">
      <formula>M4="Loss"</formula>
    </cfRule>
    <cfRule type="expression" priority="4" aboveAverage="0" equalAverage="0" bottom="0" percent="0" rank="0" text="" dxfId="2">
      <formula>M4="Partial"</formula>
    </cfRule>
  </conditionalFormatting>
  <conditionalFormatting sqref="J4:J503">
    <cfRule type="expression" priority="5" aboveAverage="0" equalAverage="0" bottom="0" percent="0" rank="0" text="" dxfId="0">
      <formula>J4="W"</formula>
    </cfRule>
    <cfRule type="expression" priority="6" aboveAverage="0" equalAverage="0" bottom="0" percent="0" rank="0" text="" dxfId="1">
      <formula>J4="L"</formula>
    </cfRule>
    <cfRule type="expression" priority="7" aboveAverage="0" equalAverage="0" bottom="0" percent="0" rank="0" text="" dxfId="2">
      <formula>J4="P"</formula>
    </cfRule>
  </conditionalFormatting>
  <conditionalFormatting sqref="K4:K503">
    <cfRule type="expression" priority="8" aboveAverage="0" equalAverage="0" bottom="0" percent="0" rank="0" text="" dxfId="0">
      <formula>K4&gt;0</formula>
    </cfRule>
    <cfRule type="expression" priority="9" aboveAverage="0" equalAverage="0" bottom="0" percent="0" rank="0" text="" dxfId="1">
      <formula>K4&lt;0</formula>
    </cfRule>
  </conditionalFormatting>
  <dataValidations count="4">
    <dataValidation allowBlank="true" errorStyle="stop" operator="between" showDropDown="false" showErrorMessage="false" showInputMessage="false" sqref="J4:J503" type="list">
      <formula1>"W,L,P"</formula1>
      <formula2>0</formula2>
    </dataValidation>
    <dataValidation allowBlank="true" errorStyle="stop" operator="between" showDropDown="false" showErrorMessage="false" showInputMessage="false" sqref="M4:M503" type="list">
      <formula1>"Win,Loss,Partial,No Trade"</formula1>
      <formula2>0</formula2>
    </dataValidation>
    <dataValidation allowBlank="true" errorStyle="stop" operator="between" showDropDown="false" showErrorMessage="false" showInputMessage="false" sqref="D4:D503" type="list">
      <formula1>"London,New York,Asia,London/NY Overlap"</formula1>
      <formula2>0</formula2>
    </dataValidation>
    <dataValidation allowBlank="true" errorStyle="stop" operator="between" showDropDown="false" showErrorMessage="false" showInputMessage="false" sqref="C4:C503" type="list">
      <formula1>"BTC,ETH,BTC/USD,ETH/USD,Other"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7"/>
    <col collapsed="false" customWidth="true" hidden="false" outlineLevel="0" max="9" min="9" style="1" width="13"/>
    <col collapsed="false" customWidth="true" hidden="false" outlineLevel="0" max="11" min="10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25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0"/>
    <col collapsed="false" customWidth="true" hidden="false" outlineLevel="0" max="18" min="18" style="1" width="16"/>
    <col collapsed="false" customWidth="true" hidden="false" outlineLevel="0" max="22" min="20" style="1" width="14"/>
  </cols>
  <sheetData>
    <row r="1" customFormat="false" ht="36" hidden="false" customHeight="true" outlineLevel="0" collapsed="false">
      <c r="A1" s="2" t="s">
        <v>37</v>
      </c>
      <c r="S1" s="3" t="s">
        <v>1</v>
      </c>
    </row>
    <row r="2" customFormat="false" ht="21.75" hidden="false" customHeight="true" outlineLevel="0" collapsed="false">
      <c r="A2" s="4" t="s">
        <v>2</v>
      </c>
      <c r="D2" s="5" t="n">
        <v>10000</v>
      </c>
      <c r="E2" s="6" t="s">
        <v>3</v>
      </c>
      <c r="S2" s="7" t="s">
        <v>4</v>
      </c>
      <c r="T2" s="8" t="n">
        <f aca="false">$D$2</f>
        <v>10000</v>
      </c>
    </row>
    <row r="3" customFormat="false" ht="21.75" hidden="false" customHeight="true" outlineLevel="0" collapsed="false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V3" s="10" t="s">
        <v>22</v>
      </c>
    </row>
    <row r="4" customFormat="false" ht="15" hidden="false" customHeight="true" outlineLevel="0" collapsed="false">
      <c r="A4" s="11" t="str">
        <f aca="false">IF(B4&lt;&gt;"",COUNTA($B$4:B4),"")</f>
        <v/>
      </c>
      <c r="B4" s="12"/>
      <c r="C4" s="12"/>
      <c r="D4" s="12"/>
      <c r="E4" s="12"/>
      <c r="F4" s="12"/>
      <c r="G4" s="12"/>
      <c r="H4" s="12"/>
      <c r="I4" s="13"/>
      <c r="J4" s="12"/>
      <c r="K4" s="14" t="str">
        <f aca="false">IF(AND(I4&lt;&gt;"",H4&lt;&gt;"",J4&lt;&gt;""),IF(J4="W",I4*H4,IF(J4="L",-I4,IF(J4="P",I4*H4*0.5,""))),"")</f>
        <v/>
      </c>
      <c r="L4" s="15" t="str">
        <f aca="false">IF(K4&lt;&gt;"",K4/$D$2,"")</f>
        <v/>
      </c>
      <c r="M4" s="12"/>
      <c r="N4" s="12"/>
      <c r="O4" s="12"/>
      <c r="P4" s="16" t="n">
        <f aca="false">IF(K4&lt;&gt;"",$D$2+K4,$D$2)</f>
        <v>10000</v>
      </c>
      <c r="Q4" s="17" t="n">
        <f aca="false">IF(P4&lt;&gt;"",MIN(0,P4-MAX($P$4:P4)),"")</f>
        <v>0</v>
      </c>
      <c r="S4" s="18" t="s">
        <v>23</v>
      </c>
      <c r="T4" s="19" t="n">
        <f aca="false">COUNTIF(M4:M503,"Win")+COUNTIF(M4:M503,"Loss")+COUNTIF(M4:M503,"Partial")</f>
        <v>0</v>
      </c>
      <c r="V4" s="9" t="s">
        <v>8</v>
      </c>
      <c r="W4" s="9" t="s">
        <v>24</v>
      </c>
      <c r="X4" s="9" t="s">
        <v>25</v>
      </c>
    </row>
    <row r="5" customFormat="false" ht="15" hidden="false" customHeight="true" outlineLevel="0" collapsed="false">
      <c r="A5" s="11" t="str">
        <f aca="false">IF(B5&lt;&gt;"",COUNTA($B$4:B5),"")</f>
        <v/>
      </c>
      <c r="B5" s="20"/>
      <c r="C5" s="20"/>
      <c r="D5" s="20"/>
      <c r="E5" s="20"/>
      <c r="F5" s="20"/>
      <c r="G5" s="20"/>
      <c r="H5" s="20"/>
      <c r="I5" s="21"/>
      <c r="J5" s="20"/>
      <c r="K5" s="14" t="str">
        <f aca="false">IF(AND(I5&lt;&gt;"",H5&lt;&gt;"",J5&lt;&gt;""),IF(J5="W",I5*H5,IF(J5="L",-I5,IF(J5="P",I5*H5*0.5,""))),"")</f>
        <v/>
      </c>
      <c r="L5" s="15" t="str">
        <f aca="false">IF(AND(K5&lt;&gt;"",P4&lt;&gt;""),K5/P4,IF(K5&lt;&gt;"",K5/$D$2,""))</f>
        <v/>
      </c>
      <c r="M5" s="20"/>
      <c r="N5" s="20"/>
      <c r="O5" s="20"/>
      <c r="P5" s="16" t="str">
        <f aca="false">IF(K5&lt;&gt;"",P4+K5,IF(B5&lt;&gt;"",P4,""))</f>
        <v/>
      </c>
      <c r="Q5" s="17" t="str">
        <f aca="false">IF(P5&lt;&gt;"",MIN(0,P5-MAX($P$4:P5)),"")</f>
        <v/>
      </c>
      <c r="S5" s="18" t="s">
        <v>26</v>
      </c>
      <c r="T5" s="22" t="n">
        <f aca="false">COUNTIF(M4:M503,"Win")</f>
        <v>0</v>
      </c>
      <c r="V5" s="23" t="s">
        <v>27</v>
      </c>
      <c r="W5" s="23" t="n">
        <f aca="false">COUNTIFS(D4:D503,"London",M4:M503,"Win")+COUNTIFS(D4:D503,"London",M4:M503,"Loss")+COUNTIFS(D4:D503,"London",M4:M503,"Partial")</f>
        <v>0</v>
      </c>
      <c r="X5" s="24" t="n">
        <f aca="false">IFERROR((COUNTIFS(D4:D503,"London",M4:M503,"Win")+COUNTIFS(D4:D503,"London",M4:M503,"Partial"))/(COUNTIFS(D4:D503,"London",M4:M503,"Win")+COUNTIFS(D4:D503,"London",M4:M503,"Loss")+COUNTIFS(D4:D503,"London",M4:M503,"Partial")),0)</f>
        <v>0</v>
      </c>
    </row>
    <row r="6" customFormat="false" ht="15" hidden="false" customHeight="true" outlineLevel="0" collapsed="false">
      <c r="A6" s="11" t="str">
        <f aca="false">IF(B6&lt;&gt;"",COUNTA($B$4:B6),"")</f>
        <v/>
      </c>
      <c r="B6" s="12"/>
      <c r="C6" s="12"/>
      <c r="D6" s="12"/>
      <c r="E6" s="12"/>
      <c r="F6" s="12"/>
      <c r="G6" s="12"/>
      <c r="H6" s="12"/>
      <c r="I6" s="13"/>
      <c r="J6" s="12"/>
      <c r="K6" s="14" t="str">
        <f aca="false">IF(AND(I6&lt;&gt;"",H6&lt;&gt;"",J6&lt;&gt;""),IF(J6="W",I6*H6,IF(J6="L",-I6,IF(J6="P",I6*H6*0.5,""))),"")</f>
        <v/>
      </c>
      <c r="L6" s="15" t="str">
        <f aca="false">IF(AND(K6&lt;&gt;"",P5&lt;&gt;""),K6/P5,IF(K6&lt;&gt;"",K6/$D$2,""))</f>
        <v/>
      </c>
      <c r="M6" s="12"/>
      <c r="N6" s="12"/>
      <c r="O6" s="12"/>
      <c r="P6" s="16" t="str">
        <f aca="false">IF(K6&lt;&gt;"",P5+K6,IF(B6&lt;&gt;"",P5,""))</f>
        <v/>
      </c>
      <c r="Q6" s="17" t="str">
        <f aca="false">IF(P6&lt;&gt;"",MIN(0,P6-MAX($P$4:P6)),"")</f>
        <v/>
      </c>
      <c r="S6" s="18" t="s">
        <v>28</v>
      </c>
      <c r="T6" s="25" t="n">
        <f aca="false">COUNTIF(M4:M503,"Loss")</f>
        <v>0</v>
      </c>
      <c r="V6" s="23" t="s">
        <v>29</v>
      </c>
      <c r="W6" s="23" t="n">
        <f aca="false">COUNTIFS(D4:D503,"New York",M4:M503,"Win")+COUNTIFS(D4:D503,"New York",M4:M503,"Loss")+COUNTIFS(D4:D503,"New York",M4:M503,"Partial")</f>
        <v>0</v>
      </c>
      <c r="X6" s="24" t="n">
        <f aca="false">IFERROR((COUNTIFS(D4:D503,"New York",M4:M503,"Win")+COUNTIFS(D4:D503,"New York",M4:M503,"Partial"))/(COUNTIFS(D4:D503,"New York",M4:M503,"Win")+COUNTIFS(D4:D503,"New York",M4:M503,"Loss")+COUNTIFS(D4:D503,"New York",M4:M503,"Partial")),0)</f>
        <v>0</v>
      </c>
    </row>
    <row r="7" customFormat="false" ht="15" hidden="false" customHeight="true" outlineLevel="0" collapsed="false">
      <c r="A7" s="11" t="str">
        <f aca="false">IF(B7&lt;&gt;"",COUNTA($B$4:B7),"")</f>
        <v/>
      </c>
      <c r="B7" s="20"/>
      <c r="C7" s="20"/>
      <c r="D7" s="20"/>
      <c r="E7" s="20"/>
      <c r="F7" s="20"/>
      <c r="G7" s="20"/>
      <c r="H7" s="20"/>
      <c r="I7" s="21"/>
      <c r="J7" s="20"/>
      <c r="K7" s="14" t="str">
        <f aca="false">IF(AND(I7&lt;&gt;"",H7&lt;&gt;"",J7&lt;&gt;""),IF(J7="W",I7*H7,IF(J7="L",-I7,IF(J7="P",I7*H7*0.5,""))),"")</f>
        <v/>
      </c>
      <c r="L7" s="15" t="str">
        <f aca="false">IF(AND(K7&lt;&gt;"",P6&lt;&gt;""),K7/P6,IF(K7&lt;&gt;"",K7/$D$2,""))</f>
        <v/>
      </c>
      <c r="M7" s="20"/>
      <c r="N7" s="20"/>
      <c r="O7" s="20"/>
      <c r="P7" s="16" t="str">
        <f aca="false">IF(K7&lt;&gt;"",P6+K7,IF(B7&lt;&gt;"",P6,""))</f>
        <v/>
      </c>
      <c r="Q7" s="17" t="str">
        <f aca="false">IF(P7&lt;&gt;"",MIN(0,P7-MAX($P$4:P7)),"")</f>
        <v/>
      </c>
      <c r="S7" s="18" t="s">
        <v>30</v>
      </c>
      <c r="T7" s="22" t="n">
        <f aca="false">COUNTIF(M4:M503,"Partial")</f>
        <v>0</v>
      </c>
      <c r="V7" s="23" t="s">
        <v>31</v>
      </c>
      <c r="W7" s="23" t="n">
        <f aca="false">COUNTIFS(D4:D503,"Asia",M4:M503,"Win")+COUNTIFS(D4:D503,"Asia",M4:M503,"Loss")+COUNTIFS(D4:D503,"Asia",M4:M503,"Partial")</f>
        <v>0</v>
      </c>
      <c r="X7" s="24" t="n">
        <f aca="false">IFERROR((COUNTIFS(D4:D503,"Asia",M4:M503,"Win")+COUNTIFS(D4:D503,"Asia",M4:M503,"Partial"))/(COUNTIFS(D4:D503,"Asia",M4:M503,"Win")+COUNTIFS(D4:D503,"Asia",M4:M503,"Loss")+COUNTIFS(D4:D503,"Asia",M4:M503,"Partial")),0)</f>
        <v>0</v>
      </c>
    </row>
    <row r="8" customFormat="false" ht="15" hidden="false" customHeight="true" outlineLevel="0" collapsed="false">
      <c r="A8" s="11" t="str">
        <f aca="false">IF(B8&lt;&gt;"",COUNTA($B$4:B8),"")</f>
        <v/>
      </c>
      <c r="B8" s="12"/>
      <c r="C8" s="12"/>
      <c r="D8" s="12"/>
      <c r="E8" s="12"/>
      <c r="F8" s="12"/>
      <c r="G8" s="12"/>
      <c r="H8" s="12"/>
      <c r="I8" s="13"/>
      <c r="J8" s="12"/>
      <c r="K8" s="14" t="str">
        <f aca="false">IF(AND(I8&lt;&gt;"",H8&lt;&gt;"",J8&lt;&gt;""),IF(J8="W",I8*H8,IF(J8="L",-I8,IF(J8="P",I8*H8*0.5,""))),"")</f>
        <v/>
      </c>
      <c r="L8" s="15" t="str">
        <f aca="false">IF(AND(K8&lt;&gt;"",P7&lt;&gt;""),K8/P7,IF(K8&lt;&gt;"",K8/$D$2,""))</f>
        <v/>
      </c>
      <c r="M8" s="12"/>
      <c r="N8" s="12"/>
      <c r="O8" s="12"/>
      <c r="P8" s="16" t="str">
        <f aca="false">IF(K8&lt;&gt;"",P7+K8,IF(B8&lt;&gt;"",P7,""))</f>
        <v/>
      </c>
      <c r="Q8" s="17" t="str">
        <f aca="false">IF(P8&lt;&gt;"",MIN(0,P8-MAX($P$4:P8)),"")</f>
        <v/>
      </c>
      <c r="S8" s="18" t="s">
        <v>25</v>
      </c>
      <c r="T8" s="26" t="n">
        <f aca="false">IFERROR((COUNTIF(M4:M503,"Win")+COUNTIF(M4:M503,"Partial"))/(COUNTIF(M4:M503,"Win")+COUNTIF(M4:M503,"Loss")+COUNTIF(M4:M503,"Partial")),0)</f>
        <v>0</v>
      </c>
      <c r="V8" s="23" t="s">
        <v>32</v>
      </c>
      <c r="W8" s="23" t="n">
        <f aca="false">COUNTIFS(D4:D503,"London/NY Overlap",M4:M503,"Win")+COUNTIFS(D4:D503,"London/NY Overlap",M4:M503,"Loss")+COUNTIFS(D4:D503,"London/NY Overlap",M4:M503,"Partial")</f>
        <v>0</v>
      </c>
      <c r="X8" s="24" t="n">
        <f aca="false">IFERROR((COUNTIFS(D4:D503,"London/NY Overlap",M4:M503,"Win")+COUNTIFS(D4:D503,"London/NY Overlap",M4:M503,"Partial"))/(COUNTIFS(D4:D503,"London/NY Overlap",M4:M503,"Win")+COUNTIFS(D4:D503,"London/NY Overlap",M4:M503,"Loss")+COUNTIFS(D4:D503,"London/NY Overlap",M4:M503,"Partial")),0)</f>
        <v>0</v>
      </c>
    </row>
    <row r="9" customFormat="false" ht="15" hidden="false" customHeight="true" outlineLevel="0" collapsed="false">
      <c r="A9" s="11" t="str">
        <f aca="false">IF(B9&lt;&gt;"",COUNTA($B$4:B9),"")</f>
        <v/>
      </c>
      <c r="B9" s="20"/>
      <c r="C9" s="20"/>
      <c r="D9" s="20"/>
      <c r="E9" s="20"/>
      <c r="F9" s="20"/>
      <c r="G9" s="20"/>
      <c r="H9" s="20"/>
      <c r="I9" s="21"/>
      <c r="J9" s="20"/>
      <c r="K9" s="14" t="str">
        <f aca="false">IF(AND(I9&lt;&gt;"",H9&lt;&gt;"",J9&lt;&gt;""),IF(J9="W",I9*H9,IF(J9="L",-I9,IF(J9="P",I9*H9*0.5,""))),"")</f>
        <v/>
      </c>
      <c r="L9" s="15" t="str">
        <f aca="false">IF(AND(K9&lt;&gt;"",P8&lt;&gt;""),K9/P8,IF(K9&lt;&gt;"",K9/$D$2,""))</f>
        <v/>
      </c>
      <c r="M9" s="20"/>
      <c r="N9" s="20"/>
      <c r="O9" s="20"/>
      <c r="P9" s="16" t="str">
        <f aca="false">IF(K9&lt;&gt;"",P8+K9,IF(B9&lt;&gt;"",P8,""))</f>
        <v/>
      </c>
      <c r="Q9" s="17" t="str">
        <f aca="false">IF(P9&lt;&gt;"",MIN(0,P9-MAX($P$4:P9)),"")</f>
        <v/>
      </c>
      <c r="S9" s="18" t="s">
        <v>33</v>
      </c>
      <c r="T9" s="27" t="n">
        <f aca="false">IFERROR(SUM(K4:K503),0)</f>
        <v>0</v>
      </c>
    </row>
    <row r="10" customFormat="false" ht="15" hidden="false" customHeight="true" outlineLevel="0" collapsed="false">
      <c r="A10" s="11" t="str">
        <f aca="false">IF(B10&lt;&gt;"",COUNTA($B$4:B10),"")</f>
        <v/>
      </c>
      <c r="B10" s="12"/>
      <c r="C10" s="12"/>
      <c r="D10" s="12"/>
      <c r="E10" s="12"/>
      <c r="F10" s="12"/>
      <c r="G10" s="12"/>
      <c r="H10" s="12"/>
      <c r="I10" s="13"/>
      <c r="J10" s="12"/>
      <c r="K10" s="14" t="str">
        <f aca="false">IF(AND(I10&lt;&gt;"",H10&lt;&gt;"",J10&lt;&gt;""),IF(J10="W",I10*H10,IF(J10="L",-I10,IF(J10="P",I10*H10*0.5,""))),"")</f>
        <v/>
      </c>
      <c r="L10" s="15" t="str">
        <f aca="false">IF(AND(K10&lt;&gt;"",P9&lt;&gt;""),K10/P9,IF(K10&lt;&gt;"",K10/$D$2,""))</f>
        <v/>
      </c>
      <c r="M10" s="12"/>
      <c r="N10" s="12"/>
      <c r="O10" s="12"/>
      <c r="P10" s="16" t="str">
        <f aca="false">IF(K10&lt;&gt;"",P9+K10,IF(B10&lt;&gt;"",P9,""))</f>
        <v/>
      </c>
      <c r="Q10" s="17" t="str">
        <f aca="false">IF(P10&lt;&gt;"",MIN(0,P10-MAX($P$4:P10)),"")</f>
        <v/>
      </c>
      <c r="S10" s="28" t="s">
        <v>34</v>
      </c>
      <c r="T10" s="29" t="n">
        <f aca="false">IFERROR(SUM(K4:K503)/$D$2,0)</f>
        <v>0</v>
      </c>
    </row>
    <row r="11" customFormat="false" ht="15" hidden="false" customHeight="true" outlineLevel="0" collapsed="false">
      <c r="A11" s="11" t="str">
        <f aca="false">IF(B11&lt;&gt;"",COUNTA($B$4:B11),"")</f>
        <v/>
      </c>
      <c r="B11" s="20"/>
      <c r="C11" s="20"/>
      <c r="D11" s="20"/>
      <c r="E11" s="20"/>
      <c r="F11" s="20"/>
      <c r="G11" s="20"/>
      <c r="H11" s="20"/>
      <c r="I11" s="21"/>
      <c r="J11" s="20"/>
      <c r="K11" s="14" t="str">
        <f aca="false">IF(AND(I11&lt;&gt;"",H11&lt;&gt;"",J11&lt;&gt;""),IF(J11="W",I11*H11,IF(J11="L",-I11,IF(J11="P",I11*H11*0.5,""))),"")</f>
        <v/>
      </c>
      <c r="L11" s="15" t="str">
        <f aca="false">IF(AND(K11&lt;&gt;"",P10&lt;&gt;""),K11/P10,IF(K11&lt;&gt;"",K11/$D$2,""))</f>
        <v/>
      </c>
      <c r="M11" s="20"/>
      <c r="N11" s="20"/>
      <c r="O11" s="20"/>
      <c r="P11" s="16" t="str">
        <f aca="false">IF(K11&lt;&gt;"",P10+K11,IF(B11&lt;&gt;"",P10,""))</f>
        <v/>
      </c>
      <c r="Q11" s="17" t="str">
        <f aca="false">IF(P11&lt;&gt;"",MIN(0,P11-MAX($P$4:P11)),"")</f>
        <v/>
      </c>
      <c r="S11" s="9" t="s">
        <v>35</v>
      </c>
      <c r="T11" s="30" t="n">
        <f aca="false">IFERROR(SUM(K4:K503)/(COUNTIF(M4:M503,"Win")+COUNTIF(M4:M503,"Loss")+COUNTIF(M4:M503,"Partial")),0)</f>
        <v>0</v>
      </c>
      <c r="U11" s="9" t="s">
        <v>36</v>
      </c>
    </row>
    <row r="12" customFormat="false" ht="15" hidden="false" customHeight="true" outlineLevel="0" collapsed="false">
      <c r="A12" s="11" t="str">
        <f aca="false">IF(B12&lt;&gt;"",COUNTA($B$4:B12),"")</f>
        <v/>
      </c>
      <c r="B12" s="12"/>
      <c r="C12" s="12"/>
      <c r="D12" s="12"/>
      <c r="E12" s="12"/>
      <c r="F12" s="12"/>
      <c r="G12" s="12"/>
      <c r="H12" s="12"/>
      <c r="I12" s="13"/>
      <c r="J12" s="12"/>
      <c r="K12" s="14" t="str">
        <f aca="false">IF(AND(I12&lt;&gt;"",H12&lt;&gt;"",J12&lt;&gt;""),IF(J12="W",I12*H12,IF(J12="L",-I12,IF(J12="P",I12*H12*0.5,""))),"")</f>
        <v/>
      </c>
      <c r="L12" s="15" t="str">
        <f aca="false">IF(AND(K12&lt;&gt;"",P11&lt;&gt;""),K12/P11,IF(K12&lt;&gt;"",K12/$D$2,""))</f>
        <v/>
      </c>
      <c r="M12" s="12"/>
      <c r="N12" s="12"/>
      <c r="O12" s="12"/>
      <c r="P12" s="16" t="str">
        <f aca="false">IF(K12&lt;&gt;"",P11+K12,IF(B12&lt;&gt;"",P11,""))</f>
        <v/>
      </c>
      <c r="Q12" s="17" t="str">
        <f aca="false">IF(P12&lt;&gt;"",MIN(0,P12-MAX($P$4:P12)),"")</f>
        <v/>
      </c>
      <c r="S12" s="31" t="str">
        <f aca="false">IF(A4&lt;&gt;"",A4,"")</f>
        <v/>
      </c>
      <c r="T12" s="32" t="n">
        <f aca="false">IF(P4&lt;&gt;"",P4,"")</f>
        <v>10000</v>
      </c>
      <c r="U12" s="33" t="n">
        <f aca="false">IF(P4&lt;&gt;"",(P4-$D$2)/$D$2,"")</f>
        <v>0</v>
      </c>
    </row>
    <row r="13" customFormat="false" ht="15" hidden="false" customHeight="true" outlineLevel="0" collapsed="false">
      <c r="A13" s="11" t="str">
        <f aca="false">IF(B13&lt;&gt;"",COUNTA($B$4:B13),"")</f>
        <v/>
      </c>
      <c r="B13" s="20"/>
      <c r="C13" s="20"/>
      <c r="D13" s="20"/>
      <c r="E13" s="20"/>
      <c r="F13" s="20"/>
      <c r="G13" s="20"/>
      <c r="H13" s="20"/>
      <c r="I13" s="21"/>
      <c r="J13" s="20"/>
      <c r="K13" s="14" t="str">
        <f aca="false">IF(AND(I13&lt;&gt;"",H13&lt;&gt;"",J13&lt;&gt;""),IF(J13="W",I13*H13,IF(J13="L",-I13,IF(J13="P",I13*H13*0.5,""))),"")</f>
        <v/>
      </c>
      <c r="L13" s="15" t="str">
        <f aca="false">IF(AND(K13&lt;&gt;"",P12&lt;&gt;""),K13/P12,IF(K13&lt;&gt;"",K13/$D$2,""))</f>
        <v/>
      </c>
      <c r="M13" s="20"/>
      <c r="N13" s="20"/>
      <c r="O13" s="20"/>
      <c r="P13" s="16" t="str">
        <f aca="false">IF(K13&lt;&gt;"",P12+K13,IF(B13&lt;&gt;"",P12,""))</f>
        <v/>
      </c>
      <c r="Q13" s="17" t="str">
        <f aca="false">IF(P13&lt;&gt;"",MIN(0,P13-MAX($P$4:P13)),"")</f>
        <v/>
      </c>
      <c r="S13" s="31" t="str">
        <f aca="false">IF(A5&lt;&gt;"",A5,"")</f>
        <v/>
      </c>
      <c r="T13" s="34" t="str">
        <f aca="false">IF(P5&lt;&gt;"",P5,"")</f>
        <v/>
      </c>
      <c r="U13" s="33" t="str">
        <f aca="false">IF(P5&lt;&gt;"",(P5-$D$2)/$D$2,"")</f>
        <v/>
      </c>
    </row>
    <row r="14" customFormat="false" ht="15" hidden="false" customHeight="true" outlineLevel="0" collapsed="false">
      <c r="A14" s="11" t="str">
        <f aca="false">IF(B14&lt;&gt;"",COUNTA($B$4:B14),"")</f>
        <v/>
      </c>
      <c r="B14" s="12"/>
      <c r="C14" s="12"/>
      <c r="D14" s="12"/>
      <c r="E14" s="12"/>
      <c r="F14" s="12"/>
      <c r="G14" s="12"/>
      <c r="H14" s="12"/>
      <c r="I14" s="13"/>
      <c r="J14" s="12"/>
      <c r="K14" s="14" t="str">
        <f aca="false">IF(AND(I14&lt;&gt;"",H14&lt;&gt;"",J14&lt;&gt;""),IF(J14="W",I14*H14,IF(J14="L",-I14,IF(J14="P",I14*H14*0.5,""))),"")</f>
        <v/>
      </c>
      <c r="L14" s="15" t="str">
        <f aca="false">IF(AND(K14&lt;&gt;"",P13&lt;&gt;""),K14/P13,IF(K14&lt;&gt;"",K14/$D$2,""))</f>
        <v/>
      </c>
      <c r="M14" s="12"/>
      <c r="N14" s="12"/>
      <c r="O14" s="12"/>
      <c r="P14" s="16" t="str">
        <f aca="false">IF(K14&lt;&gt;"",P13+K14,IF(B14&lt;&gt;"",P13,""))</f>
        <v/>
      </c>
      <c r="Q14" s="17" t="str">
        <f aca="false">IF(P14&lt;&gt;"",MIN(0,P14-MAX($P$4:P14)),"")</f>
        <v/>
      </c>
      <c r="S14" s="31" t="str">
        <f aca="false">IF(A6&lt;&gt;"",A6,"")</f>
        <v/>
      </c>
      <c r="T14" s="34" t="str">
        <f aca="false">IF(P6&lt;&gt;"",P6,"")</f>
        <v/>
      </c>
      <c r="U14" s="33" t="str">
        <f aca="false">IF(P6&lt;&gt;"",(P6-$D$2)/$D$2,"")</f>
        <v/>
      </c>
    </row>
    <row r="15" customFormat="false" ht="15" hidden="false" customHeight="true" outlineLevel="0" collapsed="false">
      <c r="A15" s="11" t="str">
        <f aca="false">IF(B15&lt;&gt;"",COUNTA($B$4:B15),"")</f>
        <v/>
      </c>
      <c r="B15" s="20"/>
      <c r="C15" s="20"/>
      <c r="D15" s="20"/>
      <c r="E15" s="20"/>
      <c r="F15" s="20"/>
      <c r="G15" s="20"/>
      <c r="H15" s="20"/>
      <c r="I15" s="21"/>
      <c r="J15" s="20"/>
      <c r="K15" s="14" t="str">
        <f aca="false">IF(AND(I15&lt;&gt;"",H15&lt;&gt;"",J15&lt;&gt;""),IF(J15="W",I15*H15,IF(J15="L",-I15,IF(J15="P",I15*H15*0.5,""))),"")</f>
        <v/>
      </c>
      <c r="L15" s="15" t="str">
        <f aca="false">IF(AND(K15&lt;&gt;"",P14&lt;&gt;""),K15/P14,IF(K15&lt;&gt;"",K15/$D$2,""))</f>
        <v/>
      </c>
      <c r="M15" s="20"/>
      <c r="N15" s="20"/>
      <c r="O15" s="20"/>
      <c r="P15" s="16" t="str">
        <f aca="false">IF(K15&lt;&gt;"",P14+K15,IF(B15&lt;&gt;"",P14,""))</f>
        <v/>
      </c>
      <c r="Q15" s="17" t="str">
        <f aca="false">IF(P15&lt;&gt;"",MIN(0,P15-MAX($P$4:P15)),"")</f>
        <v/>
      </c>
      <c r="S15" s="35" t="str">
        <f aca="false">IF(A7&lt;&gt;"",A7,"")</f>
        <v/>
      </c>
      <c r="T15" s="36" t="str">
        <f aca="false">IF(P7&lt;&gt;"",P7,"")</f>
        <v/>
      </c>
      <c r="U15" s="33" t="str">
        <f aca="false">IF(P7&lt;&gt;"",(P7-$D$2)/$D$2,"")</f>
        <v/>
      </c>
    </row>
    <row r="16" customFormat="false" ht="15" hidden="false" customHeight="true" outlineLevel="0" collapsed="false">
      <c r="A16" s="11" t="str">
        <f aca="false">IF(B16&lt;&gt;"",COUNTA($B$4:B16),"")</f>
        <v/>
      </c>
      <c r="B16" s="12"/>
      <c r="C16" s="12"/>
      <c r="D16" s="12"/>
      <c r="E16" s="12"/>
      <c r="F16" s="12"/>
      <c r="G16" s="12"/>
      <c r="H16" s="12"/>
      <c r="I16" s="13"/>
      <c r="J16" s="12"/>
      <c r="K16" s="14" t="str">
        <f aca="false">IF(AND(I16&lt;&gt;"",H16&lt;&gt;"",J16&lt;&gt;""),IF(J16="W",I16*H16,IF(J16="L",-I16,IF(J16="P",I16*H16*0.5,""))),"")</f>
        <v/>
      </c>
      <c r="L16" s="15" t="str">
        <f aca="false">IF(AND(K16&lt;&gt;"",P15&lt;&gt;""),K16/P15,IF(K16&lt;&gt;"",K16/$D$2,""))</f>
        <v/>
      </c>
      <c r="M16" s="12"/>
      <c r="N16" s="12"/>
      <c r="O16" s="12"/>
      <c r="P16" s="16" t="str">
        <f aca="false">IF(K16&lt;&gt;"",P15+K16,IF(B16&lt;&gt;"",P15,""))</f>
        <v/>
      </c>
      <c r="Q16" s="17" t="str">
        <f aca="false">IF(P16&lt;&gt;"",MIN(0,P16-MAX($P$4:P16)),"")</f>
        <v/>
      </c>
      <c r="S16" s="35" t="str">
        <f aca="false">IF(A8&lt;&gt;"",A8,"")</f>
        <v/>
      </c>
      <c r="T16" s="36" t="str">
        <f aca="false">IF(P8&lt;&gt;"",P8,"")</f>
        <v/>
      </c>
      <c r="U16" s="33" t="str">
        <f aca="false">IF(P8&lt;&gt;"",(P8-$D$2)/$D$2,"")</f>
        <v/>
      </c>
    </row>
    <row r="17" customFormat="false" ht="15" hidden="false" customHeight="true" outlineLevel="0" collapsed="false">
      <c r="A17" s="11" t="str">
        <f aca="false">IF(B17&lt;&gt;"",COUNTA($B$4:B17),"")</f>
        <v/>
      </c>
      <c r="B17" s="20"/>
      <c r="C17" s="20"/>
      <c r="D17" s="20"/>
      <c r="E17" s="20"/>
      <c r="F17" s="20"/>
      <c r="G17" s="20"/>
      <c r="H17" s="20"/>
      <c r="I17" s="21"/>
      <c r="J17" s="20"/>
      <c r="K17" s="14" t="str">
        <f aca="false">IF(AND(I17&lt;&gt;"",H17&lt;&gt;"",J17&lt;&gt;""),IF(J17="W",I17*H17,IF(J17="L",-I17,IF(J17="P",I17*H17*0.5,""))),"")</f>
        <v/>
      </c>
      <c r="L17" s="15" t="str">
        <f aca="false">IF(AND(K17&lt;&gt;"",P16&lt;&gt;""),K17/P16,IF(K17&lt;&gt;"",K17/$D$2,""))</f>
        <v/>
      </c>
      <c r="M17" s="20"/>
      <c r="N17" s="20"/>
      <c r="O17" s="20"/>
      <c r="P17" s="16" t="str">
        <f aca="false">IF(K17&lt;&gt;"",P16+K17,IF(B17&lt;&gt;"",P16,""))</f>
        <v/>
      </c>
      <c r="Q17" s="17" t="str">
        <f aca="false">IF(P17&lt;&gt;"",MIN(0,P17-MAX($P$4:P17)),"")</f>
        <v/>
      </c>
      <c r="S17" s="35" t="str">
        <f aca="false">IF(A9&lt;&gt;"",A9,"")</f>
        <v/>
      </c>
      <c r="T17" s="36" t="str">
        <f aca="false">IF(P9&lt;&gt;"",P9,"")</f>
        <v/>
      </c>
      <c r="U17" s="33" t="str">
        <f aca="false">IF(P9&lt;&gt;"",(P9-$D$2)/$D$2,"")</f>
        <v/>
      </c>
    </row>
    <row r="18" customFormat="false" ht="15" hidden="false" customHeight="true" outlineLevel="0" collapsed="false">
      <c r="A18" s="11" t="str">
        <f aca="false">IF(B18&lt;&gt;"",COUNTA($B$4:B18),"")</f>
        <v/>
      </c>
      <c r="B18" s="12"/>
      <c r="C18" s="12"/>
      <c r="D18" s="12"/>
      <c r="E18" s="12"/>
      <c r="F18" s="12"/>
      <c r="G18" s="12"/>
      <c r="H18" s="12"/>
      <c r="I18" s="13"/>
      <c r="J18" s="12"/>
      <c r="K18" s="14" t="str">
        <f aca="false">IF(AND(I18&lt;&gt;"",H18&lt;&gt;"",J18&lt;&gt;""),IF(J18="W",I18*H18,IF(J18="L",-I18,IF(J18="P",I18*H18*0.5,""))),"")</f>
        <v/>
      </c>
      <c r="L18" s="15" t="str">
        <f aca="false">IF(AND(K18&lt;&gt;"",P17&lt;&gt;""),K18/P17,IF(K18&lt;&gt;"",K18/$D$2,""))</f>
        <v/>
      </c>
      <c r="M18" s="12"/>
      <c r="N18" s="12"/>
      <c r="O18" s="12"/>
      <c r="P18" s="16" t="str">
        <f aca="false">IF(K18&lt;&gt;"",P17+K18,IF(B18&lt;&gt;"",P17,""))</f>
        <v/>
      </c>
      <c r="Q18" s="17" t="str">
        <f aca="false">IF(P18&lt;&gt;"",MIN(0,P18-MAX($P$4:P18)),"")</f>
        <v/>
      </c>
      <c r="S18" s="35" t="str">
        <f aca="false">IF(A10&lt;&gt;"",A10,"")</f>
        <v/>
      </c>
      <c r="T18" s="36" t="str">
        <f aca="false">IF(P10&lt;&gt;"",P10,"")</f>
        <v/>
      </c>
      <c r="U18" s="33" t="str">
        <f aca="false">IF(P10&lt;&gt;"",(P10-$D$2)/$D$2,"")</f>
        <v/>
      </c>
    </row>
    <row r="19" customFormat="false" ht="15" hidden="false" customHeight="true" outlineLevel="0" collapsed="false">
      <c r="A19" s="11" t="str">
        <f aca="false">IF(B19&lt;&gt;"",COUNTA($B$4:B19),"")</f>
        <v/>
      </c>
      <c r="B19" s="20"/>
      <c r="C19" s="20"/>
      <c r="D19" s="20"/>
      <c r="E19" s="20"/>
      <c r="F19" s="20"/>
      <c r="G19" s="20"/>
      <c r="H19" s="20"/>
      <c r="I19" s="21"/>
      <c r="J19" s="20"/>
      <c r="K19" s="14" t="str">
        <f aca="false">IF(AND(I19&lt;&gt;"",H19&lt;&gt;"",J19&lt;&gt;""),IF(J19="W",I19*H19,IF(J19="L",-I19,IF(J19="P",I19*H19*0.5,""))),"")</f>
        <v/>
      </c>
      <c r="L19" s="15" t="str">
        <f aca="false">IF(AND(K19&lt;&gt;"",P18&lt;&gt;""),K19/P18,IF(K19&lt;&gt;"",K19/$D$2,""))</f>
        <v/>
      </c>
      <c r="M19" s="20"/>
      <c r="N19" s="20"/>
      <c r="O19" s="20"/>
      <c r="P19" s="16" t="str">
        <f aca="false">IF(K19&lt;&gt;"",P18+K19,IF(B19&lt;&gt;"",P18,""))</f>
        <v/>
      </c>
      <c r="Q19" s="17" t="str">
        <f aca="false">IF(P19&lt;&gt;"",MIN(0,P19-MAX($P$4:P19)),"")</f>
        <v/>
      </c>
      <c r="S19" s="35" t="str">
        <f aca="false">IF(A11&lt;&gt;"",A11,"")</f>
        <v/>
      </c>
      <c r="T19" s="36" t="str">
        <f aca="false">IF(P11&lt;&gt;"",P11,"")</f>
        <v/>
      </c>
      <c r="U19" s="33" t="str">
        <f aca="false">IF(P11&lt;&gt;"",(P11-$D$2)/$D$2,"")</f>
        <v/>
      </c>
    </row>
    <row r="20" customFormat="false" ht="15" hidden="false" customHeight="true" outlineLevel="0" collapsed="false">
      <c r="A20" s="11" t="str">
        <f aca="false">IF(B20&lt;&gt;"",COUNTA($B$4:B20),"")</f>
        <v/>
      </c>
      <c r="B20" s="12"/>
      <c r="C20" s="12"/>
      <c r="D20" s="12"/>
      <c r="E20" s="12"/>
      <c r="F20" s="12"/>
      <c r="G20" s="12"/>
      <c r="H20" s="12"/>
      <c r="I20" s="13"/>
      <c r="J20" s="12"/>
      <c r="K20" s="14" t="str">
        <f aca="false">IF(AND(I20&lt;&gt;"",H20&lt;&gt;"",J20&lt;&gt;""),IF(J20="W",I20*H20,IF(J20="L",-I20,IF(J20="P",I20*H20*0.5,""))),"")</f>
        <v/>
      </c>
      <c r="L20" s="15" t="str">
        <f aca="false">IF(AND(K20&lt;&gt;"",P19&lt;&gt;""),K20/P19,IF(K20&lt;&gt;"",K20/$D$2,""))</f>
        <v/>
      </c>
      <c r="M20" s="12"/>
      <c r="N20" s="12"/>
      <c r="O20" s="12"/>
      <c r="P20" s="16" t="str">
        <f aca="false">IF(K20&lt;&gt;"",P19+K20,IF(B20&lt;&gt;"",P19,""))</f>
        <v/>
      </c>
      <c r="Q20" s="17" t="str">
        <f aca="false">IF(P20&lt;&gt;"",MIN(0,P20-MAX($P$4:P20)),"")</f>
        <v/>
      </c>
      <c r="S20" s="35" t="str">
        <f aca="false">IF(A12&lt;&gt;"",A12,"")</f>
        <v/>
      </c>
      <c r="T20" s="36" t="str">
        <f aca="false">IF(P12&lt;&gt;"",P12,"")</f>
        <v/>
      </c>
      <c r="U20" s="33" t="str">
        <f aca="false">IF(P12&lt;&gt;"",(P12-$D$2)/$D$2,"")</f>
        <v/>
      </c>
    </row>
    <row r="21" customFormat="false" ht="15" hidden="false" customHeight="true" outlineLevel="0" collapsed="false">
      <c r="A21" s="11" t="str">
        <f aca="false">IF(B21&lt;&gt;"",COUNTA($B$4:B21),"")</f>
        <v/>
      </c>
      <c r="B21" s="20"/>
      <c r="C21" s="20"/>
      <c r="D21" s="20"/>
      <c r="E21" s="20"/>
      <c r="F21" s="20"/>
      <c r="G21" s="20"/>
      <c r="H21" s="20"/>
      <c r="I21" s="21"/>
      <c r="J21" s="20"/>
      <c r="K21" s="14" t="str">
        <f aca="false">IF(AND(I21&lt;&gt;"",H21&lt;&gt;"",J21&lt;&gt;""),IF(J21="W",I21*H21,IF(J21="L",-I21,IF(J21="P",I21*H21*0.5,""))),"")</f>
        <v/>
      </c>
      <c r="L21" s="15" t="str">
        <f aca="false">IF(AND(K21&lt;&gt;"",P20&lt;&gt;""),K21/P20,IF(K21&lt;&gt;"",K21/$D$2,""))</f>
        <v/>
      </c>
      <c r="M21" s="20"/>
      <c r="N21" s="20"/>
      <c r="O21" s="20"/>
      <c r="P21" s="16" t="str">
        <f aca="false">IF(K21&lt;&gt;"",P20+K21,IF(B21&lt;&gt;"",P20,""))</f>
        <v/>
      </c>
      <c r="Q21" s="17" t="str">
        <f aca="false">IF(P21&lt;&gt;"",MIN(0,P21-MAX($P$4:P21)),"")</f>
        <v/>
      </c>
      <c r="S21" s="35" t="str">
        <f aca="false">IF(A13&lt;&gt;"",A13,"")</f>
        <v/>
      </c>
      <c r="T21" s="36" t="str">
        <f aca="false">IF(P13&lt;&gt;"",P13,"")</f>
        <v/>
      </c>
      <c r="U21" s="33" t="str">
        <f aca="false">IF(P13&lt;&gt;"",(P13-$D$2)/$D$2,"")</f>
        <v/>
      </c>
    </row>
    <row r="22" customFormat="false" ht="15" hidden="false" customHeight="true" outlineLevel="0" collapsed="false">
      <c r="A22" s="11" t="str">
        <f aca="false">IF(B22&lt;&gt;"",COUNTA($B$4:B22),"")</f>
        <v/>
      </c>
      <c r="B22" s="12"/>
      <c r="C22" s="12"/>
      <c r="D22" s="12"/>
      <c r="E22" s="12"/>
      <c r="F22" s="12"/>
      <c r="G22" s="12"/>
      <c r="H22" s="12"/>
      <c r="I22" s="13"/>
      <c r="J22" s="12"/>
      <c r="K22" s="14" t="str">
        <f aca="false">IF(AND(I22&lt;&gt;"",H22&lt;&gt;"",J22&lt;&gt;""),IF(J22="W",I22*H22,IF(J22="L",-I22,IF(J22="P",I22*H22*0.5,""))),"")</f>
        <v/>
      </c>
      <c r="L22" s="15" t="str">
        <f aca="false">IF(AND(K22&lt;&gt;"",P21&lt;&gt;""),K22/P21,IF(K22&lt;&gt;"",K22/$D$2,""))</f>
        <v/>
      </c>
      <c r="M22" s="12"/>
      <c r="N22" s="12"/>
      <c r="O22" s="12"/>
      <c r="P22" s="16" t="str">
        <f aca="false">IF(K22&lt;&gt;"",P21+K22,IF(B22&lt;&gt;"",P21,""))</f>
        <v/>
      </c>
      <c r="Q22" s="17" t="str">
        <f aca="false">IF(P22&lt;&gt;"",MIN(0,P22-MAX($P$4:P22)),"")</f>
        <v/>
      </c>
      <c r="S22" s="35" t="str">
        <f aca="false">IF(A14&lt;&gt;"",A14,"")</f>
        <v/>
      </c>
      <c r="T22" s="36" t="str">
        <f aca="false">IF(P14&lt;&gt;"",P14,"")</f>
        <v/>
      </c>
      <c r="U22" s="33" t="str">
        <f aca="false">IF(P14&lt;&gt;"",(P14-$D$2)/$D$2,"")</f>
        <v/>
      </c>
    </row>
    <row r="23" customFormat="false" ht="15" hidden="false" customHeight="true" outlineLevel="0" collapsed="false">
      <c r="A23" s="11" t="str">
        <f aca="false">IF(B23&lt;&gt;"",COUNTA($B$4:B23),"")</f>
        <v/>
      </c>
      <c r="B23" s="20"/>
      <c r="C23" s="20"/>
      <c r="D23" s="20"/>
      <c r="E23" s="20"/>
      <c r="F23" s="20"/>
      <c r="G23" s="20"/>
      <c r="H23" s="20"/>
      <c r="I23" s="21"/>
      <c r="J23" s="20"/>
      <c r="K23" s="14" t="str">
        <f aca="false">IF(AND(I23&lt;&gt;"",H23&lt;&gt;"",J23&lt;&gt;""),IF(J23="W",I23*H23,IF(J23="L",-I23,IF(J23="P",I23*H23*0.5,""))),"")</f>
        <v/>
      </c>
      <c r="L23" s="15" t="str">
        <f aca="false">IF(AND(K23&lt;&gt;"",P22&lt;&gt;""),K23/P22,IF(K23&lt;&gt;"",K23/$D$2,""))</f>
        <v/>
      </c>
      <c r="M23" s="20"/>
      <c r="N23" s="20"/>
      <c r="O23" s="20"/>
      <c r="P23" s="16" t="str">
        <f aca="false">IF(K23&lt;&gt;"",P22+K23,IF(B23&lt;&gt;"",P22,""))</f>
        <v/>
      </c>
      <c r="Q23" s="17" t="str">
        <f aca="false">IF(P23&lt;&gt;"",MIN(0,P23-MAX($P$4:P23)),"")</f>
        <v/>
      </c>
      <c r="S23" s="35" t="str">
        <f aca="false">IF(A15&lt;&gt;"",A15,"")</f>
        <v/>
      </c>
      <c r="T23" s="36" t="str">
        <f aca="false">IF(P15&lt;&gt;"",P15,"")</f>
        <v/>
      </c>
      <c r="U23" s="33" t="str">
        <f aca="false">IF(P15&lt;&gt;"",(P15-$D$2)/$D$2,"")</f>
        <v/>
      </c>
    </row>
    <row r="24" customFormat="false" ht="15" hidden="false" customHeight="true" outlineLevel="0" collapsed="false">
      <c r="A24" s="11" t="str">
        <f aca="false">IF(B24&lt;&gt;"",COUNTA($B$4:B24),"")</f>
        <v/>
      </c>
      <c r="B24" s="12"/>
      <c r="C24" s="12"/>
      <c r="D24" s="12"/>
      <c r="E24" s="12"/>
      <c r="F24" s="12"/>
      <c r="G24" s="12"/>
      <c r="H24" s="12"/>
      <c r="I24" s="13"/>
      <c r="J24" s="12"/>
      <c r="K24" s="14" t="str">
        <f aca="false">IF(AND(I24&lt;&gt;"",H24&lt;&gt;"",J24&lt;&gt;""),IF(J24="W",I24*H24,IF(J24="L",-I24,IF(J24="P",I24*H24*0.5,""))),"")</f>
        <v/>
      </c>
      <c r="L24" s="15" t="str">
        <f aca="false">IF(AND(K24&lt;&gt;"",P23&lt;&gt;""),K24/P23,IF(K24&lt;&gt;"",K24/$D$2,""))</f>
        <v/>
      </c>
      <c r="M24" s="12"/>
      <c r="N24" s="12"/>
      <c r="O24" s="12"/>
      <c r="P24" s="16" t="str">
        <f aca="false">IF(K24&lt;&gt;"",P23+K24,IF(B24&lt;&gt;"",P23,""))</f>
        <v/>
      </c>
      <c r="Q24" s="17" t="str">
        <f aca="false">IF(P24&lt;&gt;"",MIN(0,P24-MAX($P$4:P24)),"")</f>
        <v/>
      </c>
      <c r="S24" s="35" t="str">
        <f aca="false">IF(A16&lt;&gt;"",A16,"")</f>
        <v/>
      </c>
      <c r="T24" s="36" t="str">
        <f aca="false">IF(P16&lt;&gt;"",P16,"")</f>
        <v/>
      </c>
      <c r="U24" s="33" t="str">
        <f aca="false">IF(P16&lt;&gt;"",(P16-$D$2)/$D$2,"")</f>
        <v/>
      </c>
    </row>
    <row r="25" customFormat="false" ht="15" hidden="false" customHeight="true" outlineLevel="0" collapsed="false">
      <c r="A25" s="11" t="str">
        <f aca="false">IF(B25&lt;&gt;"",COUNTA($B$4:B25),"")</f>
        <v/>
      </c>
      <c r="B25" s="20"/>
      <c r="C25" s="20"/>
      <c r="D25" s="20"/>
      <c r="E25" s="20"/>
      <c r="F25" s="20"/>
      <c r="G25" s="20"/>
      <c r="H25" s="20"/>
      <c r="I25" s="21"/>
      <c r="J25" s="20"/>
      <c r="K25" s="14" t="str">
        <f aca="false">IF(AND(I25&lt;&gt;"",H25&lt;&gt;"",J25&lt;&gt;""),IF(J25="W",I25*H25,IF(J25="L",-I25,IF(J25="P",I25*H25*0.5,""))),"")</f>
        <v/>
      </c>
      <c r="L25" s="15" t="str">
        <f aca="false">IF(AND(K25&lt;&gt;"",P24&lt;&gt;""),K25/P24,IF(K25&lt;&gt;"",K25/$D$2,""))</f>
        <v/>
      </c>
      <c r="M25" s="20"/>
      <c r="N25" s="20"/>
      <c r="O25" s="20"/>
      <c r="P25" s="16" t="str">
        <f aca="false">IF(K25&lt;&gt;"",P24+K25,IF(B25&lt;&gt;"",P24,""))</f>
        <v/>
      </c>
      <c r="Q25" s="17" t="str">
        <f aca="false">IF(P25&lt;&gt;"",MIN(0,P25-MAX($P$4:P25)),"")</f>
        <v/>
      </c>
      <c r="S25" s="35" t="str">
        <f aca="false">IF(A17&lt;&gt;"",A17,"")</f>
        <v/>
      </c>
      <c r="T25" s="36" t="str">
        <f aca="false">IF(P17&lt;&gt;"",P17,"")</f>
        <v/>
      </c>
      <c r="U25" s="33" t="str">
        <f aca="false">IF(P17&lt;&gt;"",(P17-$D$2)/$D$2,"")</f>
        <v/>
      </c>
    </row>
    <row r="26" customFormat="false" ht="15" hidden="false" customHeight="true" outlineLevel="0" collapsed="false">
      <c r="A26" s="11" t="str">
        <f aca="false">IF(B26&lt;&gt;"",COUNTA($B$4:B26),"")</f>
        <v/>
      </c>
      <c r="B26" s="12"/>
      <c r="C26" s="12"/>
      <c r="D26" s="12"/>
      <c r="E26" s="12"/>
      <c r="F26" s="12"/>
      <c r="G26" s="12"/>
      <c r="H26" s="12"/>
      <c r="I26" s="13"/>
      <c r="J26" s="12"/>
      <c r="K26" s="14" t="str">
        <f aca="false">IF(AND(I26&lt;&gt;"",H26&lt;&gt;"",J26&lt;&gt;""),IF(J26="W",I26*H26,IF(J26="L",-I26,IF(J26="P",I26*H26*0.5,""))),"")</f>
        <v/>
      </c>
      <c r="L26" s="15" t="str">
        <f aca="false">IF(AND(K26&lt;&gt;"",P25&lt;&gt;""),K26/P25,IF(K26&lt;&gt;"",K26/$D$2,""))</f>
        <v/>
      </c>
      <c r="M26" s="12"/>
      <c r="N26" s="12"/>
      <c r="O26" s="12"/>
      <c r="P26" s="16" t="str">
        <f aca="false">IF(K26&lt;&gt;"",P25+K26,IF(B26&lt;&gt;"",P25,""))</f>
        <v/>
      </c>
      <c r="Q26" s="17" t="str">
        <f aca="false">IF(P26&lt;&gt;"",MIN(0,P26-MAX($P$4:P26)),"")</f>
        <v/>
      </c>
      <c r="S26" s="35" t="str">
        <f aca="false">IF(A18&lt;&gt;"",A18,"")</f>
        <v/>
      </c>
      <c r="T26" s="36" t="str">
        <f aca="false">IF(P18&lt;&gt;"",P18,"")</f>
        <v/>
      </c>
      <c r="U26" s="33" t="str">
        <f aca="false">IF(P18&lt;&gt;"",(P18-$D$2)/$D$2,"")</f>
        <v/>
      </c>
    </row>
    <row r="27" customFormat="false" ht="15" hidden="false" customHeight="true" outlineLevel="0" collapsed="false">
      <c r="A27" s="11" t="str">
        <f aca="false">IF(B27&lt;&gt;"",COUNTA($B$4:B27),"")</f>
        <v/>
      </c>
      <c r="B27" s="20"/>
      <c r="C27" s="20"/>
      <c r="D27" s="20"/>
      <c r="E27" s="20"/>
      <c r="F27" s="20"/>
      <c r="G27" s="20"/>
      <c r="H27" s="20"/>
      <c r="I27" s="21"/>
      <c r="J27" s="20"/>
      <c r="K27" s="14" t="str">
        <f aca="false">IF(AND(I27&lt;&gt;"",H27&lt;&gt;"",J27&lt;&gt;""),IF(J27="W",I27*H27,IF(J27="L",-I27,IF(J27="P",I27*H27*0.5,""))),"")</f>
        <v/>
      </c>
      <c r="L27" s="15" t="str">
        <f aca="false">IF(AND(K27&lt;&gt;"",P26&lt;&gt;""),K27/P26,IF(K27&lt;&gt;"",K27/$D$2,""))</f>
        <v/>
      </c>
      <c r="M27" s="20"/>
      <c r="N27" s="20"/>
      <c r="O27" s="20"/>
      <c r="P27" s="16" t="str">
        <f aca="false">IF(K27&lt;&gt;"",P26+K27,IF(B27&lt;&gt;"",P26,""))</f>
        <v/>
      </c>
      <c r="Q27" s="17" t="str">
        <f aca="false">IF(P27&lt;&gt;"",MIN(0,P27-MAX($P$4:P27)),"")</f>
        <v/>
      </c>
      <c r="S27" s="35" t="str">
        <f aca="false">IF(A19&lt;&gt;"",A19,"")</f>
        <v/>
      </c>
      <c r="T27" s="36" t="str">
        <f aca="false">IF(P19&lt;&gt;"",P19,"")</f>
        <v/>
      </c>
      <c r="U27" s="33" t="str">
        <f aca="false">IF(P19&lt;&gt;"",(P19-$D$2)/$D$2,"")</f>
        <v/>
      </c>
    </row>
    <row r="28" customFormat="false" ht="15" hidden="false" customHeight="true" outlineLevel="0" collapsed="false">
      <c r="A28" s="11" t="str">
        <f aca="false">IF(B28&lt;&gt;"",COUNTA($B$4:B28),"")</f>
        <v/>
      </c>
      <c r="B28" s="12"/>
      <c r="C28" s="12"/>
      <c r="D28" s="12"/>
      <c r="E28" s="12"/>
      <c r="F28" s="12"/>
      <c r="G28" s="12"/>
      <c r="H28" s="12"/>
      <c r="I28" s="13"/>
      <c r="J28" s="12"/>
      <c r="K28" s="14" t="str">
        <f aca="false">IF(AND(I28&lt;&gt;"",H28&lt;&gt;"",J28&lt;&gt;""),IF(J28="W",I28*H28,IF(J28="L",-I28,IF(J28="P",I28*H28*0.5,""))),"")</f>
        <v/>
      </c>
      <c r="L28" s="15" t="str">
        <f aca="false">IF(AND(K28&lt;&gt;"",P27&lt;&gt;""),K28/P27,IF(K28&lt;&gt;"",K28/$D$2,""))</f>
        <v/>
      </c>
      <c r="M28" s="12"/>
      <c r="N28" s="12"/>
      <c r="O28" s="12"/>
      <c r="P28" s="16" t="str">
        <f aca="false">IF(K28&lt;&gt;"",P27+K28,IF(B28&lt;&gt;"",P27,""))</f>
        <v/>
      </c>
      <c r="Q28" s="17" t="str">
        <f aca="false">IF(P28&lt;&gt;"",MIN(0,P28-MAX($P$4:P28)),"")</f>
        <v/>
      </c>
      <c r="S28" s="35" t="str">
        <f aca="false">IF(A20&lt;&gt;"",A20,"")</f>
        <v/>
      </c>
      <c r="T28" s="36" t="str">
        <f aca="false">IF(P20&lt;&gt;"",P20,"")</f>
        <v/>
      </c>
      <c r="U28" s="33" t="str">
        <f aca="false">IF(P20&lt;&gt;"",(P20-$D$2)/$D$2,"")</f>
        <v/>
      </c>
    </row>
    <row r="29" customFormat="false" ht="15" hidden="false" customHeight="true" outlineLevel="0" collapsed="false">
      <c r="A29" s="11" t="str">
        <f aca="false">IF(B29&lt;&gt;"",COUNTA($B$4:B29),"")</f>
        <v/>
      </c>
      <c r="B29" s="20"/>
      <c r="C29" s="20"/>
      <c r="D29" s="20"/>
      <c r="E29" s="20"/>
      <c r="F29" s="20"/>
      <c r="G29" s="20"/>
      <c r="H29" s="20"/>
      <c r="I29" s="21"/>
      <c r="J29" s="20"/>
      <c r="K29" s="14" t="str">
        <f aca="false">IF(AND(I29&lt;&gt;"",H29&lt;&gt;"",J29&lt;&gt;""),IF(J29="W",I29*H29,IF(J29="L",-I29,IF(J29="P",I29*H29*0.5,""))),"")</f>
        <v/>
      </c>
      <c r="L29" s="15" t="str">
        <f aca="false">IF(AND(K29&lt;&gt;"",P28&lt;&gt;""),K29/P28,IF(K29&lt;&gt;"",K29/$D$2,""))</f>
        <v/>
      </c>
      <c r="M29" s="20"/>
      <c r="N29" s="20"/>
      <c r="O29" s="20"/>
      <c r="P29" s="16" t="str">
        <f aca="false">IF(K29&lt;&gt;"",P28+K29,IF(B29&lt;&gt;"",P28,""))</f>
        <v/>
      </c>
      <c r="Q29" s="17" t="str">
        <f aca="false">IF(P29&lt;&gt;"",MIN(0,P29-MAX($P$4:P29)),"")</f>
        <v/>
      </c>
      <c r="S29" s="35" t="str">
        <f aca="false">IF(A21&lt;&gt;"",A21,"")</f>
        <v/>
      </c>
      <c r="T29" s="36" t="str">
        <f aca="false">IF(P21&lt;&gt;"",P21,"")</f>
        <v/>
      </c>
      <c r="U29" s="33" t="str">
        <f aca="false">IF(P21&lt;&gt;"",(P21-$D$2)/$D$2,"")</f>
        <v/>
      </c>
    </row>
    <row r="30" customFormat="false" ht="15" hidden="false" customHeight="true" outlineLevel="0" collapsed="false">
      <c r="A30" s="11" t="str">
        <f aca="false">IF(B30&lt;&gt;"",COUNTA($B$4:B30),"")</f>
        <v/>
      </c>
      <c r="B30" s="12"/>
      <c r="C30" s="12"/>
      <c r="D30" s="12"/>
      <c r="E30" s="12"/>
      <c r="F30" s="12"/>
      <c r="G30" s="12"/>
      <c r="H30" s="12"/>
      <c r="I30" s="13"/>
      <c r="J30" s="12"/>
      <c r="K30" s="14" t="str">
        <f aca="false">IF(AND(I30&lt;&gt;"",H30&lt;&gt;"",J30&lt;&gt;""),IF(J30="W",I30*H30,IF(J30="L",-I30,IF(J30="P",I30*H30*0.5,""))),"")</f>
        <v/>
      </c>
      <c r="L30" s="15" t="str">
        <f aca="false">IF(AND(K30&lt;&gt;"",P29&lt;&gt;""),K30/P29,IF(K30&lt;&gt;"",K30/$D$2,""))</f>
        <v/>
      </c>
      <c r="M30" s="12"/>
      <c r="N30" s="12"/>
      <c r="O30" s="12"/>
      <c r="P30" s="16" t="str">
        <f aca="false">IF(K30&lt;&gt;"",P29+K30,IF(B30&lt;&gt;"",P29,""))</f>
        <v/>
      </c>
      <c r="Q30" s="17" t="str">
        <f aca="false">IF(P30&lt;&gt;"",MIN(0,P30-MAX($P$4:P30)),"")</f>
        <v/>
      </c>
      <c r="S30" s="35" t="str">
        <f aca="false">IF(A22&lt;&gt;"",A22,"")</f>
        <v/>
      </c>
      <c r="T30" s="36" t="str">
        <f aca="false">IF(P22&lt;&gt;"",P22,"")</f>
        <v/>
      </c>
      <c r="U30" s="33" t="str">
        <f aca="false">IF(P22&lt;&gt;"",(P22-$D$2)/$D$2,"")</f>
        <v/>
      </c>
    </row>
    <row r="31" customFormat="false" ht="15" hidden="false" customHeight="true" outlineLevel="0" collapsed="false">
      <c r="A31" s="11" t="str">
        <f aca="false">IF(B31&lt;&gt;"",COUNTA($B$4:B31),"")</f>
        <v/>
      </c>
      <c r="B31" s="20"/>
      <c r="C31" s="20"/>
      <c r="D31" s="20"/>
      <c r="E31" s="20"/>
      <c r="F31" s="20"/>
      <c r="G31" s="20"/>
      <c r="H31" s="20"/>
      <c r="I31" s="21"/>
      <c r="J31" s="20"/>
      <c r="K31" s="14" t="str">
        <f aca="false">IF(AND(I31&lt;&gt;"",H31&lt;&gt;"",J31&lt;&gt;""),IF(J31="W",I31*H31,IF(J31="L",-I31,IF(J31="P",I31*H31*0.5,""))),"")</f>
        <v/>
      </c>
      <c r="L31" s="15" t="str">
        <f aca="false">IF(AND(K31&lt;&gt;"",P30&lt;&gt;""),K31/P30,IF(K31&lt;&gt;"",K31/$D$2,""))</f>
        <v/>
      </c>
      <c r="M31" s="20"/>
      <c r="N31" s="20"/>
      <c r="O31" s="20"/>
      <c r="P31" s="16" t="str">
        <f aca="false">IF(K31&lt;&gt;"",P30+K31,IF(B31&lt;&gt;"",P30,""))</f>
        <v/>
      </c>
      <c r="Q31" s="17" t="str">
        <f aca="false">IF(P31&lt;&gt;"",MIN(0,P31-MAX($P$4:P31)),"")</f>
        <v/>
      </c>
      <c r="S31" s="35" t="str">
        <f aca="false">IF(A23&lt;&gt;"",A23,"")</f>
        <v/>
      </c>
      <c r="T31" s="36" t="str">
        <f aca="false">IF(P23&lt;&gt;"",P23,"")</f>
        <v/>
      </c>
      <c r="U31" s="33" t="str">
        <f aca="false">IF(P23&lt;&gt;"",(P23-$D$2)/$D$2,"")</f>
        <v/>
      </c>
    </row>
    <row r="32" customFormat="false" ht="15" hidden="false" customHeight="true" outlineLevel="0" collapsed="false">
      <c r="A32" s="11" t="str">
        <f aca="false">IF(B32&lt;&gt;"",COUNTA($B$4:B32),"")</f>
        <v/>
      </c>
      <c r="B32" s="12"/>
      <c r="C32" s="12"/>
      <c r="D32" s="12"/>
      <c r="E32" s="12"/>
      <c r="F32" s="12"/>
      <c r="G32" s="12"/>
      <c r="H32" s="12"/>
      <c r="I32" s="13"/>
      <c r="J32" s="12"/>
      <c r="K32" s="14" t="str">
        <f aca="false">IF(AND(I32&lt;&gt;"",H32&lt;&gt;"",J32&lt;&gt;""),IF(J32="W",I32*H32,IF(J32="L",-I32,IF(J32="P",I32*H32*0.5,""))),"")</f>
        <v/>
      </c>
      <c r="L32" s="15" t="str">
        <f aca="false">IF(AND(K32&lt;&gt;"",P31&lt;&gt;""),K32/P31,IF(K32&lt;&gt;"",K32/$D$2,""))</f>
        <v/>
      </c>
      <c r="M32" s="12"/>
      <c r="N32" s="12"/>
      <c r="O32" s="12"/>
      <c r="P32" s="16" t="str">
        <f aca="false">IF(K32&lt;&gt;"",P31+K32,IF(B32&lt;&gt;"",P31,""))</f>
        <v/>
      </c>
      <c r="Q32" s="17" t="str">
        <f aca="false">IF(P32&lt;&gt;"",MIN(0,P32-MAX($P$4:P32)),"")</f>
        <v/>
      </c>
      <c r="S32" s="35" t="str">
        <f aca="false">IF(A24&lt;&gt;"",A24,"")</f>
        <v/>
      </c>
      <c r="T32" s="36" t="str">
        <f aca="false">IF(P24&lt;&gt;"",P24,"")</f>
        <v/>
      </c>
      <c r="U32" s="33" t="str">
        <f aca="false">IF(P24&lt;&gt;"",(P24-$D$2)/$D$2,"")</f>
        <v/>
      </c>
    </row>
    <row r="33" customFormat="false" ht="15" hidden="false" customHeight="true" outlineLevel="0" collapsed="false">
      <c r="A33" s="11" t="str">
        <f aca="false">IF(B33&lt;&gt;"",COUNTA($B$4:B33),"")</f>
        <v/>
      </c>
      <c r="B33" s="20"/>
      <c r="C33" s="20"/>
      <c r="D33" s="20"/>
      <c r="E33" s="20"/>
      <c r="F33" s="20"/>
      <c r="G33" s="20"/>
      <c r="H33" s="20"/>
      <c r="I33" s="21"/>
      <c r="J33" s="20"/>
      <c r="K33" s="14" t="str">
        <f aca="false">IF(AND(I33&lt;&gt;"",H33&lt;&gt;"",J33&lt;&gt;""),IF(J33="W",I33*H33,IF(J33="L",-I33,IF(J33="P",I33*H33*0.5,""))),"")</f>
        <v/>
      </c>
      <c r="L33" s="15" t="str">
        <f aca="false">IF(AND(K33&lt;&gt;"",P32&lt;&gt;""),K33/P32,IF(K33&lt;&gt;"",K33/$D$2,""))</f>
        <v/>
      </c>
      <c r="M33" s="20"/>
      <c r="N33" s="20"/>
      <c r="O33" s="20"/>
      <c r="P33" s="16" t="str">
        <f aca="false">IF(K33&lt;&gt;"",P32+K33,IF(B33&lt;&gt;"",P32,""))</f>
        <v/>
      </c>
      <c r="Q33" s="17" t="str">
        <f aca="false">IF(P33&lt;&gt;"",MIN(0,P33-MAX($P$4:P33)),"")</f>
        <v/>
      </c>
      <c r="S33" s="35" t="str">
        <f aca="false">IF(A25&lt;&gt;"",A25,"")</f>
        <v/>
      </c>
      <c r="T33" s="36" t="str">
        <f aca="false">IF(P25&lt;&gt;"",P25,"")</f>
        <v/>
      </c>
      <c r="U33" s="33" t="str">
        <f aca="false">IF(P25&lt;&gt;"",(P25-$D$2)/$D$2,"")</f>
        <v/>
      </c>
    </row>
    <row r="34" customFormat="false" ht="15" hidden="false" customHeight="true" outlineLevel="0" collapsed="false">
      <c r="A34" s="11" t="str">
        <f aca="false">IF(B34&lt;&gt;"",COUNTA($B$4:B34),"")</f>
        <v/>
      </c>
      <c r="B34" s="12"/>
      <c r="C34" s="12"/>
      <c r="D34" s="12"/>
      <c r="E34" s="12"/>
      <c r="F34" s="12"/>
      <c r="G34" s="12"/>
      <c r="H34" s="12"/>
      <c r="I34" s="13"/>
      <c r="J34" s="12"/>
      <c r="K34" s="14" t="str">
        <f aca="false">IF(AND(I34&lt;&gt;"",H34&lt;&gt;"",J34&lt;&gt;""),IF(J34="W",I34*H34,IF(J34="L",-I34,IF(J34="P",I34*H34*0.5,""))),"")</f>
        <v/>
      </c>
      <c r="L34" s="15" t="str">
        <f aca="false">IF(AND(K34&lt;&gt;"",P33&lt;&gt;""),K34/P33,IF(K34&lt;&gt;"",K34/$D$2,""))</f>
        <v/>
      </c>
      <c r="M34" s="12"/>
      <c r="N34" s="12"/>
      <c r="O34" s="12"/>
      <c r="P34" s="16" t="str">
        <f aca="false">IF(K34&lt;&gt;"",P33+K34,IF(B34&lt;&gt;"",P33,""))</f>
        <v/>
      </c>
      <c r="Q34" s="17" t="str">
        <f aca="false">IF(P34&lt;&gt;"",MIN(0,P34-MAX($P$4:P34)),"")</f>
        <v/>
      </c>
      <c r="S34" s="35" t="str">
        <f aca="false">IF(A26&lt;&gt;"",A26,"")</f>
        <v/>
      </c>
      <c r="T34" s="36" t="str">
        <f aca="false">IF(P26&lt;&gt;"",P26,"")</f>
        <v/>
      </c>
      <c r="U34" s="33" t="str">
        <f aca="false">IF(P26&lt;&gt;"",(P26-$D$2)/$D$2,"")</f>
        <v/>
      </c>
    </row>
    <row r="35" customFormat="false" ht="15" hidden="false" customHeight="true" outlineLevel="0" collapsed="false">
      <c r="A35" s="11" t="str">
        <f aca="false">IF(B35&lt;&gt;"",COUNTA($B$4:B35),"")</f>
        <v/>
      </c>
      <c r="B35" s="20"/>
      <c r="C35" s="20"/>
      <c r="D35" s="20"/>
      <c r="E35" s="20"/>
      <c r="F35" s="20"/>
      <c r="G35" s="20"/>
      <c r="H35" s="20"/>
      <c r="I35" s="21"/>
      <c r="J35" s="20"/>
      <c r="K35" s="14" t="str">
        <f aca="false">IF(AND(I35&lt;&gt;"",H35&lt;&gt;"",J35&lt;&gt;""),IF(J35="W",I35*H35,IF(J35="L",-I35,IF(J35="P",I35*H35*0.5,""))),"")</f>
        <v/>
      </c>
      <c r="L35" s="15" t="str">
        <f aca="false">IF(AND(K35&lt;&gt;"",P34&lt;&gt;""),K35/P34,IF(K35&lt;&gt;"",K35/$D$2,""))</f>
        <v/>
      </c>
      <c r="M35" s="20"/>
      <c r="N35" s="20"/>
      <c r="O35" s="20"/>
      <c r="P35" s="16" t="str">
        <f aca="false">IF(K35&lt;&gt;"",P34+K35,IF(B35&lt;&gt;"",P34,""))</f>
        <v/>
      </c>
      <c r="Q35" s="17" t="str">
        <f aca="false">IF(P35&lt;&gt;"",MIN(0,P35-MAX($P$4:P35)),"")</f>
        <v/>
      </c>
      <c r="S35" s="35" t="str">
        <f aca="false">IF(A27&lt;&gt;"",A27,"")</f>
        <v/>
      </c>
      <c r="T35" s="36" t="str">
        <f aca="false">IF(P27&lt;&gt;"",P27,"")</f>
        <v/>
      </c>
      <c r="U35" s="33" t="str">
        <f aca="false">IF(P27&lt;&gt;"",(P27-$D$2)/$D$2,"")</f>
        <v/>
      </c>
    </row>
    <row r="36" customFormat="false" ht="15" hidden="false" customHeight="true" outlineLevel="0" collapsed="false">
      <c r="A36" s="11" t="str">
        <f aca="false">IF(B36&lt;&gt;"",COUNTA($B$4:B36),"")</f>
        <v/>
      </c>
      <c r="B36" s="12"/>
      <c r="C36" s="12"/>
      <c r="D36" s="12"/>
      <c r="E36" s="12"/>
      <c r="F36" s="12"/>
      <c r="G36" s="12"/>
      <c r="H36" s="12"/>
      <c r="I36" s="13"/>
      <c r="J36" s="12"/>
      <c r="K36" s="14" t="str">
        <f aca="false">IF(AND(I36&lt;&gt;"",H36&lt;&gt;"",J36&lt;&gt;""),IF(J36="W",I36*H36,IF(J36="L",-I36,IF(J36="P",I36*H36*0.5,""))),"")</f>
        <v/>
      </c>
      <c r="L36" s="15" t="str">
        <f aca="false">IF(AND(K36&lt;&gt;"",P35&lt;&gt;""),K36/P35,IF(K36&lt;&gt;"",K36/$D$2,""))</f>
        <v/>
      </c>
      <c r="M36" s="12"/>
      <c r="N36" s="12"/>
      <c r="O36" s="12"/>
      <c r="P36" s="16" t="str">
        <f aca="false">IF(K36&lt;&gt;"",P35+K36,IF(B36&lt;&gt;"",P35,""))</f>
        <v/>
      </c>
      <c r="Q36" s="17" t="str">
        <f aca="false">IF(P36&lt;&gt;"",MIN(0,P36-MAX($P$4:P36)),"")</f>
        <v/>
      </c>
      <c r="S36" s="35" t="str">
        <f aca="false">IF(A28&lt;&gt;"",A28,"")</f>
        <v/>
      </c>
      <c r="T36" s="36" t="str">
        <f aca="false">IF(P28&lt;&gt;"",P28,"")</f>
        <v/>
      </c>
      <c r="U36" s="33" t="str">
        <f aca="false">IF(P28&lt;&gt;"",(P28-$D$2)/$D$2,"")</f>
        <v/>
      </c>
    </row>
    <row r="37" customFormat="false" ht="15" hidden="false" customHeight="true" outlineLevel="0" collapsed="false">
      <c r="A37" s="11" t="str">
        <f aca="false">IF(B37&lt;&gt;"",COUNTA($B$4:B37),"")</f>
        <v/>
      </c>
      <c r="B37" s="20"/>
      <c r="C37" s="20"/>
      <c r="D37" s="20"/>
      <c r="E37" s="20"/>
      <c r="F37" s="20"/>
      <c r="G37" s="20"/>
      <c r="H37" s="20"/>
      <c r="I37" s="21"/>
      <c r="J37" s="20"/>
      <c r="K37" s="14" t="str">
        <f aca="false">IF(AND(I37&lt;&gt;"",H37&lt;&gt;"",J37&lt;&gt;""),IF(J37="W",I37*H37,IF(J37="L",-I37,IF(J37="P",I37*H37*0.5,""))),"")</f>
        <v/>
      </c>
      <c r="L37" s="15" t="str">
        <f aca="false">IF(AND(K37&lt;&gt;"",P36&lt;&gt;""),K37/P36,IF(K37&lt;&gt;"",K37/$D$2,""))</f>
        <v/>
      </c>
      <c r="M37" s="20"/>
      <c r="N37" s="20"/>
      <c r="O37" s="20"/>
      <c r="P37" s="16" t="str">
        <f aca="false">IF(K37&lt;&gt;"",P36+K37,IF(B37&lt;&gt;"",P36,""))</f>
        <v/>
      </c>
      <c r="Q37" s="17" t="str">
        <f aca="false">IF(P37&lt;&gt;"",MIN(0,P37-MAX($P$4:P37)),"")</f>
        <v/>
      </c>
      <c r="S37" s="35" t="str">
        <f aca="false">IF(A29&lt;&gt;"",A29,"")</f>
        <v/>
      </c>
      <c r="T37" s="36" t="str">
        <f aca="false">IF(P29&lt;&gt;"",P29,"")</f>
        <v/>
      </c>
      <c r="U37" s="33" t="str">
        <f aca="false">IF(P29&lt;&gt;"",(P29-$D$2)/$D$2,"")</f>
        <v/>
      </c>
    </row>
    <row r="38" customFormat="false" ht="15" hidden="false" customHeight="true" outlineLevel="0" collapsed="false">
      <c r="A38" s="11" t="str">
        <f aca="false">IF(B38&lt;&gt;"",COUNTA($B$4:B38),"")</f>
        <v/>
      </c>
      <c r="B38" s="12"/>
      <c r="C38" s="12"/>
      <c r="D38" s="12"/>
      <c r="E38" s="12"/>
      <c r="F38" s="12"/>
      <c r="G38" s="12"/>
      <c r="H38" s="12"/>
      <c r="I38" s="13"/>
      <c r="J38" s="12"/>
      <c r="K38" s="14" t="str">
        <f aca="false">IF(AND(I38&lt;&gt;"",H38&lt;&gt;"",J38&lt;&gt;""),IF(J38="W",I38*H38,IF(J38="L",-I38,IF(J38="P",I38*H38*0.5,""))),"")</f>
        <v/>
      </c>
      <c r="L38" s="15" t="str">
        <f aca="false">IF(AND(K38&lt;&gt;"",P37&lt;&gt;""),K38/P37,IF(K38&lt;&gt;"",K38/$D$2,""))</f>
        <v/>
      </c>
      <c r="M38" s="12"/>
      <c r="N38" s="12"/>
      <c r="O38" s="12"/>
      <c r="P38" s="16" t="str">
        <f aca="false">IF(K38&lt;&gt;"",P37+K38,IF(B38&lt;&gt;"",P37,""))</f>
        <v/>
      </c>
      <c r="Q38" s="17" t="str">
        <f aca="false">IF(P38&lt;&gt;"",MIN(0,P38-MAX($P$4:P38)),"")</f>
        <v/>
      </c>
      <c r="S38" s="35" t="str">
        <f aca="false">IF(A30&lt;&gt;"",A30,"")</f>
        <v/>
      </c>
      <c r="T38" s="36" t="str">
        <f aca="false">IF(P30&lt;&gt;"",P30,"")</f>
        <v/>
      </c>
      <c r="U38" s="33" t="str">
        <f aca="false">IF(P30&lt;&gt;"",(P30-$D$2)/$D$2,"")</f>
        <v/>
      </c>
    </row>
    <row r="39" customFormat="false" ht="15" hidden="false" customHeight="true" outlineLevel="0" collapsed="false">
      <c r="A39" s="11" t="str">
        <f aca="false">IF(B39&lt;&gt;"",COUNTA($B$4:B39),"")</f>
        <v/>
      </c>
      <c r="B39" s="20"/>
      <c r="C39" s="20"/>
      <c r="D39" s="20"/>
      <c r="E39" s="20"/>
      <c r="F39" s="20"/>
      <c r="G39" s="20"/>
      <c r="H39" s="20"/>
      <c r="I39" s="21"/>
      <c r="J39" s="20"/>
      <c r="K39" s="14" t="str">
        <f aca="false">IF(AND(I39&lt;&gt;"",H39&lt;&gt;"",J39&lt;&gt;""),IF(J39="W",I39*H39,IF(J39="L",-I39,IF(J39="P",I39*H39*0.5,""))),"")</f>
        <v/>
      </c>
      <c r="L39" s="15" t="str">
        <f aca="false">IF(AND(K39&lt;&gt;"",P38&lt;&gt;""),K39/P38,IF(K39&lt;&gt;"",K39/$D$2,""))</f>
        <v/>
      </c>
      <c r="M39" s="20"/>
      <c r="N39" s="20"/>
      <c r="O39" s="20"/>
      <c r="P39" s="16" t="str">
        <f aca="false">IF(K39&lt;&gt;"",P38+K39,IF(B39&lt;&gt;"",P38,""))</f>
        <v/>
      </c>
      <c r="Q39" s="17" t="str">
        <f aca="false">IF(P39&lt;&gt;"",MIN(0,P39-MAX($P$4:P39)),"")</f>
        <v/>
      </c>
      <c r="S39" s="35" t="str">
        <f aca="false">IF(A31&lt;&gt;"",A31,"")</f>
        <v/>
      </c>
      <c r="T39" s="36" t="str">
        <f aca="false">IF(P31&lt;&gt;"",P31,"")</f>
        <v/>
      </c>
      <c r="U39" s="33" t="str">
        <f aca="false">IF(P31&lt;&gt;"",(P31-$D$2)/$D$2,"")</f>
        <v/>
      </c>
    </row>
    <row r="40" customFormat="false" ht="15" hidden="false" customHeight="true" outlineLevel="0" collapsed="false">
      <c r="A40" s="11" t="str">
        <f aca="false">IF(B40&lt;&gt;"",COUNTA($B$4:B40),"")</f>
        <v/>
      </c>
      <c r="B40" s="12"/>
      <c r="C40" s="12"/>
      <c r="D40" s="12"/>
      <c r="E40" s="12"/>
      <c r="F40" s="12"/>
      <c r="G40" s="12"/>
      <c r="H40" s="12"/>
      <c r="I40" s="13"/>
      <c r="J40" s="12"/>
      <c r="K40" s="14" t="str">
        <f aca="false">IF(AND(I40&lt;&gt;"",H40&lt;&gt;"",J40&lt;&gt;""),IF(J40="W",I40*H40,IF(J40="L",-I40,IF(J40="P",I40*H40*0.5,""))),"")</f>
        <v/>
      </c>
      <c r="L40" s="15" t="str">
        <f aca="false">IF(AND(K40&lt;&gt;"",P39&lt;&gt;""),K40/P39,IF(K40&lt;&gt;"",K40/$D$2,""))</f>
        <v/>
      </c>
      <c r="M40" s="12"/>
      <c r="N40" s="12"/>
      <c r="O40" s="12"/>
      <c r="P40" s="16" t="str">
        <f aca="false">IF(K40&lt;&gt;"",P39+K40,IF(B40&lt;&gt;"",P39,""))</f>
        <v/>
      </c>
      <c r="Q40" s="17" t="str">
        <f aca="false">IF(P40&lt;&gt;"",MIN(0,P40-MAX($P$4:P40)),"")</f>
        <v/>
      </c>
      <c r="S40" s="35" t="str">
        <f aca="false">IF(A32&lt;&gt;"",A32,"")</f>
        <v/>
      </c>
      <c r="T40" s="36" t="str">
        <f aca="false">IF(P32&lt;&gt;"",P32,"")</f>
        <v/>
      </c>
      <c r="U40" s="33" t="str">
        <f aca="false">IF(P32&lt;&gt;"",(P32-$D$2)/$D$2,"")</f>
        <v/>
      </c>
    </row>
    <row r="41" customFormat="false" ht="15" hidden="false" customHeight="true" outlineLevel="0" collapsed="false">
      <c r="A41" s="11" t="str">
        <f aca="false">IF(B41&lt;&gt;"",COUNTA($B$4:B41),"")</f>
        <v/>
      </c>
      <c r="B41" s="20"/>
      <c r="C41" s="20"/>
      <c r="D41" s="20"/>
      <c r="E41" s="20"/>
      <c r="F41" s="20"/>
      <c r="G41" s="20"/>
      <c r="H41" s="20"/>
      <c r="I41" s="21"/>
      <c r="J41" s="20"/>
      <c r="K41" s="14" t="str">
        <f aca="false">IF(AND(I41&lt;&gt;"",H41&lt;&gt;"",J41&lt;&gt;""),IF(J41="W",I41*H41,IF(J41="L",-I41,IF(J41="P",I41*H41*0.5,""))),"")</f>
        <v/>
      </c>
      <c r="L41" s="15" t="str">
        <f aca="false">IF(AND(K41&lt;&gt;"",P40&lt;&gt;""),K41/P40,IF(K41&lt;&gt;"",K41/$D$2,""))</f>
        <v/>
      </c>
      <c r="M41" s="20"/>
      <c r="N41" s="20"/>
      <c r="O41" s="20"/>
      <c r="P41" s="16" t="str">
        <f aca="false">IF(K41&lt;&gt;"",P40+K41,IF(B41&lt;&gt;"",P40,""))</f>
        <v/>
      </c>
      <c r="Q41" s="17" t="str">
        <f aca="false">IF(P41&lt;&gt;"",MIN(0,P41-MAX($P$4:P41)),"")</f>
        <v/>
      </c>
      <c r="S41" s="35" t="str">
        <f aca="false">IF(A33&lt;&gt;"",A33,"")</f>
        <v/>
      </c>
      <c r="T41" s="36" t="str">
        <f aca="false">IF(P33&lt;&gt;"",P33,"")</f>
        <v/>
      </c>
      <c r="U41" s="33" t="str">
        <f aca="false">IF(P33&lt;&gt;"",(P33-$D$2)/$D$2,"")</f>
        <v/>
      </c>
    </row>
    <row r="42" customFormat="false" ht="15" hidden="false" customHeight="true" outlineLevel="0" collapsed="false">
      <c r="A42" s="11" t="str">
        <f aca="false">IF(B42&lt;&gt;"",COUNTA($B$4:B42),"")</f>
        <v/>
      </c>
      <c r="B42" s="12"/>
      <c r="C42" s="12"/>
      <c r="D42" s="12"/>
      <c r="E42" s="12"/>
      <c r="F42" s="12"/>
      <c r="G42" s="12"/>
      <c r="H42" s="12"/>
      <c r="I42" s="13"/>
      <c r="J42" s="12"/>
      <c r="K42" s="14" t="str">
        <f aca="false">IF(AND(I42&lt;&gt;"",H42&lt;&gt;"",J42&lt;&gt;""),IF(J42="W",I42*H42,IF(J42="L",-I42,IF(J42="P",I42*H42*0.5,""))),"")</f>
        <v/>
      </c>
      <c r="L42" s="15" t="str">
        <f aca="false">IF(AND(K42&lt;&gt;"",P41&lt;&gt;""),K42/P41,IF(K42&lt;&gt;"",K42/$D$2,""))</f>
        <v/>
      </c>
      <c r="M42" s="12"/>
      <c r="N42" s="12"/>
      <c r="O42" s="12"/>
      <c r="P42" s="16" t="str">
        <f aca="false">IF(K42&lt;&gt;"",P41+K42,IF(B42&lt;&gt;"",P41,""))</f>
        <v/>
      </c>
      <c r="Q42" s="17" t="str">
        <f aca="false">IF(P42&lt;&gt;"",MIN(0,P42-MAX($P$4:P42)),"")</f>
        <v/>
      </c>
      <c r="S42" s="35" t="str">
        <f aca="false">IF(A34&lt;&gt;"",A34,"")</f>
        <v/>
      </c>
      <c r="T42" s="36" t="str">
        <f aca="false">IF(P34&lt;&gt;"",P34,"")</f>
        <v/>
      </c>
      <c r="U42" s="33" t="str">
        <f aca="false">IF(P34&lt;&gt;"",(P34-$D$2)/$D$2,"")</f>
        <v/>
      </c>
    </row>
    <row r="43" customFormat="false" ht="15" hidden="false" customHeight="true" outlineLevel="0" collapsed="false">
      <c r="A43" s="11" t="str">
        <f aca="false">IF(B43&lt;&gt;"",COUNTA($B$4:B43),"")</f>
        <v/>
      </c>
      <c r="B43" s="20"/>
      <c r="C43" s="20"/>
      <c r="D43" s="20"/>
      <c r="E43" s="20"/>
      <c r="F43" s="20"/>
      <c r="G43" s="20"/>
      <c r="H43" s="20"/>
      <c r="I43" s="21"/>
      <c r="J43" s="20"/>
      <c r="K43" s="14" t="str">
        <f aca="false">IF(AND(I43&lt;&gt;"",H43&lt;&gt;"",J43&lt;&gt;""),IF(J43="W",I43*H43,IF(J43="L",-I43,IF(J43="P",I43*H43*0.5,""))),"")</f>
        <v/>
      </c>
      <c r="L43" s="15" t="str">
        <f aca="false">IF(AND(K43&lt;&gt;"",P42&lt;&gt;""),K43/P42,IF(K43&lt;&gt;"",K43/$D$2,""))</f>
        <v/>
      </c>
      <c r="M43" s="20"/>
      <c r="N43" s="20"/>
      <c r="O43" s="20"/>
      <c r="P43" s="16" t="str">
        <f aca="false">IF(K43&lt;&gt;"",P42+K43,IF(B43&lt;&gt;"",P42,""))</f>
        <v/>
      </c>
      <c r="Q43" s="17" t="str">
        <f aca="false">IF(P43&lt;&gt;"",MIN(0,P43-MAX($P$4:P43)),"")</f>
        <v/>
      </c>
      <c r="S43" s="35" t="str">
        <f aca="false">IF(A35&lt;&gt;"",A35,"")</f>
        <v/>
      </c>
      <c r="T43" s="36" t="str">
        <f aca="false">IF(P35&lt;&gt;"",P35,"")</f>
        <v/>
      </c>
      <c r="U43" s="33" t="str">
        <f aca="false">IF(P35&lt;&gt;"",(P35-$D$2)/$D$2,"")</f>
        <v/>
      </c>
    </row>
    <row r="44" customFormat="false" ht="15" hidden="false" customHeight="true" outlineLevel="0" collapsed="false">
      <c r="A44" s="11" t="str">
        <f aca="false">IF(B44&lt;&gt;"",COUNTA($B$4:B44),"")</f>
        <v/>
      </c>
      <c r="B44" s="12"/>
      <c r="C44" s="12"/>
      <c r="D44" s="12"/>
      <c r="E44" s="12"/>
      <c r="F44" s="12"/>
      <c r="G44" s="12"/>
      <c r="H44" s="12"/>
      <c r="I44" s="13"/>
      <c r="J44" s="12"/>
      <c r="K44" s="14" t="str">
        <f aca="false">IF(AND(I44&lt;&gt;"",H44&lt;&gt;"",J44&lt;&gt;""),IF(J44="W",I44*H44,IF(J44="L",-I44,IF(J44="P",I44*H44*0.5,""))),"")</f>
        <v/>
      </c>
      <c r="L44" s="15" t="str">
        <f aca="false">IF(AND(K44&lt;&gt;"",P43&lt;&gt;""),K44/P43,IF(K44&lt;&gt;"",K44/$D$2,""))</f>
        <v/>
      </c>
      <c r="M44" s="12"/>
      <c r="N44" s="12"/>
      <c r="O44" s="12"/>
      <c r="P44" s="16" t="str">
        <f aca="false">IF(K44&lt;&gt;"",P43+K44,IF(B44&lt;&gt;"",P43,""))</f>
        <v/>
      </c>
      <c r="Q44" s="17" t="str">
        <f aca="false">IF(P44&lt;&gt;"",MIN(0,P44-MAX($P$4:P44)),"")</f>
        <v/>
      </c>
      <c r="S44" s="35" t="str">
        <f aca="false">IF(A36&lt;&gt;"",A36,"")</f>
        <v/>
      </c>
      <c r="T44" s="36" t="str">
        <f aca="false">IF(P36&lt;&gt;"",P36,"")</f>
        <v/>
      </c>
      <c r="U44" s="33" t="str">
        <f aca="false">IF(P36&lt;&gt;"",(P36-$D$2)/$D$2,"")</f>
        <v/>
      </c>
    </row>
    <row r="45" customFormat="false" ht="15" hidden="false" customHeight="true" outlineLevel="0" collapsed="false">
      <c r="A45" s="11" t="str">
        <f aca="false">IF(B45&lt;&gt;"",COUNTA($B$4:B45),"")</f>
        <v/>
      </c>
      <c r="B45" s="20"/>
      <c r="C45" s="20"/>
      <c r="D45" s="20"/>
      <c r="E45" s="20"/>
      <c r="F45" s="20"/>
      <c r="G45" s="20"/>
      <c r="H45" s="20"/>
      <c r="I45" s="21"/>
      <c r="J45" s="20"/>
      <c r="K45" s="14" t="str">
        <f aca="false">IF(AND(I45&lt;&gt;"",H45&lt;&gt;"",J45&lt;&gt;""),IF(J45="W",I45*H45,IF(J45="L",-I45,IF(J45="P",I45*H45*0.5,""))),"")</f>
        <v/>
      </c>
      <c r="L45" s="15" t="str">
        <f aca="false">IF(AND(K45&lt;&gt;"",P44&lt;&gt;""),K45/P44,IF(K45&lt;&gt;"",K45/$D$2,""))</f>
        <v/>
      </c>
      <c r="M45" s="20"/>
      <c r="N45" s="20"/>
      <c r="O45" s="20"/>
      <c r="P45" s="16" t="str">
        <f aca="false">IF(K45&lt;&gt;"",P44+K45,IF(B45&lt;&gt;"",P44,""))</f>
        <v/>
      </c>
      <c r="Q45" s="17" t="str">
        <f aca="false">IF(P45&lt;&gt;"",MIN(0,P45-MAX($P$4:P45)),"")</f>
        <v/>
      </c>
      <c r="S45" s="35" t="str">
        <f aca="false">IF(A37&lt;&gt;"",A37,"")</f>
        <v/>
      </c>
      <c r="T45" s="36" t="str">
        <f aca="false">IF(P37&lt;&gt;"",P37,"")</f>
        <v/>
      </c>
      <c r="U45" s="33" t="str">
        <f aca="false">IF(P37&lt;&gt;"",(P37-$D$2)/$D$2,"")</f>
        <v/>
      </c>
    </row>
    <row r="46" customFormat="false" ht="15" hidden="false" customHeight="true" outlineLevel="0" collapsed="false">
      <c r="A46" s="11" t="str">
        <f aca="false">IF(B46&lt;&gt;"",COUNTA($B$4:B46),"")</f>
        <v/>
      </c>
      <c r="B46" s="12"/>
      <c r="C46" s="12"/>
      <c r="D46" s="12"/>
      <c r="E46" s="12"/>
      <c r="F46" s="12"/>
      <c r="G46" s="12"/>
      <c r="H46" s="12"/>
      <c r="I46" s="13"/>
      <c r="J46" s="12"/>
      <c r="K46" s="14" t="str">
        <f aca="false">IF(AND(I46&lt;&gt;"",H46&lt;&gt;"",J46&lt;&gt;""),IF(J46="W",I46*H46,IF(J46="L",-I46,IF(J46="P",I46*H46*0.5,""))),"")</f>
        <v/>
      </c>
      <c r="L46" s="15" t="str">
        <f aca="false">IF(AND(K46&lt;&gt;"",P45&lt;&gt;""),K46/P45,IF(K46&lt;&gt;"",K46/$D$2,""))</f>
        <v/>
      </c>
      <c r="M46" s="12"/>
      <c r="N46" s="12"/>
      <c r="O46" s="12"/>
      <c r="P46" s="16" t="str">
        <f aca="false">IF(K46&lt;&gt;"",P45+K46,IF(B46&lt;&gt;"",P45,""))</f>
        <v/>
      </c>
      <c r="Q46" s="17" t="str">
        <f aca="false">IF(P46&lt;&gt;"",MIN(0,P46-MAX($P$4:P46)),"")</f>
        <v/>
      </c>
      <c r="S46" s="35" t="str">
        <f aca="false">IF(A38&lt;&gt;"",A38,"")</f>
        <v/>
      </c>
      <c r="T46" s="36" t="str">
        <f aca="false">IF(P38&lt;&gt;"",P38,"")</f>
        <v/>
      </c>
      <c r="U46" s="33" t="str">
        <f aca="false">IF(P38&lt;&gt;"",(P38-$D$2)/$D$2,"")</f>
        <v/>
      </c>
    </row>
    <row r="47" customFormat="false" ht="15" hidden="false" customHeight="true" outlineLevel="0" collapsed="false">
      <c r="A47" s="11" t="str">
        <f aca="false">IF(B47&lt;&gt;"",COUNTA($B$4:B47),"")</f>
        <v/>
      </c>
      <c r="B47" s="20"/>
      <c r="C47" s="20"/>
      <c r="D47" s="20"/>
      <c r="E47" s="20"/>
      <c r="F47" s="20"/>
      <c r="G47" s="20"/>
      <c r="H47" s="20"/>
      <c r="I47" s="21"/>
      <c r="J47" s="20"/>
      <c r="K47" s="14" t="str">
        <f aca="false">IF(AND(I47&lt;&gt;"",H47&lt;&gt;"",J47&lt;&gt;""),IF(J47="W",I47*H47,IF(J47="L",-I47,IF(J47="P",I47*H47*0.5,""))),"")</f>
        <v/>
      </c>
      <c r="L47" s="15" t="str">
        <f aca="false">IF(AND(K47&lt;&gt;"",P46&lt;&gt;""),K47/P46,IF(K47&lt;&gt;"",K47/$D$2,""))</f>
        <v/>
      </c>
      <c r="M47" s="20"/>
      <c r="N47" s="20"/>
      <c r="O47" s="20"/>
      <c r="P47" s="16" t="str">
        <f aca="false">IF(K47&lt;&gt;"",P46+K47,IF(B47&lt;&gt;"",P46,""))</f>
        <v/>
      </c>
      <c r="Q47" s="17" t="str">
        <f aca="false">IF(P47&lt;&gt;"",MIN(0,P47-MAX($P$4:P47)),"")</f>
        <v/>
      </c>
      <c r="S47" s="35" t="str">
        <f aca="false">IF(A39&lt;&gt;"",A39,"")</f>
        <v/>
      </c>
      <c r="T47" s="36" t="str">
        <f aca="false">IF(P39&lt;&gt;"",P39,"")</f>
        <v/>
      </c>
      <c r="U47" s="33" t="str">
        <f aca="false">IF(P39&lt;&gt;"",(P39-$D$2)/$D$2,"")</f>
        <v/>
      </c>
    </row>
    <row r="48" customFormat="false" ht="15" hidden="false" customHeight="true" outlineLevel="0" collapsed="false">
      <c r="A48" s="11" t="str">
        <f aca="false">IF(B48&lt;&gt;"",COUNTA($B$4:B48),"")</f>
        <v/>
      </c>
      <c r="B48" s="12"/>
      <c r="C48" s="12"/>
      <c r="D48" s="12"/>
      <c r="E48" s="12"/>
      <c r="F48" s="12"/>
      <c r="G48" s="12"/>
      <c r="H48" s="12"/>
      <c r="I48" s="13"/>
      <c r="J48" s="12"/>
      <c r="K48" s="14" t="str">
        <f aca="false">IF(AND(I48&lt;&gt;"",H48&lt;&gt;"",J48&lt;&gt;""),IF(J48="W",I48*H48,IF(J48="L",-I48,IF(J48="P",I48*H48*0.5,""))),"")</f>
        <v/>
      </c>
      <c r="L48" s="15" t="str">
        <f aca="false">IF(AND(K48&lt;&gt;"",P47&lt;&gt;""),K48/P47,IF(K48&lt;&gt;"",K48/$D$2,""))</f>
        <v/>
      </c>
      <c r="M48" s="12"/>
      <c r="N48" s="12"/>
      <c r="O48" s="12"/>
      <c r="P48" s="16" t="str">
        <f aca="false">IF(K48&lt;&gt;"",P47+K48,IF(B48&lt;&gt;"",P47,""))</f>
        <v/>
      </c>
      <c r="Q48" s="17" t="str">
        <f aca="false">IF(P48&lt;&gt;"",MIN(0,P48-MAX($P$4:P48)),"")</f>
        <v/>
      </c>
      <c r="S48" s="35" t="str">
        <f aca="false">IF(A40&lt;&gt;"",A40,"")</f>
        <v/>
      </c>
      <c r="T48" s="36" t="str">
        <f aca="false">IF(P40&lt;&gt;"",P40,"")</f>
        <v/>
      </c>
      <c r="U48" s="33" t="str">
        <f aca="false">IF(P40&lt;&gt;"",(P40-$D$2)/$D$2,"")</f>
        <v/>
      </c>
    </row>
    <row r="49" customFormat="false" ht="15" hidden="false" customHeight="true" outlineLevel="0" collapsed="false">
      <c r="A49" s="11" t="str">
        <f aca="false">IF(B49&lt;&gt;"",COUNTA($B$4:B49),"")</f>
        <v/>
      </c>
      <c r="B49" s="20"/>
      <c r="C49" s="20"/>
      <c r="D49" s="20"/>
      <c r="E49" s="20"/>
      <c r="F49" s="20"/>
      <c r="G49" s="20"/>
      <c r="H49" s="20"/>
      <c r="I49" s="21"/>
      <c r="J49" s="20"/>
      <c r="K49" s="14" t="str">
        <f aca="false">IF(AND(I49&lt;&gt;"",H49&lt;&gt;"",J49&lt;&gt;""),IF(J49="W",I49*H49,IF(J49="L",-I49,IF(J49="P",I49*H49*0.5,""))),"")</f>
        <v/>
      </c>
      <c r="L49" s="15" t="str">
        <f aca="false">IF(AND(K49&lt;&gt;"",P48&lt;&gt;""),K49/P48,IF(K49&lt;&gt;"",K49/$D$2,""))</f>
        <v/>
      </c>
      <c r="M49" s="20"/>
      <c r="N49" s="20"/>
      <c r="O49" s="20"/>
      <c r="P49" s="16" t="str">
        <f aca="false">IF(K49&lt;&gt;"",P48+K49,IF(B49&lt;&gt;"",P48,""))</f>
        <v/>
      </c>
      <c r="Q49" s="17" t="str">
        <f aca="false">IF(P49&lt;&gt;"",MIN(0,P49-MAX($P$4:P49)),"")</f>
        <v/>
      </c>
      <c r="S49" s="35" t="str">
        <f aca="false">IF(A41&lt;&gt;"",A41,"")</f>
        <v/>
      </c>
      <c r="T49" s="36" t="str">
        <f aca="false">IF(P41&lt;&gt;"",P41,"")</f>
        <v/>
      </c>
      <c r="U49" s="33" t="str">
        <f aca="false">IF(P41&lt;&gt;"",(P41-$D$2)/$D$2,"")</f>
        <v/>
      </c>
    </row>
    <row r="50" customFormat="false" ht="15" hidden="false" customHeight="true" outlineLevel="0" collapsed="false">
      <c r="A50" s="11" t="str">
        <f aca="false">IF(B50&lt;&gt;"",COUNTA($B$4:B50),"")</f>
        <v/>
      </c>
      <c r="B50" s="12"/>
      <c r="C50" s="12"/>
      <c r="D50" s="12"/>
      <c r="E50" s="12"/>
      <c r="F50" s="12"/>
      <c r="G50" s="12"/>
      <c r="H50" s="12"/>
      <c r="I50" s="13"/>
      <c r="J50" s="12"/>
      <c r="K50" s="14" t="str">
        <f aca="false">IF(AND(I50&lt;&gt;"",H50&lt;&gt;"",J50&lt;&gt;""),IF(J50="W",I50*H50,IF(J50="L",-I50,IF(J50="P",I50*H50*0.5,""))),"")</f>
        <v/>
      </c>
      <c r="L50" s="15" t="str">
        <f aca="false">IF(AND(K50&lt;&gt;"",P49&lt;&gt;""),K50/P49,IF(K50&lt;&gt;"",K50/$D$2,""))</f>
        <v/>
      </c>
      <c r="M50" s="12"/>
      <c r="N50" s="12"/>
      <c r="O50" s="12"/>
      <c r="P50" s="16" t="str">
        <f aca="false">IF(K50&lt;&gt;"",P49+K50,IF(B50&lt;&gt;"",P49,""))</f>
        <v/>
      </c>
      <c r="Q50" s="17" t="str">
        <f aca="false">IF(P50&lt;&gt;"",MIN(0,P50-MAX($P$4:P50)),"")</f>
        <v/>
      </c>
      <c r="S50" s="35" t="str">
        <f aca="false">IF(A42&lt;&gt;"",A42,"")</f>
        <v/>
      </c>
      <c r="T50" s="36" t="str">
        <f aca="false">IF(P42&lt;&gt;"",P42,"")</f>
        <v/>
      </c>
      <c r="U50" s="33" t="str">
        <f aca="false">IF(P42&lt;&gt;"",(P42-$D$2)/$D$2,"")</f>
        <v/>
      </c>
    </row>
    <row r="51" customFormat="false" ht="15" hidden="false" customHeight="true" outlineLevel="0" collapsed="false">
      <c r="A51" s="11" t="str">
        <f aca="false">IF(B51&lt;&gt;"",COUNTA($B$4:B51),"")</f>
        <v/>
      </c>
      <c r="B51" s="20"/>
      <c r="C51" s="20"/>
      <c r="D51" s="20"/>
      <c r="E51" s="20"/>
      <c r="F51" s="20"/>
      <c r="G51" s="20"/>
      <c r="H51" s="20"/>
      <c r="I51" s="21"/>
      <c r="J51" s="20"/>
      <c r="K51" s="14" t="str">
        <f aca="false">IF(AND(I51&lt;&gt;"",H51&lt;&gt;"",J51&lt;&gt;""),IF(J51="W",I51*H51,IF(J51="L",-I51,IF(J51="P",I51*H51*0.5,""))),"")</f>
        <v/>
      </c>
      <c r="L51" s="15" t="str">
        <f aca="false">IF(AND(K51&lt;&gt;"",P50&lt;&gt;""),K51/P50,IF(K51&lt;&gt;"",K51/$D$2,""))</f>
        <v/>
      </c>
      <c r="M51" s="20"/>
      <c r="N51" s="20"/>
      <c r="O51" s="20"/>
      <c r="P51" s="16" t="str">
        <f aca="false">IF(K51&lt;&gt;"",P50+K51,IF(B51&lt;&gt;"",P50,""))</f>
        <v/>
      </c>
      <c r="Q51" s="17" t="str">
        <f aca="false">IF(P51&lt;&gt;"",MIN(0,P51-MAX($P$4:P51)),"")</f>
        <v/>
      </c>
      <c r="S51" s="35" t="str">
        <f aca="false">IF(A43&lt;&gt;"",A43,"")</f>
        <v/>
      </c>
      <c r="T51" s="36" t="str">
        <f aca="false">IF(P43&lt;&gt;"",P43,"")</f>
        <v/>
      </c>
      <c r="U51" s="33" t="str">
        <f aca="false">IF(P43&lt;&gt;"",(P43-$D$2)/$D$2,"")</f>
        <v/>
      </c>
    </row>
    <row r="52" customFormat="false" ht="15" hidden="false" customHeight="true" outlineLevel="0" collapsed="false">
      <c r="A52" s="11" t="str">
        <f aca="false">IF(B52&lt;&gt;"",COUNTA($B$4:B52),"")</f>
        <v/>
      </c>
      <c r="B52" s="12"/>
      <c r="C52" s="12"/>
      <c r="D52" s="12"/>
      <c r="E52" s="12"/>
      <c r="F52" s="12"/>
      <c r="G52" s="12"/>
      <c r="H52" s="12"/>
      <c r="I52" s="13"/>
      <c r="J52" s="12"/>
      <c r="K52" s="14" t="str">
        <f aca="false">IF(AND(I52&lt;&gt;"",H52&lt;&gt;"",J52&lt;&gt;""),IF(J52="W",I52*H52,IF(J52="L",-I52,IF(J52="P",I52*H52*0.5,""))),"")</f>
        <v/>
      </c>
      <c r="L52" s="15" t="str">
        <f aca="false">IF(AND(K52&lt;&gt;"",P51&lt;&gt;""),K52/P51,IF(K52&lt;&gt;"",K52/$D$2,""))</f>
        <v/>
      </c>
      <c r="M52" s="12"/>
      <c r="N52" s="12"/>
      <c r="O52" s="12"/>
      <c r="P52" s="16" t="str">
        <f aca="false">IF(K52&lt;&gt;"",P51+K52,IF(B52&lt;&gt;"",P51,""))</f>
        <v/>
      </c>
      <c r="Q52" s="17" t="str">
        <f aca="false">IF(P52&lt;&gt;"",MIN(0,P52-MAX($P$4:P52)),"")</f>
        <v/>
      </c>
      <c r="S52" s="35" t="str">
        <f aca="false">IF(A44&lt;&gt;"",A44,"")</f>
        <v/>
      </c>
      <c r="T52" s="36" t="str">
        <f aca="false">IF(P44&lt;&gt;"",P44,"")</f>
        <v/>
      </c>
      <c r="U52" s="33" t="str">
        <f aca="false">IF(P44&lt;&gt;"",(P44-$D$2)/$D$2,"")</f>
        <v/>
      </c>
    </row>
    <row r="53" customFormat="false" ht="15" hidden="false" customHeight="true" outlineLevel="0" collapsed="false">
      <c r="A53" s="11" t="str">
        <f aca="false">IF(B53&lt;&gt;"",COUNTA($B$4:B53),"")</f>
        <v/>
      </c>
      <c r="B53" s="20"/>
      <c r="C53" s="20"/>
      <c r="D53" s="20"/>
      <c r="E53" s="20"/>
      <c r="F53" s="20"/>
      <c r="G53" s="20"/>
      <c r="H53" s="20"/>
      <c r="I53" s="21"/>
      <c r="J53" s="20"/>
      <c r="K53" s="14" t="str">
        <f aca="false">IF(AND(I53&lt;&gt;"",H53&lt;&gt;"",J53&lt;&gt;""),IF(J53="W",I53*H53,IF(J53="L",-I53,IF(J53="P",I53*H53*0.5,""))),"")</f>
        <v/>
      </c>
      <c r="L53" s="15" t="str">
        <f aca="false">IF(AND(K53&lt;&gt;"",P52&lt;&gt;""),K53/P52,IF(K53&lt;&gt;"",K53/$D$2,""))</f>
        <v/>
      </c>
      <c r="M53" s="20"/>
      <c r="N53" s="20"/>
      <c r="O53" s="20"/>
      <c r="P53" s="16" t="str">
        <f aca="false">IF(K53&lt;&gt;"",P52+K53,IF(B53&lt;&gt;"",P52,""))</f>
        <v/>
      </c>
      <c r="Q53" s="17" t="str">
        <f aca="false">IF(P53&lt;&gt;"",MIN(0,P53-MAX($P$4:P53)),"")</f>
        <v/>
      </c>
      <c r="S53" s="35" t="str">
        <f aca="false">IF(A45&lt;&gt;"",A45,"")</f>
        <v/>
      </c>
      <c r="T53" s="36" t="str">
        <f aca="false">IF(P45&lt;&gt;"",P45,"")</f>
        <v/>
      </c>
      <c r="U53" s="33" t="str">
        <f aca="false">IF(P45&lt;&gt;"",(P45-$D$2)/$D$2,"")</f>
        <v/>
      </c>
    </row>
    <row r="54" customFormat="false" ht="15" hidden="false" customHeight="true" outlineLevel="0" collapsed="false">
      <c r="A54" s="11" t="str">
        <f aca="false">IF(B54&lt;&gt;"",COUNTA($B$4:B54),"")</f>
        <v/>
      </c>
      <c r="B54" s="12"/>
      <c r="C54" s="12"/>
      <c r="D54" s="12"/>
      <c r="E54" s="12"/>
      <c r="F54" s="12"/>
      <c r="G54" s="12"/>
      <c r="H54" s="12"/>
      <c r="I54" s="13"/>
      <c r="J54" s="12"/>
      <c r="K54" s="14" t="str">
        <f aca="false">IF(AND(I54&lt;&gt;"",H54&lt;&gt;"",J54&lt;&gt;""),IF(J54="W",I54*H54,IF(J54="L",-I54,IF(J54="P",I54*H54*0.5,""))),"")</f>
        <v/>
      </c>
      <c r="L54" s="15" t="str">
        <f aca="false">IF(AND(K54&lt;&gt;"",P53&lt;&gt;""),K54/P53,IF(K54&lt;&gt;"",K54/$D$2,""))</f>
        <v/>
      </c>
      <c r="M54" s="12"/>
      <c r="N54" s="12"/>
      <c r="O54" s="12"/>
      <c r="P54" s="16" t="str">
        <f aca="false">IF(K54&lt;&gt;"",P53+K54,IF(B54&lt;&gt;"",P53,""))</f>
        <v/>
      </c>
      <c r="Q54" s="17" t="str">
        <f aca="false">IF(P54&lt;&gt;"",MIN(0,P54-MAX($P$4:P54)),"")</f>
        <v/>
      </c>
      <c r="S54" s="35" t="str">
        <f aca="false">IF(A46&lt;&gt;"",A46,"")</f>
        <v/>
      </c>
      <c r="T54" s="36" t="str">
        <f aca="false">IF(P46&lt;&gt;"",P46,"")</f>
        <v/>
      </c>
      <c r="U54" s="33" t="str">
        <f aca="false">IF(P46&lt;&gt;"",(P46-$D$2)/$D$2,"")</f>
        <v/>
      </c>
    </row>
    <row r="55" customFormat="false" ht="15" hidden="false" customHeight="true" outlineLevel="0" collapsed="false">
      <c r="A55" s="11" t="str">
        <f aca="false">IF(B55&lt;&gt;"",COUNTA($B$4:B55),"")</f>
        <v/>
      </c>
      <c r="B55" s="20"/>
      <c r="C55" s="20"/>
      <c r="D55" s="20"/>
      <c r="E55" s="20"/>
      <c r="F55" s="20"/>
      <c r="G55" s="20"/>
      <c r="H55" s="20"/>
      <c r="I55" s="21"/>
      <c r="J55" s="20"/>
      <c r="K55" s="14" t="str">
        <f aca="false">IF(AND(I55&lt;&gt;"",H55&lt;&gt;"",J55&lt;&gt;""),IF(J55="W",I55*H55,IF(J55="L",-I55,IF(J55="P",I55*H55*0.5,""))),"")</f>
        <v/>
      </c>
      <c r="L55" s="15" t="str">
        <f aca="false">IF(AND(K55&lt;&gt;"",P54&lt;&gt;""),K55/P54,IF(K55&lt;&gt;"",K55/$D$2,""))</f>
        <v/>
      </c>
      <c r="M55" s="20"/>
      <c r="N55" s="20"/>
      <c r="O55" s="20"/>
      <c r="P55" s="16" t="str">
        <f aca="false">IF(K55&lt;&gt;"",P54+K55,IF(B55&lt;&gt;"",P54,""))</f>
        <v/>
      </c>
      <c r="Q55" s="17" t="str">
        <f aca="false">IF(P55&lt;&gt;"",MIN(0,P55-MAX($P$4:P55)),"")</f>
        <v/>
      </c>
      <c r="S55" s="35" t="str">
        <f aca="false">IF(A47&lt;&gt;"",A47,"")</f>
        <v/>
      </c>
      <c r="T55" s="36" t="str">
        <f aca="false">IF(P47&lt;&gt;"",P47,"")</f>
        <v/>
      </c>
      <c r="U55" s="33" t="str">
        <f aca="false">IF(P47&lt;&gt;"",(P47-$D$2)/$D$2,"")</f>
        <v/>
      </c>
    </row>
    <row r="56" customFormat="false" ht="15" hidden="false" customHeight="true" outlineLevel="0" collapsed="false">
      <c r="A56" s="11" t="str">
        <f aca="false">IF(B56&lt;&gt;"",COUNTA($B$4:B56),"")</f>
        <v/>
      </c>
      <c r="B56" s="12"/>
      <c r="C56" s="12"/>
      <c r="D56" s="12"/>
      <c r="E56" s="12"/>
      <c r="F56" s="12"/>
      <c r="G56" s="12"/>
      <c r="H56" s="12"/>
      <c r="I56" s="13"/>
      <c r="J56" s="12"/>
      <c r="K56" s="14" t="str">
        <f aca="false">IF(AND(I56&lt;&gt;"",H56&lt;&gt;"",J56&lt;&gt;""),IF(J56="W",I56*H56,IF(J56="L",-I56,IF(J56="P",I56*H56*0.5,""))),"")</f>
        <v/>
      </c>
      <c r="L56" s="15" t="str">
        <f aca="false">IF(AND(K56&lt;&gt;"",P55&lt;&gt;""),K56/P55,IF(K56&lt;&gt;"",K56/$D$2,""))</f>
        <v/>
      </c>
      <c r="M56" s="12"/>
      <c r="N56" s="12"/>
      <c r="O56" s="12"/>
      <c r="P56" s="16" t="str">
        <f aca="false">IF(K56&lt;&gt;"",P55+K56,IF(B56&lt;&gt;"",P55,""))</f>
        <v/>
      </c>
      <c r="Q56" s="17" t="str">
        <f aca="false">IF(P56&lt;&gt;"",MIN(0,P56-MAX($P$4:P56)),"")</f>
        <v/>
      </c>
      <c r="S56" s="35" t="str">
        <f aca="false">IF(A48&lt;&gt;"",A48,"")</f>
        <v/>
      </c>
      <c r="T56" s="36" t="str">
        <f aca="false">IF(P48&lt;&gt;"",P48,"")</f>
        <v/>
      </c>
      <c r="U56" s="33" t="str">
        <f aca="false">IF(P48&lt;&gt;"",(P48-$D$2)/$D$2,"")</f>
        <v/>
      </c>
    </row>
    <row r="57" customFormat="false" ht="15" hidden="false" customHeight="true" outlineLevel="0" collapsed="false">
      <c r="A57" s="11" t="str">
        <f aca="false">IF(B57&lt;&gt;"",COUNTA($B$4:B57),"")</f>
        <v/>
      </c>
      <c r="B57" s="20"/>
      <c r="C57" s="20"/>
      <c r="D57" s="20"/>
      <c r="E57" s="20"/>
      <c r="F57" s="20"/>
      <c r="G57" s="20"/>
      <c r="H57" s="20"/>
      <c r="I57" s="21"/>
      <c r="J57" s="20"/>
      <c r="K57" s="14" t="str">
        <f aca="false">IF(AND(I57&lt;&gt;"",H57&lt;&gt;"",J57&lt;&gt;""),IF(J57="W",I57*H57,IF(J57="L",-I57,IF(J57="P",I57*H57*0.5,""))),"")</f>
        <v/>
      </c>
      <c r="L57" s="15" t="str">
        <f aca="false">IF(AND(K57&lt;&gt;"",P56&lt;&gt;""),K57/P56,IF(K57&lt;&gt;"",K57/$D$2,""))</f>
        <v/>
      </c>
      <c r="M57" s="20"/>
      <c r="N57" s="20"/>
      <c r="O57" s="20"/>
      <c r="P57" s="16" t="str">
        <f aca="false">IF(K57&lt;&gt;"",P56+K57,IF(B57&lt;&gt;"",P56,""))</f>
        <v/>
      </c>
      <c r="Q57" s="17" t="str">
        <f aca="false">IF(P57&lt;&gt;"",MIN(0,P57-MAX($P$4:P57)),"")</f>
        <v/>
      </c>
      <c r="S57" s="35" t="str">
        <f aca="false">IF(A49&lt;&gt;"",A49,"")</f>
        <v/>
      </c>
      <c r="T57" s="36" t="str">
        <f aca="false">IF(P49&lt;&gt;"",P49,"")</f>
        <v/>
      </c>
      <c r="U57" s="33" t="str">
        <f aca="false">IF(P49&lt;&gt;"",(P49-$D$2)/$D$2,"")</f>
        <v/>
      </c>
    </row>
    <row r="58" customFormat="false" ht="15" hidden="false" customHeight="true" outlineLevel="0" collapsed="false">
      <c r="A58" s="11" t="str">
        <f aca="false">IF(B58&lt;&gt;"",COUNTA($B$4:B58),"")</f>
        <v/>
      </c>
      <c r="B58" s="12"/>
      <c r="C58" s="12"/>
      <c r="D58" s="12"/>
      <c r="E58" s="12"/>
      <c r="F58" s="12"/>
      <c r="G58" s="12"/>
      <c r="H58" s="12"/>
      <c r="I58" s="13"/>
      <c r="J58" s="12"/>
      <c r="K58" s="14" t="str">
        <f aca="false">IF(AND(I58&lt;&gt;"",H58&lt;&gt;"",J58&lt;&gt;""),IF(J58="W",I58*H58,IF(J58="L",-I58,IF(J58="P",I58*H58*0.5,""))),"")</f>
        <v/>
      </c>
      <c r="L58" s="15" t="str">
        <f aca="false">IF(AND(K58&lt;&gt;"",P57&lt;&gt;""),K58/P57,IF(K58&lt;&gt;"",K58/$D$2,""))</f>
        <v/>
      </c>
      <c r="M58" s="12"/>
      <c r="N58" s="12"/>
      <c r="O58" s="12"/>
      <c r="P58" s="16" t="str">
        <f aca="false">IF(K58&lt;&gt;"",P57+K58,IF(B58&lt;&gt;"",P57,""))</f>
        <v/>
      </c>
      <c r="Q58" s="17" t="str">
        <f aca="false">IF(P58&lt;&gt;"",MIN(0,P58-MAX($P$4:P58)),"")</f>
        <v/>
      </c>
      <c r="S58" s="35" t="str">
        <f aca="false">IF(A50&lt;&gt;"",A50,"")</f>
        <v/>
      </c>
      <c r="T58" s="36" t="str">
        <f aca="false">IF(P50&lt;&gt;"",P50,"")</f>
        <v/>
      </c>
      <c r="U58" s="33" t="str">
        <f aca="false">IF(P50&lt;&gt;"",(P50-$D$2)/$D$2,"")</f>
        <v/>
      </c>
    </row>
    <row r="59" customFormat="false" ht="15" hidden="false" customHeight="true" outlineLevel="0" collapsed="false">
      <c r="A59" s="11" t="str">
        <f aca="false">IF(B59&lt;&gt;"",COUNTA($B$4:B59),"")</f>
        <v/>
      </c>
      <c r="B59" s="20"/>
      <c r="C59" s="20"/>
      <c r="D59" s="20"/>
      <c r="E59" s="20"/>
      <c r="F59" s="20"/>
      <c r="G59" s="20"/>
      <c r="H59" s="20"/>
      <c r="I59" s="21"/>
      <c r="J59" s="20"/>
      <c r="K59" s="14" t="str">
        <f aca="false">IF(AND(I59&lt;&gt;"",H59&lt;&gt;"",J59&lt;&gt;""),IF(J59="W",I59*H59,IF(J59="L",-I59,IF(J59="P",I59*H59*0.5,""))),"")</f>
        <v/>
      </c>
      <c r="L59" s="15" t="str">
        <f aca="false">IF(AND(K59&lt;&gt;"",P58&lt;&gt;""),K59/P58,IF(K59&lt;&gt;"",K59/$D$2,""))</f>
        <v/>
      </c>
      <c r="M59" s="20"/>
      <c r="N59" s="20"/>
      <c r="O59" s="20"/>
      <c r="P59" s="16" t="str">
        <f aca="false">IF(K59&lt;&gt;"",P58+K59,IF(B59&lt;&gt;"",P58,""))</f>
        <v/>
      </c>
      <c r="Q59" s="17" t="str">
        <f aca="false">IF(P59&lt;&gt;"",MIN(0,P59-MAX($P$4:P59)),"")</f>
        <v/>
      </c>
      <c r="S59" s="35" t="str">
        <f aca="false">IF(A51&lt;&gt;"",A51,"")</f>
        <v/>
      </c>
      <c r="T59" s="36" t="str">
        <f aca="false">IF(P51&lt;&gt;"",P51,"")</f>
        <v/>
      </c>
      <c r="U59" s="33" t="str">
        <f aca="false">IF(P51&lt;&gt;"",(P51-$D$2)/$D$2,"")</f>
        <v/>
      </c>
    </row>
    <row r="60" customFormat="false" ht="15" hidden="false" customHeight="true" outlineLevel="0" collapsed="false">
      <c r="A60" s="11" t="str">
        <f aca="false">IF(B60&lt;&gt;"",COUNTA($B$4:B60),"")</f>
        <v/>
      </c>
      <c r="B60" s="12"/>
      <c r="C60" s="12"/>
      <c r="D60" s="12"/>
      <c r="E60" s="12"/>
      <c r="F60" s="12"/>
      <c r="G60" s="12"/>
      <c r="H60" s="12"/>
      <c r="I60" s="13"/>
      <c r="J60" s="12"/>
      <c r="K60" s="14" t="str">
        <f aca="false">IF(AND(I60&lt;&gt;"",H60&lt;&gt;"",J60&lt;&gt;""),IF(J60="W",I60*H60,IF(J60="L",-I60,IF(J60="P",I60*H60*0.5,""))),"")</f>
        <v/>
      </c>
      <c r="L60" s="15" t="str">
        <f aca="false">IF(AND(K60&lt;&gt;"",P59&lt;&gt;""),K60/P59,IF(K60&lt;&gt;"",K60/$D$2,""))</f>
        <v/>
      </c>
      <c r="M60" s="12"/>
      <c r="N60" s="12"/>
      <c r="O60" s="12"/>
      <c r="P60" s="16" t="str">
        <f aca="false">IF(K60&lt;&gt;"",P59+K60,IF(B60&lt;&gt;"",P59,""))</f>
        <v/>
      </c>
      <c r="Q60" s="17" t="str">
        <f aca="false">IF(P60&lt;&gt;"",MIN(0,P60-MAX($P$4:P60)),"")</f>
        <v/>
      </c>
      <c r="S60" s="35" t="str">
        <f aca="false">IF(A52&lt;&gt;"",A52,"")</f>
        <v/>
      </c>
      <c r="T60" s="36" t="str">
        <f aca="false">IF(P52&lt;&gt;"",P52,"")</f>
        <v/>
      </c>
      <c r="U60" s="33" t="str">
        <f aca="false">IF(P52&lt;&gt;"",(P52-$D$2)/$D$2,"")</f>
        <v/>
      </c>
    </row>
    <row r="61" customFormat="false" ht="15" hidden="false" customHeight="true" outlineLevel="0" collapsed="false">
      <c r="A61" s="11" t="str">
        <f aca="false">IF(B61&lt;&gt;"",COUNTA($B$4:B61),"")</f>
        <v/>
      </c>
      <c r="B61" s="20"/>
      <c r="C61" s="20"/>
      <c r="D61" s="20"/>
      <c r="E61" s="20"/>
      <c r="F61" s="20"/>
      <c r="G61" s="20"/>
      <c r="H61" s="20"/>
      <c r="I61" s="21"/>
      <c r="J61" s="20"/>
      <c r="K61" s="14" t="str">
        <f aca="false">IF(AND(I61&lt;&gt;"",H61&lt;&gt;"",J61&lt;&gt;""),IF(J61="W",I61*H61,IF(J61="L",-I61,IF(J61="P",I61*H61*0.5,""))),"")</f>
        <v/>
      </c>
      <c r="L61" s="15" t="str">
        <f aca="false">IF(AND(K61&lt;&gt;"",P60&lt;&gt;""),K61/P60,IF(K61&lt;&gt;"",K61/$D$2,""))</f>
        <v/>
      </c>
      <c r="M61" s="20"/>
      <c r="N61" s="20"/>
      <c r="O61" s="20"/>
      <c r="P61" s="16" t="str">
        <f aca="false">IF(K61&lt;&gt;"",P60+K61,IF(B61&lt;&gt;"",P60,""))</f>
        <v/>
      </c>
      <c r="Q61" s="17" t="str">
        <f aca="false">IF(P61&lt;&gt;"",MIN(0,P61-MAX($P$4:P61)),"")</f>
        <v/>
      </c>
      <c r="S61" s="35" t="str">
        <f aca="false">IF(A53&lt;&gt;"",A53,"")</f>
        <v/>
      </c>
      <c r="T61" s="36" t="str">
        <f aca="false">IF(P53&lt;&gt;"",P53,"")</f>
        <v/>
      </c>
      <c r="U61" s="33" t="str">
        <f aca="false">IF(P53&lt;&gt;"",(P53-$D$2)/$D$2,"")</f>
        <v/>
      </c>
    </row>
    <row r="62" customFormat="false" ht="15" hidden="false" customHeight="true" outlineLevel="0" collapsed="false">
      <c r="A62" s="11" t="str">
        <f aca="false">IF(B62&lt;&gt;"",COUNTA($B$4:B62),"")</f>
        <v/>
      </c>
      <c r="B62" s="12"/>
      <c r="C62" s="12"/>
      <c r="D62" s="12"/>
      <c r="E62" s="12"/>
      <c r="F62" s="12"/>
      <c r="G62" s="12"/>
      <c r="H62" s="12"/>
      <c r="I62" s="13"/>
      <c r="J62" s="12"/>
      <c r="K62" s="14" t="str">
        <f aca="false">IF(AND(I62&lt;&gt;"",H62&lt;&gt;"",J62&lt;&gt;""),IF(J62="W",I62*H62,IF(J62="L",-I62,IF(J62="P",I62*H62*0.5,""))),"")</f>
        <v/>
      </c>
      <c r="L62" s="15" t="str">
        <f aca="false">IF(AND(K62&lt;&gt;"",P61&lt;&gt;""),K62/P61,IF(K62&lt;&gt;"",K62/$D$2,""))</f>
        <v/>
      </c>
      <c r="M62" s="12"/>
      <c r="N62" s="12"/>
      <c r="O62" s="12"/>
      <c r="P62" s="16" t="str">
        <f aca="false">IF(K62&lt;&gt;"",P61+K62,IF(B62&lt;&gt;"",P61,""))</f>
        <v/>
      </c>
      <c r="Q62" s="17" t="str">
        <f aca="false">IF(P62&lt;&gt;"",MIN(0,P62-MAX($P$4:P62)),"")</f>
        <v/>
      </c>
    </row>
    <row r="63" customFormat="false" ht="15" hidden="false" customHeight="true" outlineLevel="0" collapsed="false">
      <c r="A63" s="11" t="str">
        <f aca="false">IF(B63&lt;&gt;"",COUNTA($B$4:B63),"")</f>
        <v/>
      </c>
      <c r="B63" s="20"/>
      <c r="C63" s="20"/>
      <c r="D63" s="20"/>
      <c r="E63" s="20"/>
      <c r="F63" s="20"/>
      <c r="G63" s="20"/>
      <c r="H63" s="20"/>
      <c r="I63" s="21"/>
      <c r="J63" s="20"/>
      <c r="K63" s="14" t="str">
        <f aca="false">IF(AND(I63&lt;&gt;"",H63&lt;&gt;"",J63&lt;&gt;""),IF(J63="W",I63*H63,IF(J63="L",-I63,IF(J63="P",I63*H63*0.5,""))),"")</f>
        <v/>
      </c>
      <c r="L63" s="15" t="str">
        <f aca="false">IF(AND(K63&lt;&gt;"",P62&lt;&gt;""),K63/P62,IF(K63&lt;&gt;"",K63/$D$2,""))</f>
        <v/>
      </c>
      <c r="M63" s="20"/>
      <c r="N63" s="20"/>
      <c r="O63" s="20"/>
      <c r="P63" s="16" t="str">
        <f aca="false">IF(K63&lt;&gt;"",P62+K63,IF(B63&lt;&gt;"",P62,""))</f>
        <v/>
      </c>
      <c r="Q63" s="17" t="str">
        <f aca="false">IF(P63&lt;&gt;"",MIN(0,P63-MAX($P$4:P63)),"")</f>
        <v/>
      </c>
    </row>
    <row r="64" customFormat="false" ht="15" hidden="false" customHeight="true" outlineLevel="0" collapsed="false">
      <c r="A64" s="11" t="str">
        <f aca="false">IF(B64&lt;&gt;"",COUNTA($B$4:B64),"")</f>
        <v/>
      </c>
      <c r="B64" s="12"/>
      <c r="C64" s="12"/>
      <c r="D64" s="12"/>
      <c r="E64" s="12"/>
      <c r="F64" s="12"/>
      <c r="G64" s="12"/>
      <c r="H64" s="12"/>
      <c r="I64" s="13"/>
      <c r="J64" s="12"/>
      <c r="K64" s="14" t="str">
        <f aca="false">IF(AND(I64&lt;&gt;"",H64&lt;&gt;"",J64&lt;&gt;""),IF(J64="W",I64*H64,IF(J64="L",-I64,IF(J64="P",I64*H64*0.5,""))),"")</f>
        <v/>
      </c>
      <c r="L64" s="15" t="str">
        <f aca="false">IF(AND(K64&lt;&gt;"",P63&lt;&gt;""),K64/P63,IF(K64&lt;&gt;"",K64/$D$2,""))</f>
        <v/>
      </c>
      <c r="M64" s="12"/>
      <c r="N64" s="12"/>
      <c r="O64" s="12"/>
      <c r="P64" s="16" t="str">
        <f aca="false">IF(K64&lt;&gt;"",P63+K64,IF(B64&lt;&gt;"",P63,""))</f>
        <v/>
      </c>
      <c r="Q64" s="17" t="str">
        <f aca="false">IF(P64&lt;&gt;"",MIN(0,P64-MAX($P$4:P64)),"")</f>
        <v/>
      </c>
    </row>
    <row r="65" customFormat="false" ht="15" hidden="false" customHeight="true" outlineLevel="0" collapsed="false">
      <c r="A65" s="11" t="str">
        <f aca="false">IF(B65&lt;&gt;"",COUNTA($B$4:B65),"")</f>
        <v/>
      </c>
      <c r="B65" s="20"/>
      <c r="C65" s="20"/>
      <c r="D65" s="20"/>
      <c r="E65" s="20"/>
      <c r="F65" s="20"/>
      <c r="G65" s="20"/>
      <c r="H65" s="20"/>
      <c r="I65" s="21"/>
      <c r="J65" s="20"/>
      <c r="K65" s="14" t="str">
        <f aca="false">IF(AND(I65&lt;&gt;"",H65&lt;&gt;"",J65&lt;&gt;""),IF(J65="W",I65*H65,IF(J65="L",-I65,IF(J65="P",I65*H65*0.5,""))),"")</f>
        <v/>
      </c>
      <c r="L65" s="15" t="str">
        <f aca="false">IF(AND(K65&lt;&gt;"",P64&lt;&gt;""),K65/P64,IF(K65&lt;&gt;"",K65/$D$2,""))</f>
        <v/>
      </c>
      <c r="M65" s="20"/>
      <c r="N65" s="20"/>
      <c r="O65" s="20"/>
      <c r="P65" s="16" t="str">
        <f aca="false">IF(K65&lt;&gt;"",P64+K65,IF(B65&lt;&gt;"",P64,""))</f>
        <v/>
      </c>
      <c r="Q65" s="17" t="str">
        <f aca="false">IF(P65&lt;&gt;"",MIN(0,P65-MAX($P$4:P65)),"")</f>
        <v/>
      </c>
    </row>
    <row r="66" customFormat="false" ht="15" hidden="false" customHeight="true" outlineLevel="0" collapsed="false">
      <c r="A66" s="11" t="str">
        <f aca="false">IF(B66&lt;&gt;"",COUNTA($B$4:B66),"")</f>
        <v/>
      </c>
      <c r="B66" s="12"/>
      <c r="C66" s="12"/>
      <c r="D66" s="12"/>
      <c r="E66" s="12"/>
      <c r="F66" s="12"/>
      <c r="G66" s="12"/>
      <c r="H66" s="12"/>
      <c r="I66" s="13"/>
      <c r="J66" s="12"/>
      <c r="K66" s="14" t="str">
        <f aca="false">IF(AND(I66&lt;&gt;"",H66&lt;&gt;"",J66&lt;&gt;""),IF(J66="W",I66*H66,IF(J66="L",-I66,IF(J66="P",I66*H66*0.5,""))),"")</f>
        <v/>
      </c>
      <c r="L66" s="15" t="str">
        <f aca="false">IF(AND(K66&lt;&gt;"",P65&lt;&gt;""),K66/P65,IF(K66&lt;&gt;"",K66/$D$2,""))</f>
        <v/>
      </c>
      <c r="M66" s="12"/>
      <c r="N66" s="12"/>
      <c r="O66" s="12"/>
      <c r="P66" s="16" t="str">
        <f aca="false">IF(K66&lt;&gt;"",P65+K66,IF(B66&lt;&gt;"",P65,""))</f>
        <v/>
      </c>
      <c r="Q66" s="17" t="str">
        <f aca="false">IF(P66&lt;&gt;"",MIN(0,P66-MAX($P$4:P66)),"")</f>
        <v/>
      </c>
    </row>
    <row r="67" customFormat="false" ht="15" hidden="false" customHeight="true" outlineLevel="0" collapsed="false">
      <c r="A67" s="11" t="str">
        <f aca="false">IF(B67&lt;&gt;"",COUNTA($B$4:B67),"")</f>
        <v/>
      </c>
      <c r="B67" s="20"/>
      <c r="C67" s="20"/>
      <c r="D67" s="20"/>
      <c r="E67" s="20"/>
      <c r="F67" s="20"/>
      <c r="G67" s="20"/>
      <c r="H67" s="20"/>
      <c r="I67" s="21"/>
      <c r="J67" s="20"/>
      <c r="K67" s="14" t="str">
        <f aca="false">IF(AND(I67&lt;&gt;"",H67&lt;&gt;"",J67&lt;&gt;""),IF(J67="W",I67*H67,IF(J67="L",-I67,IF(J67="P",I67*H67*0.5,""))),"")</f>
        <v/>
      </c>
      <c r="L67" s="15" t="str">
        <f aca="false">IF(AND(K67&lt;&gt;"",P66&lt;&gt;""),K67/P66,IF(K67&lt;&gt;"",K67/$D$2,""))</f>
        <v/>
      </c>
      <c r="M67" s="20"/>
      <c r="N67" s="20"/>
      <c r="O67" s="20"/>
      <c r="P67" s="16" t="str">
        <f aca="false">IF(K67&lt;&gt;"",P66+K67,IF(B67&lt;&gt;"",P66,""))</f>
        <v/>
      </c>
      <c r="Q67" s="17" t="str">
        <f aca="false">IF(P67&lt;&gt;"",MIN(0,P67-MAX($P$4:P67)),"")</f>
        <v/>
      </c>
    </row>
    <row r="68" customFormat="false" ht="15" hidden="false" customHeight="true" outlineLevel="0" collapsed="false">
      <c r="A68" s="11" t="str">
        <f aca="false">IF(B68&lt;&gt;"",COUNTA($B$4:B68),"")</f>
        <v/>
      </c>
      <c r="B68" s="12"/>
      <c r="C68" s="12"/>
      <c r="D68" s="12"/>
      <c r="E68" s="12"/>
      <c r="F68" s="12"/>
      <c r="G68" s="12"/>
      <c r="H68" s="12"/>
      <c r="I68" s="13"/>
      <c r="J68" s="12"/>
      <c r="K68" s="14" t="str">
        <f aca="false">IF(AND(I68&lt;&gt;"",H68&lt;&gt;"",J68&lt;&gt;""),IF(J68="W",I68*H68,IF(J68="L",-I68,IF(J68="P",I68*H68*0.5,""))),"")</f>
        <v/>
      </c>
      <c r="L68" s="15" t="str">
        <f aca="false">IF(AND(K68&lt;&gt;"",P67&lt;&gt;""),K68/P67,IF(K68&lt;&gt;"",K68/$D$2,""))</f>
        <v/>
      </c>
      <c r="M68" s="12"/>
      <c r="N68" s="12"/>
      <c r="O68" s="12"/>
      <c r="P68" s="16" t="str">
        <f aca="false">IF(K68&lt;&gt;"",P67+K68,IF(B68&lt;&gt;"",P67,""))</f>
        <v/>
      </c>
      <c r="Q68" s="17" t="str">
        <f aca="false">IF(P68&lt;&gt;"",MIN(0,P68-MAX($P$4:P68)),"")</f>
        <v/>
      </c>
    </row>
    <row r="69" customFormat="false" ht="15" hidden="false" customHeight="true" outlineLevel="0" collapsed="false">
      <c r="A69" s="11" t="str">
        <f aca="false">IF(B69&lt;&gt;"",COUNTA($B$4:B69),"")</f>
        <v/>
      </c>
      <c r="B69" s="20"/>
      <c r="C69" s="20"/>
      <c r="D69" s="20"/>
      <c r="E69" s="20"/>
      <c r="F69" s="20"/>
      <c r="G69" s="20"/>
      <c r="H69" s="20"/>
      <c r="I69" s="21"/>
      <c r="J69" s="20"/>
      <c r="K69" s="14" t="str">
        <f aca="false">IF(AND(I69&lt;&gt;"",H69&lt;&gt;"",J69&lt;&gt;""),IF(J69="W",I69*H69,IF(J69="L",-I69,IF(J69="P",I69*H69*0.5,""))),"")</f>
        <v/>
      </c>
      <c r="L69" s="15" t="str">
        <f aca="false">IF(AND(K69&lt;&gt;"",P68&lt;&gt;""),K69/P68,IF(K69&lt;&gt;"",K69/$D$2,""))</f>
        <v/>
      </c>
      <c r="M69" s="20"/>
      <c r="N69" s="20"/>
      <c r="O69" s="20"/>
      <c r="P69" s="16" t="str">
        <f aca="false">IF(K69&lt;&gt;"",P68+K69,IF(B69&lt;&gt;"",P68,""))</f>
        <v/>
      </c>
      <c r="Q69" s="17" t="str">
        <f aca="false">IF(P69&lt;&gt;"",MIN(0,P69-MAX($P$4:P69)),"")</f>
        <v/>
      </c>
    </row>
    <row r="70" customFormat="false" ht="15" hidden="false" customHeight="true" outlineLevel="0" collapsed="false">
      <c r="A70" s="11" t="str">
        <f aca="false">IF(B70&lt;&gt;"",COUNTA($B$4:B70),"")</f>
        <v/>
      </c>
      <c r="B70" s="12"/>
      <c r="C70" s="12"/>
      <c r="D70" s="12"/>
      <c r="E70" s="12"/>
      <c r="F70" s="12"/>
      <c r="G70" s="12"/>
      <c r="H70" s="12"/>
      <c r="I70" s="13"/>
      <c r="J70" s="12"/>
      <c r="K70" s="14" t="str">
        <f aca="false">IF(AND(I70&lt;&gt;"",H70&lt;&gt;"",J70&lt;&gt;""),IF(J70="W",I70*H70,IF(J70="L",-I70,IF(J70="P",I70*H70*0.5,""))),"")</f>
        <v/>
      </c>
      <c r="L70" s="15" t="str">
        <f aca="false">IF(AND(K70&lt;&gt;"",P69&lt;&gt;""),K70/P69,IF(K70&lt;&gt;"",K70/$D$2,""))</f>
        <v/>
      </c>
      <c r="M70" s="12"/>
      <c r="N70" s="12"/>
      <c r="O70" s="12"/>
      <c r="P70" s="16" t="str">
        <f aca="false">IF(K70&lt;&gt;"",P69+K70,IF(B70&lt;&gt;"",P69,""))</f>
        <v/>
      </c>
      <c r="Q70" s="17" t="str">
        <f aca="false">IF(P70&lt;&gt;"",MIN(0,P70-MAX($P$4:P70)),"")</f>
        <v/>
      </c>
    </row>
    <row r="71" customFormat="false" ht="15" hidden="false" customHeight="true" outlineLevel="0" collapsed="false">
      <c r="A71" s="11" t="str">
        <f aca="false">IF(B71&lt;&gt;"",COUNTA($B$4:B71),"")</f>
        <v/>
      </c>
      <c r="B71" s="20"/>
      <c r="C71" s="20"/>
      <c r="D71" s="20"/>
      <c r="E71" s="20"/>
      <c r="F71" s="20"/>
      <c r="G71" s="20"/>
      <c r="H71" s="20"/>
      <c r="I71" s="21"/>
      <c r="J71" s="20"/>
      <c r="K71" s="14" t="str">
        <f aca="false">IF(AND(I71&lt;&gt;"",H71&lt;&gt;"",J71&lt;&gt;""),IF(J71="W",I71*H71,IF(J71="L",-I71,IF(J71="P",I71*H71*0.5,""))),"")</f>
        <v/>
      </c>
      <c r="L71" s="15" t="str">
        <f aca="false">IF(AND(K71&lt;&gt;"",P70&lt;&gt;""),K71/P70,IF(K71&lt;&gt;"",K71/$D$2,""))</f>
        <v/>
      </c>
      <c r="M71" s="20"/>
      <c r="N71" s="20"/>
      <c r="O71" s="20"/>
      <c r="P71" s="16" t="str">
        <f aca="false">IF(K71&lt;&gt;"",P70+K71,IF(B71&lt;&gt;"",P70,""))</f>
        <v/>
      </c>
      <c r="Q71" s="17" t="str">
        <f aca="false">IF(P71&lt;&gt;"",MIN(0,P71-MAX($P$4:P71)),"")</f>
        <v/>
      </c>
    </row>
    <row r="72" customFormat="false" ht="15" hidden="false" customHeight="true" outlineLevel="0" collapsed="false">
      <c r="A72" s="11" t="str">
        <f aca="false">IF(B72&lt;&gt;"",COUNTA($B$4:B72),"")</f>
        <v/>
      </c>
      <c r="B72" s="12"/>
      <c r="C72" s="12"/>
      <c r="D72" s="12"/>
      <c r="E72" s="12"/>
      <c r="F72" s="12"/>
      <c r="G72" s="12"/>
      <c r="H72" s="12"/>
      <c r="I72" s="13"/>
      <c r="J72" s="12"/>
      <c r="K72" s="14" t="str">
        <f aca="false">IF(AND(I72&lt;&gt;"",H72&lt;&gt;"",J72&lt;&gt;""),IF(J72="W",I72*H72,IF(J72="L",-I72,IF(J72="P",I72*H72*0.5,""))),"")</f>
        <v/>
      </c>
      <c r="L72" s="15" t="str">
        <f aca="false">IF(AND(K72&lt;&gt;"",P71&lt;&gt;""),K72/P71,IF(K72&lt;&gt;"",K72/$D$2,""))</f>
        <v/>
      </c>
      <c r="M72" s="12"/>
      <c r="N72" s="12"/>
      <c r="O72" s="12"/>
      <c r="P72" s="16" t="str">
        <f aca="false">IF(K72&lt;&gt;"",P71+K72,IF(B72&lt;&gt;"",P71,""))</f>
        <v/>
      </c>
      <c r="Q72" s="17" t="str">
        <f aca="false">IF(P72&lt;&gt;"",MIN(0,P72-MAX($P$4:P72)),"")</f>
        <v/>
      </c>
    </row>
    <row r="73" customFormat="false" ht="15" hidden="false" customHeight="true" outlineLevel="0" collapsed="false">
      <c r="A73" s="11" t="str">
        <f aca="false">IF(B73&lt;&gt;"",COUNTA($B$4:B73),"")</f>
        <v/>
      </c>
      <c r="B73" s="20"/>
      <c r="C73" s="20"/>
      <c r="D73" s="20"/>
      <c r="E73" s="20"/>
      <c r="F73" s="20"/>
      <c r="G73" s="20"/>
      <c r="H73" s="20"/>
      <c r="I73" s="21"/>
      <c r="J73" s="20"/>
      <c r="K73" s="14" t="str">
        <f aca="false">IF(AND(I73&lt;&gt;"",H73&lt;&gt;"",J73&lt;&gt;""),IF(J73="W",I73*H73,IF(J73="L",-I73,IF(J73="P",I73*H73*0.5,""))),"")</f>
        <v/>
      </c>
      <c r="L73" s="15" t="str">
        <f aca="false">IF(AND(K73&lt;&gt;"",P72&lt;&gt;""),K73/P72,IF(K73&lt;&gt;"",K73/$D$2,""))</f>
        <v/>
      </c>
      <c r="M73" s="20"/>
      <c r="N73" s="20"/>
      <c r="O73" s="20"/>
      <c r="P73" s="16" t="str">
        <f aca="false">IF(K73&lt;&gt;"",P72+K73,IF(B73&lt;&gt;"",P72,""))</f>
        <v/>
      </c>
      <c r="Q73" s="17" t="str">
        <f aca="false">IF(P73&lt;&gt;"",MIN(0,P73-MAX($P$4:P73)),"")</f>
        <v/>
      </c>
    </row>
    <row r="74" customFormat="false" ht="15" hidden="false" customHeight="true" outlineLevel="0" collapsed="false">
      <c r="A74" s="11" t="str">
        <f aca="false">IF(B74&lt;&gt;"",COUNTA($B$4:B74),"")</f>
        <v/>
      </c>
      <c r="B74" s="12"/>
      <c r="C74" s="12"/>
      <c r="D74" s="12"/>
      <c r="E74" s="12"/>
      <c r="F74" s="12"/>
      <c r="G74" s="12"/>
      <c r="H74" s="12"/>
      <c r="I74" s="13"/>
      <c r="J74" s="12"/>
      <c r="K74" s="14" t="str">
        <f aca="false">IF(AND(I74&lt;&gt;"",H74&lt;&gt;"",J74&lt;&gt;""),IF(J74="W",I74*H74,IF(J74="L",-I74,IF(J74="P",I74*H74*0.5,""))),"")</f>
        <v/>
      </c>
      <c r="L74" s="15" t="str">
        <f aca="false">IF(AND(K74&lt;&gt;"",P73&lt;&gt;""),K74/P73,IF(K74&lt;&gt;"",K74/$D$2,""))</f>
        <v/>
      </c>
      <c r="M74" s="12"/>
      <c r="N74" s="12"/>
      <c r="O74" s="12"/>
      <c r="P74" s="16" t="str">
        <f aca="false">IF(K74&lt;&gt;"",P73+K74,IF(B74&lt;&gt;"",P73,""))</f>
        <v/>
      </c>
      <c r="Q74" s="17" t="str">
        <f aca="false">IF(P74&lt;&gt;"",MIN(0,P74-MAX($P$4:P74)),"")</f>
        <v/>
      </c>
    </row>
    <row r="75" customFormat="false" ht="15" hidden="false" customHeight="true" outlineLevel="0" collapsed="false">
      <c r="A75" s="11" t="str">
        <f aca="false">IF(B75&lt;&gt;"",COUNTA($B$4:B75),"")</f>
        <v/>
      </c>
      <c r="B75" s="20"/>
      <c r="C75" s="20"/>
      <c r="D75" s="20"/>
      <c r="E75" s="20"/>
      <c r="F75" s="20"/>
      <c r="G75" s="20"/>
      <c r="H75" s="20"/>
      <c r="I75" s="21"/>
      <c r="J75" s="20"/>
      <c r="K75" s="14" t="str">
        <f aca="false">IF(AND(I75&lt;&gt;"",H75&lt;&gt;"",J75&lt;&gt;""),IF(J75="W",I75*H75,IF(J75="L",-I75,IF(J75="P",I75*H75*0.5,""))),"")</f>
        <v/>
      </c>
      <c r="L75" s="15" t="str">
        <f aca="false">IF(AND(K75&lt;&gt;"",P74&lt;&gt;""),K75/P74,IF(K75&lt;&gt;"",K75/$D$2,""))</f>
        <v/>
      </c>
      <c r="M75" s="20"/>
      <c r="N75" s="20"/>
      <c r="O75" s="20"/>
      <c r="P75" s="16" t="str">
        <f aca="false">IF(K75&lt;&gt;"",P74+K75,IF(B75&lt;&gt;"",P74,""))</f>
        <v/>
      </c>
      <c r="Q75" s="17" t="str">
        <f aca="false">IF(P75&lt;&gt;"",MIN(0,P75-MAX($P$4:P75)),"")</f>
        <v/>
      </c>
    </row>
    <row r="76" customFormat="false" ht="15" hidden="false" customHeight="true" outlineLevel="0" collapsed="false">
      <c r="A76" s="11" t="str">
        <f aca="false">IF(B76&lt;&gt;"",COUNTA($B$4:B76),"")</f>
        <v/>
      </c>
      <c r="B76" s="12"/>
      <c r="C76" s="12"/>
      <c r="D76" s="12"/>
      <c r="E76" s="12"/>
      <c r="F76" s="12"/>
      <c r="G76" s="12"/>
      <c r="H76" s="12"/>
      <c r="I76" s="13"/>
      <c r="J76" s="12"/>
      <c r="K76" s="14" t="str">
        <f aca="false">IF(AND(I76&lt;&gt;"",H76&lt;&gt;"",J76&lt;&gt;""),IF(J76="W",I76*H76,IF(J76="L",-I76,IF(J76="P",I76*H76*0.5,""))),"")</f>
        <v/>
      </c>
      <c r="L76" s="15" t="str">
        <f aca="false">IF(AND(K76&lt;&gt;"",P75&lt;&gt;""),K76/P75,IF(K76&lt;&gt;"",K76/$D$2,""))</f>
        <v/>
      </c>
      <c r="M76" s="12"/>
      <c r="N76" s="12"/>
      <c r="O76" s="12"/>
      <c r="P76" s="16" t="str">
        <f aca="false">IF(K76&lt;&gt;"",P75+K76,IF(B76&lt;&gt;"",P75,""))</f>
        <v/>
      </c>
      <c r="Q76" s="17" t="str">
        <f aca="false">IF(P76&lt;&gt;"",MIN(0,P76-MAX($P$4:P76)),"")</f>
        <v/>
      </c>
    </row>
    <row r="77" customFormat="false" ht="15" hidden="false" customHeight="true" outlineLevel="0" collapsed="false">
      <c r="A77" s="11" t="str">
        <f aca="false">IF(B77&lt;&gt;"",COUNTA($B$4:B77),"")</f>
        <v/>
      </c>
      <c r="B77" s="20"/>
      <c r="C77" s="20"/>
      <c r="D77" s="20"/>
      <c r="E77" s="20"/>
      <c r="F77" s="20"/>
      <c r="G77" s="20"/>
      <c r="H77" s="20"/>
      <c r="I77" s="21"/>
      <c r="J77" s="20"/>
      <c r="K77" s="14" t="str">
        <f aca="false">IF(AND(I77&lt;&gt;"",H77&lt;&gt;"",J77&lt;&gt;""),IF(J77="W",I77*H77,IF(J77="L",-I77,IF(J77="P",I77*H77*0.5,""))),"")</f>
        <v/>
      </c>
      <c r="L77" s="15" t="str">
        <f aca="false">IF(AND(K77&lt;&gt;"",P76&lt;&gt;""),K77/P76,IF(K77&lt;&gt;"",K77/$D$2,""))</f>
        <v/>
      </c>
      <c r="M77" s="20"/>
      <c r="N77" s="20"/>
      <c r="O77" s="20"/>
      <c r="P77" s="16" t="str">
        <f aca="false">IF(K77&lt;&gt;"",P76+K77,IF(B77&lt;&gt;"",P76,""))</f>
        <v/>
      </c>
      <c r="Q77" s="17" t="str">
        <f aca="false">IF(P77&lt;&gt;"",MIN(0,P77-MAX($P$4:P77)),"")</f>
        <v/>
      </c>
    </row>
    <row r="78" customFormat="false" ht="15" hidden="false" customHeight="true" outlineLevel="0" collapsed="false">
      <c r="A78" s="11" t="str">
        <f aca="false">IF(B78&lt;&gt;"",COUNTA($B$4:B78),"")</f>
        <v/>
      </c>
      <c r="B78" s="12"/>
      <c r="C78" s="12"/>
      <c r="D78" s="12"/>
      <c r="E78" s="12"/>
      <c r="F78" s="12"/>
      <c r="G78" s="12"/>
      <c r="H78" s="12"/>
      <c r="I78" s="13"/>
      <c r="J78" s="12"/>
      <c r="K78" s="14" t="str">
        <f aca="false">IF(AND(I78&lt;&gt;"",H78&lt;&gt;"",J78&lt;&gt;""),IF(J78="W",I78*H78,IF(J78="L",-I78,IF(J78="P",I78*H78*0.5,""))),"")</f>
        <v/>
      </c>
      <c r="L78" s="15" t="str">
        <f aca="false">IF(AND(K78&lt;&gt;"",P77&lt;&gt;""),K78/P77,IF(K78&lt;&gt;"",K78/$D$2,""))</f>
        <v/>
      </c>
      <c r="M78" s="12"/>
      <c r="N78" s="12"/>
      <c r="O78" s="12"/>
      <c r="P78" s="16" t="str">
        <f aca="false">IF(K78&lt;&gt;"",P77+K78,IF(B78&lt;&gt;"",P77,""))</f>
        <v/>
      </c>
      <c r="Q78" s="17" t="str">
        <f aca="false">IF(P78&lt;&gt;"",MIN(0,P78-MAX($P$4:P78)),"")</f>
        <v/>
      </c>
    </row>
    <row r="79" customFormat="false" ht="15" hidden="false" customHeight="true" outlineLevel="0" collapsed="false">
      <c r="A79" s="11" t="str">
        <f aca="false">IF(B79&lt;&gt;"",COUNTA($B$4:B79),"")</f>
        <v/>
      </c>
      <c r="B79" s="20"/>
      <c r="C79" s="20"/>
      <c r="D79" s="20"/>
      <c r="E79" s="20"/>
      <c r="F79" s="20"/>
      <c r="G79" s="20"/>
      <c r="H79" s="20"/>
      <c r="I79" s="21"/>
      <c r="J79" s="20"/>
      <c r="K79" s="14" t="str">
        <f aca="false">IF(AND(I79&lt;&gt;"",H79&lt;&gt;"",J79&lt;&gt;""),IF(J79="W",I79*H79,IF(J79="L",-I79,IF(J79="P",I79*H79*0.5,""))),"")</f>
        <v/>
      </c>
      <c r="L79" s="15" t="str">
        <f aca="false">IF(AND(K79&lt;&gt;"",P78&lt;&gt;""),K79/P78,IF(K79&lt;&gt;"",K79/$D$2,""))</f>
        <v/>
      </c>
      <c r="M79" s="20"/>
      <c r="N79" s="20"/>
      <c r="O79" s="20"/>
      <c r="P79" s="16" t="str">
        <f aca="false">IF(K79&lt;&gt;"",P78+K79,IF(B79&lt;&gt;"",P78,""))</f>
        <v/>
      </c>
      <c r="Q79" s="17" t="str">
        <f aca="false">IF(P79&lt;&gt;"",MIN(0,P79-MAX($P$4:P79)),"")</f>
        <v/>
      </c>
    </row>
    <row r="80" customFormat="false" ht="15" hidden="false" customHeight="true" outlineLevel="0" collapsed="false">
      <c r="A80" s="11" t="str">
        <f aca="false">IF(B80&lt;&gt;"",COUNTA($B$4:B80),"")</f>
        <v/>
      </c>
      <c r="B80" s="12"/>
      <c r="C80" s="12"/>
      <c r="D80" s="12"/>
      <c r="E80" s="12"/>
      <c r="F80" s="12"/>
      <c r="G80" s="12"/>
      <c r="H80" s="12"/>
      <c r="I80" s="13"/>
      <c r="J80" s="12"/>
      <c r="K80" s="14" t="str">
        <f aca="false">IF(AND(I80&lt;&gt;"",H80&lt;&gt;"",J80&lt;&gt;""),IF(J80="W",I80*H80,IF(J80="L",-I80,IF(J80="P",I80*H80*0.5,""))),"")</f>
        <v/>
      </c>
      <c r="L80" s="15" t="str">
        <f aca="false">IF(AND(K80&lt;&gt;"",P79&lt;&gt;""),K80/P79,IF(K80&lt;&gt;"",K80/$D$2,""))</f>
        <v/>
      </c>
      <c r="M80" s="12"/>
      <c r="N80" s="12"/>
      <c r="O80" s="12"/>
      <c r="P80" s="16" t="str">
        <f aca="false">IF(K80&lt;&gt;"",P79+K80,IF(B80&lt;&gt;"",P79,""))</f>
        <v/>
      </c>
      <c r="Q80" s="17" t="str">
        <f aca="false">IF(P80&lt;&gt;"",MIN(0,P80-MAX($P$4:P80)),"")</f>
        <v/>
      </c>
    </row>
    <row r="81" customFormat="false" ht="15" hidden="false" customHeight="true" outlineLevel="0" collapsed="false">
      <c r="A81" s="11" t="str">
        <f aca="false">IF(B81&lt;&gt;"",COUNTA($B$4:B81),"")</f>
        <v/>
      </c>
      <c r="B81" s="20"/>
      <c r="C81" s="20"/>
      <c r="D81" s="20"/>
      <c r="E81" s="20"/>
      <c r="F81" s="20"/>
      <c r="G81" s="20"/>
      <c r="H81" s="20"/>
      <c r="I81" s="21"/>
      <c r="J81" s="20"/>
      <c r="K81" s="14" t="str">
        <f aca="false">IF(AND(I81&lt;&gt;"",H81&lt;&gt;"",J81&lt;&gt;""),IF(J81="W",I81*H81,IF(J81="L",-I81,IF(J81="P",I81*H81*0.5,""))),"")</f>
        <v/>
      </c>
      <c r="L81" s="15" t="str">
        <f aca="false">IF(AND(K81&lt;&gt;"",P80&lt;&gt;""),K81/P80,IF(K81&lt;&gt;"",K81/$D$2,""))</f>
        <v/>
      </c>
      <c r="M81" s="20"/>
      <c r="N81" s="20"/>
      <c r="O81" s="20"/>
      <c r="P81" s="16" t="str">
        <f aca="false">IF(K81&lt;&gt;"",P80+K81,IF(B81&lt;&gt;"",P80,""))</f>
        <v/>
      </c>
      <c r="Q81" s="17" t="str">
        <f aca="false">IF(P81&lt;&gt;"",MIN(0,P81-MAX($P$4:P81)),"")</f>
        <v/>
      </c>
    </row>
    <row r="82" customFormat="false" ht="15" hidden="false" customHeight="true" outlineLevel="0" collapsed="false">
      <c r="A82" s="11" t="str">
        <f aca="false">IF(B82&lt;&gt;"",COUNTA($B$4:B82),"")</f>
        <v/>
      </c>
      <c r="B82" s="12"/>
      <c r="C82" s="12"/>
      <c r="D82" s="12"/>
      <c r="E82" s="12"/>
      <c r="F82" s="12"/>
      <c r="G82" s="12"/>
      <c r="H82" s="12"/>
      <c r="I82" s="13"/>
      <c r="J82" s="12"/>
      <c r="K82" s="14" t="str">
        <f aca="false">IF(AND(I82&lt;&gt;"",H82&lt;&gt;"",J82&lt;&gt;""),IF(J82="W",I82*H82,IF(J82="L",-I82,IF(J82="P",I82*H82*0.5,""))),"")</f>
        <v/>
      </c>
      <c r="L82" s="15" t="str">
        <f aca="false">IF(AND(K82&lt;&gt;"",P81&lt;&gt;""),K82/P81,IF(K82&lt;&gt;"",K82/$D$2,""))</f>
        <v/>
      </c>
      <c r="M82" s="12"/>
      <c r="N82" s="12"/>
      <c r="O82" s="12"/>
      <c r="P82" s="16" t="str">
        <f aca="false">IF(K82&lt;&gt;"",P81+K82,IF(B82&lt;&gt;"",P81,""))</f>
        <v/>
      </c>
      <c r="Q82" s="17" t="str">
        <f aca="false">IF(P82&lt;&gt;"",MIN(0,P82-MAX($P$4:P82)),"")</f>
        <v/>
      </c>
    </row>
    <row r="83" customFormat="false" ht="15" hidden="false" customHeight="true" outlineLevel="0" collapsed="false">
      <c r="A83" s="11" t="str">
        <f aca="false">IF(B83&lt;&gt;"",COUNTA($B$4:B83),"")</f>
        <v/>
      </c>
      <c r="B83" s="20"/>
      <c r="C83" s="20"/>
      <c r="D83" s="20"/>
      <c r="E83" s="20"/>
      <c r="F83" s="20"/>
      <c r="G83" s="20"/>
      <c r="H83" s="20"/>
      <c r="I83" s="21"/>
      <c r="J83" s="20"/>
      <c r="K83" s="14" t="str">
        <f aca="false">IF(AND(I83&lt;&gt;"",H83&lt;&gt;"",J83&lt;&gt;""),IF(J83="W",I83*H83,IF(J83="L",-I83,IF(J83="P",I83*H83*0.5,""))),"")</f>
        <v/>
      </c>
      <c r="L83" s="15" t="str">
        <f aca="false">IF(AND(K83&lt;&gt;"",P82&lt;&gt;""),K83/P82,IF(K83&lt;&gt;"",K83/$D$2,""))</f>
        <v/>
      </c>
      <c r="M83" s="20"/>
      <c r="N83" s="20"/>
      <c r="O83" s="20"/>
      <c r="P83" s="16" t="str">
        <f aca="false">IF(K83&lt;&gt;"",P82+K83,IF(B83&lt;&gt;"",P82,""))</f>
        <v/>
      </c>
      <c r="Q83" s="17" t="str">
        <f aca="false">IF(P83&lt;&gt;"",MIN(0,P83-MAX($P$4:P83)),"")</f>
        <v/>
      </c>
    </row>
    <row r="84" customFormat="false" ht="15" hidden="false" customHeight="true" outlineLevel="0" collapsed="false">
      <c r="A84" s="11" t="str">
        <f aca="false">IF(B84&lt;&gt;"",COUNTA($B$4:B84),"")</f>
        <v/>
      </c>
      <c r="B84" s="12"/>
      <c r="C84" s="12"/>
      <c r="D84" s="12"/>
      <c r="E84" s="12"/>
      <c r="F84" s="12"/>
      <c r="G84" s="12"/>
      <c r="H84" s="12"/>
      <c r="I84" s="13"/>
      <c r="J84" s="12"/>
      <c r="K84" s="14" t="str">
        <f aca="false">IF(AND(I84&lt;&gt;"",H84&lt;&gt;"",J84&lt;&gt;""),IF(J84="W",I84*H84,IF(J84="L",-I84,IF(J84="P",I84*H84*0.5,""))),"")</f>
        <v/>
      </c>
      <c r="L84" s="15" t="str">
        <f aca="false">IF(AND(K84&lt;&gt;"",P83&lt;&gt;""),K84/P83,IF(K84&lt;&gt;"",K84/$D$2,""))</f>
        <v/>
      </c>
      <c r="M84" s="12"/>
      <c r="N84" s="12"/>
      <c r="O84" s="12"/>
      <c r="P84" s="16" t="str">
        <f aca="false">IF(K84&lt;&gt;"",P83+K84,IF(B84&lt;&gt;"",P83,""))</f>
        <v/>
      </c>
      <c r="Q84" s="17" t="str">
        <f aca="false">IF(P84&lt;&gt;"",MIN(0,P84-MAX($P$4:P84)),"")</f>
        <v/>
      </c>
    </row>
    <row r="85" customFormat="false" ht="15" hidden="false" customHeight="true" outlineLevel="0" collapsed="false">
      <c r="A85" s="11" t="str">
        <f aca="false">IF(B85&lt;&gt;"",COUNTA($B$4:B85),"")</f>
        <v/>
      </c>
      <c r="B85" s="20"/>
      <c r="C85" s="20"/>
      <c r="D85" s="20"/>
      <c r="E85" s="20"/>
      <c r="F85" s="20"/>
      <c r="G85" s="20"/>
      <c r="H85" s="20"/>
      <c r="I85" s="21"/>
      <c r="J85" s="20"/>
      <c r="K85" s="14" t="str">
        <f aca="false">IF(AND(I85&lt;&gt;"",H85&lt;&gt;"",J85&lt;&gt;""),IF(J85="W",I85*H85,IF(J85="L",-I85,IF(J85="P",I85*H85*0.5,""))),"")</f>
        <v/>
      </c>
      <c r="L85" s="15" t="str">
        <f aca="false">IF(AND(K85&lt;&gt;"",P84&lt;&gt;""),K85/P84,IF(K85&lt;&gt;"",K85/$D$2,""))</f>
        <v/>
      </c>
      <c r="M85" s="20"/>
      <c r="N85" s="20"/>
      <c r="O85" s="20"/>
      <c r="P85" s="16" t="str">
        <f aca="false">IF(K85&lt;&gt;"",P84+K85,IF(B85&lt;&gt;"",P84,""))</f>
        <v/>
      </c>
      <c r="Q85" s="17" t="str">
        <f aca="false">IF(P85&lt;&gt;"",MIN(0,P85-MAX($P$4:P85)),"")</f>
        <v/>
      </c>
    </row>
    <row r="86" customFormat="false" ht="15" hidden="false" customHeight="true" outlineLevel="0" collapsed="false">
      <c r="A86" s="11" t="str">
        <f aca="false">IF(B86&lt;&gt;"",COUNTA($B$4:B86),"")</f>
        <v/>
      </c>
      <c r="B86" s="12"/>
      <c r="C86" s="12"/>
      <c r="D86" s="12"/>
      <c r="E86" s="12"/>
      <c r="F86" s="12"/>
      <c r="G86" s="12"/>
      <c r="H86" s="12"/>
      <c r="I86" s="13"/>
      <c r="J86" s="12"/>
      <c r="K86" s="14" t="str">
        <f aca="false">IF(AND(I86&lt;&gt;"",H86&lt;&gt;"",J86&lt;&gt;""),IF(J86="W",I86*H86,IF(J86="L",-I86,IF(J86="P",I86*H86*0.5,""))),"")</f>
        <v/>
      </c>
      <c r="L86" s="15" t="str">
        <f aca="false">IF(AND(K86&lt;&gt;"",P85&lt;&gt;""),K86/P85,IF(K86&lt;&gt;"",K86/$D$2,""))</f>
        <v/>
      </c>
      <c r="M86" s="12"/>
      <c r="N86" s="12"/>
      <c r="O86" s="12"/>
      <c r="P86" s="16" t="str">
        <f aca="false">IF(K86&lt;&gt;"",P85+K86,IF(B86&lt;&gt;"",P85,""))</f>
        <v/>
      </c>
      <c r="Q86" s="17" t="str">
        <f aca="false">IF(P86&lt;&gt;"",MIN(0,P86-MAX($P$4:P86)),"")</f>
        <v/>
      </c>
    </row>
    <row r="87" customFormat="false" ht="15" hidden="false" customHeight="true" outlineLevel="0" collapsed="false">
      <c r="A87" s="11" t="str">
        <f aca="false">IF(B87&lt;&gt;"",COUNTA($B$4:B87),"")</f>
        <v/>
      </c>
      <c r="B87" s="20"/>
      <c r="C87" s="20"/>
      <c r="D87" s="20"/>
      <c r="E87" s="20"/>
      <c r="F87" s="20"/>
      <c r="G87" s="20"/>
      <c r="H87" s="20"/>
      <c r="I87" s="21"/>
      <c r="J87" s="20"/>
      <c r="K87" s="14" t="str">
        <f aca="false">IF(AND(I87&lt;&gt;"",H87&lt;&gt;"",J87&lt;&gt;""),IF(J87="W",I87*H87,IF(J87="L",-I87,IF(J87="P",I87*H87*0.5,""))),"")</f>
        <v/>
      </c>
      <c r="L87" s="15" t="str">
        <f aca="false">IF(AND(K87&lt;&gt;"",P86&lt;&gt;""),K87/P86,IF(K87&lt;&gt;"",K87/$D$2,""))</f>
        <v/>
      </c>
      <c r="M87" s="20"/>
      <c r="N87" s="20"/>
      <c r="O87" s="20"/>
      <c r="P87" s="16" t="str">
        <f aca="false">IF(K87&lt;&gt;"",P86+K87,IF(B87&lt;&gt;"",P86,""))</f>
        <v/>
      </c>
      <c r="Q87" s="17" t="str">
        <f aca="false">IF(P87&lt;&gt;"",MIN(0,P87-MAX($P$4:P87)),"")</f>
        <v/>
      </c>
    </row>
    <row r="88" customFormat="false" ht="15" hidden="false" customHeight="true" outlineLevel="0" collapsed="false">
      <c r="A88" s="11" t="str">
        <f aca="false">IF(B88&lt;&gt;"",COUNTA($B$4:B88),"")</f>
        <v/>
      </c>
      <c r="B88" s="12"/>
      <c r="C88" s="12"/>
      <c r="D88" s="12"/>
      <c r="E88" s="12"/>
      <c r="F88" s="12"/>
      <c r="G88" s="12"/>
      <c r="H88" s="12"/>
      <c r="I88" s="13"/>
      <c r="J88" s="12"/>
      <c r="K88" s="14" t="str">
        <f aca="false">IF(AND(I88&lt;&gt;"",H88&lt;&gt;"",J88&lt;&gt;""),IF(J88="W",I88*H88,IF(J88="L",-I88,IF(J88="P",I88*H88*0.5,""))),"")</f>
        <v/>
      </c>
      <c r="L88" s="15" t="str">
        <f aca="false">IF(AND(K88&lt;&gt;"",P87&lt;&gt;""),K88/P87,IF(K88&lt;&gt;"",K88/$D$2,""))</f>
        <v/>
      </c>
      <c r="M88" s="12"/>
      <c r="N88" s="12"/>
      <c r="O88" s="12"/>
      <c r="P88" s="16" t="str">
        <f aca="false">IF(K88&lt;&gt;"",P87+K88,IF(B88&lt;&gt;"",P87,""))</f>
        <v/>
      </c>
      <c r="Q88" s="17" t="str">
        <f aca="false">IF(P88&lt;&gt;"",MIN(0,P88-MAX($P$4:P88)),"")</f>
        <v/>
      </c>
    </row>
    <row r="89" customFormat="false" ht="15" hidden="false" customHeight="true" outlineLevel="0" collapsed="false">
      <c r="A89" s="11" t="str">
        <f aca="false">IF(B89&lt;&gt;"",COUNTA($B$4:B89),"")</f>
        <v/>
      </c>
      <c r="B89" s="20"/>
      <c r="C89" s="20"/>
      <c r="D89" s="20"/>
      <c r="E89" s="20"/>
      <c r="F89" s="20"/>
      <c r="G89" s="20"/>
      <c r="H89" s="20"/>
      <c r="I89" s="21"/>
      <c r="J89" s="20"/>
      <c r="K89" s="14" t="str">
        <f aca="false">IF(AND(I89&lt;&gt;"",H89&lt;&gt;"",J89&lt;&gt;""),IF(J89="W",I89*H89,IF(J89="L",-I89,IF(J89="P",I89*H89*0.5,""))),"")</f>
        <v/>
      </c>
      <c r="L89" s="15" t="str">
        <f aca="false">IF(AND(K89&lt;&gt;"",P88&lt;&gt;""),K89/P88,IF(K89&lt;&gt;"",K89/$D$2,""))</f>
        <v/>
      </c>
      <c r="M89" s="20"/>
      <c r="N89" s="20"/>
      <c r="O89" s="20"/>
      <c r="P89" s="16" t="str">
        <f aca="false">IF(K89&lt;&gt;"",P88+K89,IF(B89&lt;&gt;"",P88,""))</f>
        <v/>
      </c>
      <c r="Q89" s="17" t="str">
        <f aca="false">IF(P89&lt;&gt;"",MIN(0,P89-MAX($P$4:P89)),"")</f>
        <v/>
      </c>
    </row>
    <row r="90" customFormat="false" ht="15" hidden="false" customHeight="true" outlineLevel="0" collapsed="false">
      <c r="A90" s="11" t="str">
        <f aca="false">IF(B90&lt;&gt;"",COUNTA($B$4:B90),"")</f>
        <v/>
      </c>
      <c r="B90" s="12"/>
      <c r="C90" s="12"/>
      <c r="D90" s="12"/>
      <c r="E90" s="12"/>
      <c r="F90" s="12"/>
      <c r="G90" s="12"/>
      <c r="H90" s="12"/>
      <c r="I90" s="13"/>
      <c r="J90" s="12"/>
      <c r="K90" s="14" t="str">
        <f aca="false">IF(AND(I90&lt;&gt;"",H90&lt;&gt;"",J90&lt;&gt;""),IF(J90="W",I90*H90,IF(J90="L",-I90,IF(J90="P",I90*H90*0.5,""))),"")</f>
        <v/>
      </c>
      <c r="L90" s="15" t="str">
        <f aca="false">IF(AND(K90&lt;&gt;"",P89&lt;&gt;""),K90/P89,IF(K90&lt;&gt;"",K90/$D$2,""))</f>
        <v/>
      </c>
      <c r="M90" s="12"/>
      <c r="N90" s="12"/>
      <c r="O90" s="12"/>
      <c r="P90" s="16" t="str">
        <f aca="false">IF(K90&lt;&gt;"",P89+K90,IF(B90&lt;&gt;"",P89,""))</f>
        <v/>
      </c>
      <c r="Q90" s="17" t="str">
        <f aca="false">IF(P90&lt;&gt;"",MIN(0,P90-MAX($P$4:P90)),"")</f>
        <v/>
      </c>
    </row>
    <row r="91" customFormat="false" ht="15" hidden="false" customHeight="true" outlineLevel="0" collapsed="false">
      <c r="A91" s="11" t="str">
        <f aca="false">IF(B91&lt;&gt;"",COUNTA($B$4:B91),"")</f>
        <v/>
      </c>
      <c r="B91" s="20"/>
      <c r="C91" s="20"/>
      <c r="D91" s="20"/>
      <c r="E91" s="20"/>
      <c r="F91" s="20"/>
      <c r="G91" s="20"/>
      <c r="H91" s="20"/>
      <c r="I91" s="21"/>
      <c r="J91" s="20"/>
      <c r="K91" s="14" t="str">
        <f aca="false">IF(AND(I91&lt;&gt;"",H91&lt;&gt;"",J91&lt;&gt;""),IF(J91="W",I91*H91,IF(J91="L",-I91,IF(J91="P",I91*H91*0.5,""))),"")</f>
        <v/>
      </c>
      <c r="L91" s="15" t="str">
        <f aca="false">IF(AND(K91&lt;&gt;"",P90&lt;&gt;""),K91/P90,IF(K91&lt;&gt;"",K91/$D$2,""))</f>
        <v/>
      </c>
      <c r="M91" s="20"/>
      <c r="N91" s="20"/>
      <c r="O91" s="20"/>
      <c r="P91" s="16" t="str">
        <f aca="false">IF(K91&lt;&gt;"",P90+K91,IF(B91&lt;&gt;"",P90,""))</f>
        <v/>
      </c>
      <c r="Q91" s="17" t="str">
        <f aca="false">IF(P91&lt;&gt;"",MIN(0,P91-MAX($P$4:P91)),"")</f>
        <v/>
      </c>
    </row>
    <row r="92" customFormat="false" ht="15" hidden="false" customHeight="true" outlineLevel="0" collapsed="false">
      <c r="A92" s="11" t="str">
        <f aca="false">IF(B92&lt;&gt;"",COUNTA($B$4:B92),"")</f>
        <v/>
      </c>
      <c r="B92" s="12"/>
      <c r="C92" s="12"/>
      <c r="D92" s="12"/>
      <c r="E92" s="12"/>
      <c r="F92" s="12"/>
      <c r="G92" s="12"/>
      <c r="H92" s="12"/>
      <c r="I92" s="13"/>
      <c r="J92" s="12"/>
      <c r="K92" s="14" t="str">
        <f aca="false">IF(AND(I92&lt;&gt;"",H92&lt;&gt;"",J92&lt;&gt;""),IF(J92="W",I92*H92,IF(J92="L",-I92,IF(J92="P",I92*H92*0.5,""))),"")</f>
        <v/>
      </c>
      <c r="L92" s="15" t="str">
        <f aca="false">IF(AND(K92&lt;&gt;"",P91&lt;&gt;""),K92/P91,IF(K92&lt;&gt;"",K92/$D$2,""))</f>
        <v/>
      </c>
      <c r="M92" s="12"/>
      <c r="N92" s="12"/>
      <c r="O92" s="12"/>
      <c r="P92" s="16" t="str">
        <f aca="false">IF(K92&lt;&gt;"",P91+K92,IF(B92&lt;&gt;"",P91,""))</f>
        <v/>
      </c>
      <c r="Q92" s="17" t="str">
        <f aca="false">IF(P92&lt;&gt;"",MIN(0,P92-MAX($P$4:P92)),"")</f>
        <v/>
      </c>
    </row>
    <row r="93" customFormat="false" ht="15" hidden="false" customHeight="true" outlineLevel="0" collapsed="false">
      <c r="A93" s="11" t="str">
        <f aca="false">IF(B93&lt;&gt;"",COUNTA($B$4:B93),"")</f>
        <v/>
      </c>
      <c r="B93" s="20"/>
      <c r="C93" s="20"/>
      <c r="D93" s="20"/>
      <c r="E93" s="20"/>
      <c r="F93" s="20"/>
      <c r="G93" s="20"/>
      <c r="H93" s="20"/>
      <c r="I93" s="21"/>
      <c r="J93" s="20"/>
      <c r="K93" s="14" t="str">
        <f aca="false">IF(AND(I93&lt;&gt;"",H93&lt;&gt;"",J93&lt;&gt;""),IF(J93="W",I93*H93,IF(J93="L",-I93,IF(J93="P",I93*H93*0.5,""))),"")</f>
        <v/>
      </c>
      <c r="L93" s="15" t="str">
        <f aca="false">IF(AND(K93&lt;&gt;"",P92&lt;&gt;""),K93/P92,IF(K93&lt;&gt;"",K93/$D$2,""))</f>
        <v/>
      </c>
      <c r="M93" s="20"/>
      <c r="N93" s="20"/>
      <c r="O93" s="20"/>
      <c r="P93" s="16" t="str">
        <f aca="false">IF(K93&lt;&gt;"",P92+K93,IF(B93&lt;&gt;"",P92,""))</f>
        <v/>
      </c>
      <c r="Q93" s="17" t="str">
        <f aca="false">IF(P93&lt;&gt;"",MIN(0,P93-MAX($P$4:P93)),"")</f>
        <v/>
      </c>
    </row>
    <row r="94" customFormat="false" ht="15" hidden="false" customHeight="true" outlineLevel="0" collapsed="false">
      <c r="A94" s="11" t="str">
        <f aca="false">IF(B94&lt;&gt;"",COUNTA($B$4:B94),"")</f>
        <v/>
      </c>
      <c r="B94" s="12"/>
      <c r="C94" s="12"/>
      <c r="D94" s="12"/>
      <c r="E94" s="12"/>
      <c r="F94" s="12"/>
      <c r="G94" s="12"/>
      <c r="H94" s="12"/>
      <c r="I94" s="13"/>
      <c r="J94" s="12"/>
      <c r="K94" s="14" t="str">
        <f aca="false">IF(AND(I94&lt;&gt;"",H94&lt;&gt;"",J94&lt;&gt;""),IF(J94="W",I94*H94,IF(J94="L",-I94,IF(J94="P",I94*H94*0.5,""))),"")</f>
        <v/>
      </c>
      <c r="L94" s="15" t="str">
        <f aca="false">IF(AND(K94&lt;&gt;"",P93&lt;&gt;""),K94/P93,IF(K94&lt;&gt;"",K94/$D$2,""))</f>
        <v/>
      </c>
      <c r="M94" s="12"/>
      <c r="N94" s="12"/>
      <c r="O94" s="12"/>
      <c r="P94" s="16" t="str">
        <f aca="false">IF(K94&lt;&gt;"",P93+K94,IF(B94&lt;&gt;"",P93,""))</f>
        <v/>
      </c>
      <c r="Q94" s="17" t="str">
        <f aca="false">IF(P94&lt;&gt;"",MIN(0,P94-MAX($P$4:P94)),"")</f>
        <v/>
      </c>
    </row>
    <row r="95" customFormat="false" ht="15" hidden="false" customHeight="true" outlineLevel="0" collapsed="false">
      <c r="A95" s="11" t="str">
        <f aca="false">IF(B95&lt;&gt;"",COUNTA($B$4:B95),"")</f>
        <v/>
      </c>
      <c r="B95" s="20"/>
      <c r="C95" s="20"/>
      <c r="D95" s="20"/>
      <c r="E95" s="20"/>
      <c r="F95" s="20"/>
      <c r="G95" s="20"/>
      <c r="H95" s="20"/>
      <c r="I95" s="21"/>
      <c r="J95" s="20"/>
      <c r="K95" s="14" t="str">
        <f aca="false">IF(AND(I95&lt;&gt;"",H95&lt;&gt;"",J95&lt;&gt;""),IF(J95="W",I95*H95,IF(J95="L",-I95,IF(J95="P",I95*H95*0.5,""))),"")</f>
        <v/>
      </c>
      <c r="L95" s="15" t="str">
        <f aca="false">IF(AND(K95&lt;&gt;"",P94&lt;&gt;""),K95/P94,IF(K95&lt;&gt;"",K95/$D$2,""))</f>
        <v/>
      </c>
      <c r="M95" s="20"/>
      <c r="N95" s="20"/>
      <c r="O95" s="20"/>
      <c r="P95" s="16" t="str">
        <f aca="false">IF(K95&lt;&gt;"",P94+K95,IF(B95&lt;&gt;"",P94,""))</f>
        <v/>
      </c>
      <c r="Q95" s="17" t="str">
        <f aca="false">IF(P95&lt;&gt;"",MIN(0,P95-MAX($P$4:P95)),"")</f>
        <v/>
      </c>
    </row>
    <row r="96" customFormat="false" ht="15" hidden="false" customHeight="true" outlineLevel="0" collapsed="false">
      <c r="A96" s="11" t="str">
        <f aca="false">IF(B96&lt;&gt;"",COUNTA($B$4:B96),"")</f>
        <v/>
      </c>
      <c r="B96" s="12"/>
      <c r="C96" s="12"/>
      <c r="D96" s="12"/>
      <c r="E96" s="12"/>
      <c r="F96" s="12"/>
      <c r="G96" s="12"/>
      <c r="H96" s="12"/>
      <c r="I96" s="13"/>
      <c r="J96" s="12"/>
      <c r="K96" s="14" t="str">
        <f aca="false">IF(AND(I96&lt;&gt;"",H96&lt;&gt;"",J96&lt;&gt;""),IF(J96="W",I96*H96,IF(J96="L",-I96,IF(J96="P",I96*H96*0.5,""))),"")</f>
        <v/>
      </c>
      <c r="L96" s="15" t="str">
        <f aca="false">IF(AND(K96&lt;&gt;"",P95&lt;&gt;""),K96/P95,IF(K96&lt;&gt;"",K96/$D$2,""))</f>
        <v/>
      </c>
      <c r="M96" s="12"/>
      <c r="N96" s="12"/>
      <c r="O96" s="12"/>
      <c r="P96" s="16" t="str">
        <f aca="false">IF(K96&lt;&gt;"",P95+K96,IF(B96&lt;&gt;"",P95,""))</f>
        <v/>
      </c>
      <c r="Q96" s="17" t="str">
        <f aca="false">IF(P96&lt;&gt;"",MIN(0,P96-MAX($P$4:P96)),"")</f>
        <v/>
      </c>
    </row>
    <row r="97" customFormat="false" ht="15" hidden="false" customHeight="true" outlineLevel="0" collapsed="false">
      <c r="A97" s="11" t="str">
        <f aca="false">IF(B97&lt;&gt;"",COUNTA($B$4:B97),"")</f>
        <v/>
      </c>
      <c r="B97" s="20"/>
      <c r="C97" s="20"/>
      <c r="D97" s="20"/>
      <c r="E97" s="20"/>
      <c r="F97" s="20"/>
      <c r="G97" s="20"/>
      <c r="H97" s="20"/>
      <c r="I97" s="21"/>
      <c r="J97" s="20"/>
      <c r="K97" s="14" t="str">
        <f aca="false">IF(AND(I97&lt;&gt;"",H97&lt;&gt;"",J97&lt;&gt;""),IF(J97="W",I97*H97,IF(J97="L",-I97,IF(J97="P",I97*H97*0.5,""))),"")</f>
        <v/>
      </c>
      <c r="L97" s="15" t="str">
        <f aca="false">IF(AND(K97&lt;&gt;"",P96&lt;&gt;""),K97/P96,IF(K97&lt;&gt;"",K97/$D$2,""))</f>
        <v/>
      </c>
      <c r="M97" s="20"/>
      <c r="N97" s="20"/>
      <c r="O97" s="20"/>
      <c r="P97" s="16" t="str">
        <f aca="false">IF(K97&lt;&gt;"",P96+K97,IF(B97&lt;&gt;"",P96,""))</f>
        <v/>
      </c>
      <c r="Q97" s="17" t="str">
        <f aca="false">IF(P97&lt;&gt;"",MIN(0,P97-MAX($P$4:P97)),"")</f>
        <v/>
      </c>
    </row>
    <row r="98" customFormat="false" ht="15" hidden="false" customHeight="true" outlineLevel="0" collapsed="false">
      <c r="A98" s="11" t="str">
        <f aca="false">IF(B98&lt;&gt;"",COUNTA($B$4:B98),"")</f>
        <v/>
      </c>
      <c r="B98" s="12"/>
      <c r="C98" s="12"/>
      <c r="D98" s="12"/>
      <c r="E98" s="12"/>
      <c r="F98" s="12"/>
      <c r="G98" s="12"/>
      <c r="H98" s="12"/>
      <c r="I98" s="13"/>
      <c r="J98" s="12"/>
      <c r="K98" s="14" t="str">
        <f aca="false">IF(AND(I98&lt;&gt;"",H98&lt;&gt;"",J98&lt;&gt;""),IF(J98="W",I98*H98,IF(J98="L",-I98,IF(J98="P",I98*H98*0.5,""))),"")</f>
        <v/>
      </c>
      <c r="L98" s="15" t="str">
        <f aca="false">IF(AND(K98&lt;&gt;"",P97&lt;&gt;""),K98/P97,IF(K98&lt;&gt;"",K98/$D$2,""))</f>
        <v/>
      </c>
      <c r="M98" s="12"/>
      <c r="N98" s="12"/>
      <c r="O98" s="12"/>
      <c r="P98" s="16" t="str">
        <f aca="false">IF(K98&lt;&gt;"",P97+K98,IF(B98&lt;&gt;"",P97,""))</f>
        <v/>
      </c>
      <c r="Q98" s="17" t="str">
        <f aca="false">IF(P98&lt;&gt;"",MIN(0,P98-MAX($P$4:P98)),"")</f>
        <v/>
      </c>
    </row>
    <row r="99" customFormat="false" ht="15" hidden="false" customHeight="true" outlineLevel="0" collapsed="false">
      <c r="A99" s="11" t="str">
        <f aca="false">IF(B99&lt;&gt;"",COUNTA($B$4:B99),"")</f>
        <v/>
      </c>
      <c r="B99" s="20"/>
      <c r="C99" s="20"/>
      <c r="D99" s="20"/>
      <c r="E99" s="20"/>
      <c r="F99" s="20"/>
      <c r="G99" s="20"/>
      <c r="H99" s="20"/>
      <c r="I99" s="21"/>
      <c r="J99" s="20"/>
      <c r="K99" s="14" t="str">
        <f aca="false">IF(AND(I99&lt;&gt;"",H99&lt;&gt;"",J99&lt;&gt;""),IF(J99="W",I99*H99,IF(J99="L",-I99,IF(J99="P",I99*H99*0.5,""))),"")</f>
        <v/>
      </c>
      <c r="L99" s="15" t="str">
        <f aca="false">IF(AND(K99&lt;&gt;"",P98&lt;&gt;""),K99/P98,IF(K99&lt;&gt;"",K99/$D$2,""))</f>
        <v/>
      </c>
      <c r="M99" s="20"/>
      <c r="N99" s="20"/>
      <c r="O99" s="20"/>
      <c r="P99" s="16" t="str">
        <f aca="false">IF(K99&lt;&gt;"",P98+K99,IF(B99&lt;&gt;"",P98,""))</f>
        <v/>
      </c>
      <c r="Q99" s="17" t="str">
        <f aca="false">IF(P99&lt;&gt;"",MIN(0,P99-MAX($P$4:P99)),"")</f>
        <v/>
      </c>
    </row>
    <row r="100" customFormat="false" ht="15" hidden="false" customHeight="true" outlineLevel="0" collapsed="false">
      <c r="A100" s="11" t="str">
        <f aca="false">IF(B100&lt;&gt;"",COUNTA($B$4:B100),"")</f>
        <v/>
      </c>
      <c r="B100" s="12"/>
      <c r="C100" s="12"/>
      <c r="D100" s="12"/>
      <c r="E100" s="12"/>
      <c r="F100" s="12"/>
      <c r="G100" s="12"/>
      <c r="H100" s="12"/>
      <c r="I100" s="13"/>
      <c r="J100" s="12"/>
      <c r="K100" s="14" t="str">
        <f aca="false">IF(AND(I100&lt;&gt;"",H100&lt;&gt;"",J100&lt;&gt;""),IF(J100="W",I100*H100,IF(J100="L",-I100,IF(J100="P",I100*H100*0.5,""))),"")</f>
        <v/>
      </c>
      <c r="L100" s="15" t="str">
        <f aca="false">IF(AND(K100&lt;&gt;"",P99&lt;&gt;""),K100/P99,IF(K100&lt;&gt;"",K100/$D$2,""))</f>
        <v/>
      </c>
      <c r="M100" s="12"/>
      <c r="N100" s="12"/>
      <c r="O100" s="12"/>
      <c r="P100" s="16" t="str">
        <f aca="false">IF(K100&lt;&gt;"",P99+K100,IF(B100&lt;&gt;"",P99,""))</f>
        <v/>
      </c>
      <c r="Q100" s="17" t="str">
        <f aca="false">IF(P100&lt;&gt;"",MIN(0,P100-MAX($P$4:P100)),"")</f>
        <v/>
      </c>
    </row>
    <row r="101" customFormat="false" ht="15" hidden="false" customHeight="true" outlineLevel="0" collapsed="false">
      <c r="A101" s="11" t="str">
        <f aca="false">IF(B101&lt;&gt;"",COUNTA($B$4:B101),"")</f>
        <v/>
      </c>
      <c r="B101" s="20"/>
      <c r="C101" s="20"/>
      <c r="D101" s="20"/>
      <c r="E101" s="20"/>
      <c r="F101" s="20"/>
      <c r="G101" s="20"/>
      <c r="H101" s="20"/>
      <c r="I101" s="21"/>
      <c r="J101" s="20"/>
      <c r="K101" s="14" t="str">
        <f aca="false">IF(AND(I101&lt;&gt;"",H101&lt;&gt;"",J101&lt;&gt;""),IF(J101="W",I101*H101,IF(J101="L",-I101,IF(J101="P",I101*H101*0.5,""))),"")</f>
        <v/>
      </c>
      <c r="L101" s="15" t="str">
        <f aca="false">IF(AND(K101&lt;&gt;"",P100&lt;&gt;""),K101/P100,IF(K101&lt;&gt;"",K101/$D$2,""))</f>
        <v/>
      </c>
      <c r="M101" s="20"/>
      <c r="N101" s="20"/>
      <c r="O101" s="20"/>
      <c r="P101" s="16" t="str">
        <f aca="false">IF(K101&lt;&gt;"",P100+K101,IF(B101&lt;&gt;"",P100,""))</f>
        <v/>
      </c>
      <c r="Q101" s="17" t="str">
        <f aca="false">IF(P101&lt;&gt;"",MIN(0,P101-MAX($P$4:P101)),"")</f>
        <v/>
      </c>
    </row>
    <row r="102" customFormat="false" ht="15" hidden="false" customHeight="true" outlineLevel="0" collapsed="false">
      <c r="A102" s="11" t="str">
        <f aca="false">IF(B102&lt;&gt;"",COUNTA($B$4:B102),"")</f>
        <v/>
      </c>
      <c r="B102" s="12"/>
      <c r="C102" s="12"/>
      <c r="D102" s="12"/>
      <c r="E102" s="12"/>
      <c r="F102" s="12"/>
      <c r="G102" s="12"/>
      <c r="H102" s="12"/>
      <c r="I102" s="13"/>
      <c r="J102" s="12"/>
      <c r="K102" s="14" t="str">
        <f aca="false">IF(AND(I102&lt;&gt;"",H102&lt;&gt;"",J102&lt;&gt;""),IF(J102="W",I102*H102,IF(J102="L",-I102,IF(J102="P",I102*H102*0.5,""))),"")</f>
        <v/>
      </c>
      <c r="L102" s="15" t="str">
        <f aca="false">IF(AND(K102&lt;&gt;"",P101&lt;&gt;""),K102/P101,IF(K102&lt;&gt;"",K102/$D$2,""))</f>
        <v/>
      </c>
      <c r="M102" s="12"/>
      <c r="N102" s="12"/>
      <c r="O102" s="12"/>
      <c r="P102" s="16" t="str">
        <f aca="false">IF(K102&lt;&gt;"",P101+K102,IF(B102&lt;&gt;"",P101,""))</f>
        <v/>
      </c>
      <c r="Q102" s="17" t="str">
        <f aca="false">IF(P102&lt;&gt;"",MIN(0,P102-MAX($P$4:P102)),"")</f>
        <v/>
      </c>
    </row>
    <row r="103" customFormat="false" ht="15" hidden="false" customHeight="true" outlineLevel="0" collapsed="false">
      <c r="A103" s="11" t="str">
        <f aca="false">IF(B103&lt;&gt;"",COUNTA($B$4:B103),"")</f>
        <v/>
      </c>
      <c r="B103" s="20"/>
      <c r="C103" s="20"/>
      <c r="D103" s="20"/>
      <c r="E103" s="20"/>
      <c r="F103" s="20"/>
      <c r="G103" s="20"/>
      <c r="H103" s="20"/>
      <c r="I103" s="21"/>
      <c r="J103" s="20"/>
      <c r="K103" s="14" t="str">
        <f aca="false">IF(AND(I103&lt;&gt;"",H103&lt;&gt;"",J103&lt;&gt;""),IF(J103="W",I103*H103,IF(J103="L",-I103,IF(J103="P",I103*H103*0.5,""))),"")</f>
        <v/>
      </c>
      <c r="L103" s="15" t="str">
        <f aca="false">IF(AND(K103&lt;&gt;"",P102&lt;&gt;""),K103/P102,IF(K103&lt;&gt;"",K103/$D$2,""))</f>
        <v/>
      </c>
      <c r="M103" s="20"/>
      <c r="N103" s="20"/>
      <c r="O103" s="20"/>
      <c r="P103" s="16" t="str">
        <f aca="false">IF(K103&lt;&gt;"",P102+K103,IF(B103&lt;&gt;"",P102,""))</f>
        <v/>
      </c>
      <c r="Q103" s="17" t="str">
        <f aca="false">IF(P103&lt;&gt;"",MIN(0,P103-MAX($P$4:P103)),"")</f>
        <v/>
      </c>
    </row>
    <row r="104" customFormat="false" ht="15" hidden="false" customHeight="true" outlineLevel="0" collapsed="false">
      <c r="A104" s="11" t="str">
        <f aca="false">IF(B104&lt;&gt;"",COUNTA($B$4:B104),"")</f>
        <v/>
      </c>
      <c r="B104" s="12"/>
      <c r="C104" s="12"/>
      <c r="D104" s="12"/>
      <c r="E104" s="12"/>
      <c r="F104" s="12"/>
      <c r="G104" s="12"/>
      <c r="H104" s="12"/>
      <c r="I104" s="13"/>
      <c r="J104" s="12"/>
      <c r="K104" s="14" t="str">
        <f aca="false">IF(AND(I104&lt;&gt;"",H104&lt;&gt;"",J104&lt;&gt;""),IF(J104="W",I104*H104,IF(J104="L",-I104,IF(J104="P",I104*H104*0.5,""))),"")</f>
        <v/>
      </c>
      <c r="L104" s="15" t="str">
        <f aca="false">IF(AND(K104&lt;&gt;"",P103&lt;&gt;""),K104/P103,IF(K104&lt;&gt;"",K104/$D$2,""))</f>
        <v/>
      </c>
      <c r="M104" s="12"/>
      <c r="N104" s="12"/>
      <c r="O104" s="12"/>
      <c r="P104" s="16" t="str">
        <f aca="false">IF(K104&lt;&gt;"",P103+K104,IF(B104&lt;&gt;"",P103,""))</f>
        <v/>
      </c>
      <c r="Q104" s="17" t="str">
        <f aca="false">IF(P104&lt;&gt;"",MIN(0,P104-MAX($P$4:P104)),"")</f>
        <v/>
      </c>
    </row>
    <row r="105" customFormat="false" ht="15" hidden="false" customHeight="true" outlineLevel="0" collapsed="false">
      <c r="A105" s="11" t="str">
        <f aca="false">IF(B105&lt;&gt;"",COUNTA($B$4:B105),"")</f>
        <v/>
      </c>
      <c r="B105" s="20"/>
      <c r="C105" s="20"/>
      <c r="D105" s="20"/>
      <c r="E105" s="20"/>
      <c r="F105" s="20"/>
      <c r="G105" s="20"/>
      <c r="H105" s="20"/>
      <c r="I105" s="21"/>
      <c r="J105" s="20"/>
      <c r="K105" s="14" t="str">
        <f aca="false">IF(AND(I105&lt;&gt;"",H105&lt;&gt;"",J105&lt;&gt;""),IF(J105="W",I105*H105,IF(J105="L",-I105,IF(J105="P",I105*H105*0.5,""))),"")</f>
        <v/>
      </c>
      <c r="L105" s="15" t="str">
        <f aca="false">IF(AND(K105&lt;&gt;"",P104&lt;&gt;""),K105/P104,IF(K105&lt;&gt;"",K105/$D$2,""))</f>
        <v/>
      </c>
      <c r="M105" s="20"/>
      <c r="N105" s="20"/>
      <c r="O105" s="20"/>
      <c r="P105" s="16" t="str">
        <f aca="false">IF(K105&lt;&gt;"",P104+K105,IF(B105&lt;&gt;"",P104,""))</f>
        <v/>
      </c>
      <c r="Q105" s="17" t="str">
        <f aca="false">IF(P105&lt;&gt;"",MIN(0,P105-MAX($P$4:P105)),"")</f>
        <v/>
      </c>
    </row>
    <row r="106" customFormat="false" ht="15" hidden="false" customHeight="true" outlineLevel="0" collapsed="false">
      <c r="A106" s="11" t="str">
        <f aca="false">IF(B106&lt;&gt;"",COUNTA($B$4:B106),"")</f>
        <v/>
      </c>
      <c r="B106" s="12"/>
      <c r="C106" s="12"/>
      <c r="D106" s="12"/>
      <c r="E106" s="12"/>
      <c r="F106" s="12"/>
      <c r="G106" s="12"/>
      <c r="H106" s="12"/>
      <c r="I106" s="13"/>
      <c r="J106" s="12"/>
      <c r="K106" s="14" t="str">
        <f aca="false">IF(AND(I106&lt;&gt;"",H106&lt;&gt;"",J106&lt;&gt;""),IF(J106="W",I106*H106,IF(J106="L",-I106,IF(J106="P",I106*H106*0.5,""))),"")</f>
        <v/>
      </c>
      <c r="L106" s="15" t="str">
        <f aca="false">IF(AND(K106&lt;&gt;"",P105&lt;&gt;""),K106/P105,IF(K106&lt;&gt;"",K106/$D$2,""))</f>
        <v/>
      </c>
      <c r="M106" s="12"/>
      <c r="N106" s="12"/>
      <c r="O106" s="12"/>
      <c r="P106" s="16" t="str">
        <f aca="false">IF(K106&lt;&gt;"",P105+K106,IF(B106&lt;&gt;"",P105,""))</f>
        <v/>
      </c>
      <c r="Q106" s="17" t="str">
        <f aca="false">IF(P106&lt;&gt;"",MIN(0,P106-MAX($P$4:P106)),"")</f>
        <v/>
      </c>
    </row>
    <row r="107" customFormat="false" ht="15" hidden="false" customHeight="true" outlineLevel="0" collapsed="false">
      <c r="A107" s="11" t="str">
        <f aca="false">IF(B107&lt;&gt;"",COUNTA($B$4:B107),"")</f>
        <v/>
      </c>
      <c r="B107" s="20"/>
      <c r="C107" s="20"/>
      <c r="D107" s="20"/>
      <c r="E107" s="20"/>
      <c r="F107" s="20"/>
      <c r="G107" s="20"/>
      <c r="H107" s="20"/>
      <c r="I107" s="21"/>
      <c r="J107" s="20"/>
      <c r="K107" s="14" t="str">
        <f aca="false">IF(AND(I107&lt;&gt;"",H107&lt;&gt;"",J107&lt;&gt;""),IF(J107="W",I107*H107,IF(J107="L",-I107,IF(J107="P",I107*H107*0.5,""))),"")</f>
        <v/>
      </c>
      <c r="L107" s="15" t="str">
        <f aca="false">IF(AND(K107&lt;&gt;"",P106&lt;&gt;""),K107/P106,IF(K107&lt;&gt;"",K107/$D$2,""))</f>
        <v/>
      </c>
      <c r="M107" s="20"/>
      <c r="N107" s="20"/>
      <c r="O107" s="20"/>
      <c r="P107" s="16" t="str">
        <f aca="false">IF(K107&lt;&gt;"",P106+K107,IF(B107&lt;&gt;"",P106,""))</f>
        <v/>
      </c>
      <c r="Q107" s="17" t="str">
        <f aca="false">IF(P107&lt;&gt;"",MIN(0,P107-MAX($P$4:P107)),"")</f>
        <v/>
      </c>
    </row>
    <row r="108" customFormat="false" ht="15" hidden="false" customHeight="true" outlineLevel="0" collapsed="false">
      <c r="A108" s="11" t="str">
        <f aca="false">IF(B108&lt;&gt;"",COUNTA($B$4:B108),"")</f>
        <v/>
      </c>
      <c r="B108" s="12"/>
      <c r="C108" s="12"/>
      <c r="D108" s="12"/>
      <c r="E108" s="12"/>
      <c r="F108" s="12"/>
      <c r="G108" s="12"/>
      <c r="H108" s="12"/>
      <c r="I108" s="13"/>
      <c r="J108" s="12"/>
      <c r="K108" s="14" t="str">
        <f aca="false">IF(AND(I108&lt;&gt;"",H108&lt;&gt;"",J108&lt;&gt;""),IF(J108="W",I108*H108,IF(J108="L",-I108,IF(J108="P",I108*H108*0.5,""))),"")</f>
        <v/>
      </c>
      <c r="L108" s="15" t="str">
        <f aca="false">IF(AND(K108&lt;&gt;"",P107&lt;&gt;""),K108/P107,IF(K108&lt;&gt;"",K108/$D$2,""))</f>
        <v/>
      </c>
      <c r="M108" s="12"/>
      <c r="N108" s="12"/>
      <c r="O108" s="12"/>
      <c r="P108" s="16" t="str">
        <f aca="false">IF(K108&lt;&gt;"",P107+K108,IF(B108&lt;&gt;"",P107,""))</f>
        <v/>
      </c>
      <c r="Q108" s="17" t="str">
        <f aca="false">IF(P108&lt;&gt;"",MIN(0,P108-MAX($P$4:P108)),"")</f>
        <v/>
      </c>
    </row>
    <row r="109" customFormat="false" ht="15" hidden="false" customHeight="true" outlineLevel="0" collapsed="false">
      <c r="A109" s="11" t="str">
        <f aca="false">IF(B109&lt;&gt;"",COUNTA($B$4:B109),"")</f>
        <v/>
      </c>
      <c r="B109" s="20"/>
      <c r="C109" s="20"/>
      <c r="D109" s="20"/>
      <c r="E109" s="20"/>
      <c r="F109" s="20"/>
      <c r="G109" s="20"/>
      <c r="H109" s="20"/>
      <c r="I109" s="21"/>
      <c r="J109" s="20"/>
      <c r="K109" s="14" t="str">
        <f aca="false">IF(AND(I109&lt;&gt;"",H109&lt;&gt;"",J109&lt;&gt;""),IF(J109="W",I109*H109,IF(J109="L",-I109,IF(J109="P",I109*H109*0.5,""))),"")</f>
        <v/>
      </c>
      <c r="L109" s="15" t="str">
        <f aca="false">IF(AND(K109&lt;&gt;"",P108&lt;&gt;""),K109/P108,IF(K109&lt;&gt;"",K109/$D$2,""))</f>
        <v/>
      </c>
      <c r="M109" s="20"/>
      <c r="N109" s="20"/>
      <c r="O109" s="20"/>
      <c r="P109" s="16" t="str">
        <f aca="false">IF(K109&lt;&gt;"",P108+K109,IF(B109&lt;&gt;"",P108,""))</f>
        <v/>
      </c>
      <c r="Q109" s="17" t="str">
        <f aca="false">IF(P109&lt;&gt;"",MIN(0,P109-MAX($P$4:P109)),"")</f>
        <v/>
      </c>
    </row>
    <row r="110" customFormat="false" ht="15" hidden="false" customHeight="true" outlineLevel="0" collapsed="false">
      <c r="A110" s="11" t="str">
        <f aca="false">IF(B110&lt;&gt;"",COUNTA($B$4:B110),"")</f>
        <v/>
      </c>
      <c r="B110" s="12"/>
      <c r="C110" s="12"/>
      <c r="D110" s="12"/>
      <c r="E110" s="12"/>
      <c r="F110" s="12"/>
      <c r="G110" s="12"/>
      <c r="H110" s="12"/>
      <c r="I110" s="13"/>
      <c r="J110" s="12"/>
      <c r="K110" s="14" t="str">
        <f aca="false">IF(AND(I110&lt;&gt;"",H110&lt;&gt;"",J110&lt;&gt;""),IF(J110="W",I110*H110,IF(J110="L",-I110,IF(J110="P",I110*H110*0.5,""))),"")</f>
        <v/>
      </c>
      <c r="L110" s="15" t="str">
        <f aca="false">IF(AND(K110&lt;&gt;"",P109&lt;&gt;""),K110/P109,IF(K110&lt;&gt;"",K110/$D$2,""))</f>
        <v/>
      </c>
      <c r="M110" s="12"/>
      <c r="N110" s="12"/>
      <c r="O110" s="12"/>
      <c r="P110" s="16" t="str">
        <f aca="false">IF(K110&lt;&gt;"",P109+K110,IF(B110&lt;&gt;"",P109,""))</f>
        <v/>
      </c>
      <c r="Q110" s="17" t="str">
        <f aca="false">IF(P110&lt;&gt;"",MIN(0,P110-MAX($P$4:P110)),"")</f>
        <v/>
      </c>
    </row>
    <row r="111" customFormat="false" ht="15" hidden="false" customHeight="true" outlineLevel="0" collapsed="false">
      <c r="A111" s="11" t="str">
        <f aca="false">IF(B111&lt;&gt;"",COUNTA($B$4:B111),"")</f>
        <v/>
      </c>
      <c r="B111" s="20"/>
      <c r="C111" s="20"/>
      <c r="D111" s="20"/>
      <c r="E111" s="20"/>
      <c r="F111" s="20"/>
      <c r="G111" s="20"/>
      <c r="H111" s="20"/>
      <c r="I111" s="21"/>
      <c r="J111" s="20"/>
      <c r="K111" s="14" t="str">
        <f aca="false">IF(AND(I111&lt;&gt;"",H111&lt;&gt;"",J111&lt;&gt;""),IF(J111="W",I111*H111,IF(J111="L",-I111,IF(J111="P",I111*H111*0.5,""))),"")</f>
        <v/>
      </c>
      <c r="L111" s="15" t="str">
        <f aca="false">IF(AND(K111&lt;&gt;"",P110&lt;&gt;""),K111/P110,IF(K111&lt;&gt;"",K111/$D$2,""))</f>
        <v/>
      </c>
      <c r="M111" s="20"/>
      <c r="N111" s="20"/>
      <c r="O111" s="20"/>
      <c r="P111" s="16" t="str">
        <f aca="false">IF(K111&lt;&gt;"",P110+K111,IF(B111&lt;&gt;"",P110,""))</f>
        <v/>
      </c>
      <c r="Q111" s="17" t="str">
        <f aca="false">IF(P111&lt;&gt;"",MIN(0,P111-MAX($P$4:P111)),"")</f>
        <v/>
      </c>
    </row>
    <row r="112" customFormat="false" ht="15" hidden="false" customHeight="true" outlineLevel="0" collapsed="false">
      <c r="A112" s="11" t="str">
        <f aca="false">IF(B112&lt;&gt;"",COUNTA($B$4:B112),"")</f>
        <v/>
      </c>
      <c r="B112" s="12"/>
      <c r="C112" s="12"/>
      <c r="D112" s="12"/>
      <c r="E112" s="12"/>
      <c r="F112" s="12"/>
      <c r="G112" s="12"/>
      <c r="H112" s="12"/>
      <c r="I112" s="13"/>
      <c r="J112" s="12"/>
      <c r="K112" s="14" t="str">
        <f aca="false">IF(AND(I112&lt;&gt;"",H112&lt;&gt;"",J112&lt;&gt;""),IF(J112="W",I112*H112,IF(J112="L",-I112,IF(J112="P",I112*H112*0.5,""))),"")</f>
        <v/>
      </c>
      <c r="L112" s="15" t="str">
        <f aca="false">IF(AND(K112&lt;&gt;"",P111&lt;&gt;""),K112/P111,IF(K112&lt;&gt;"",K112/$D$2,""))</f>
        <v/>
      </c>
      <c r="M112" s="12"/>
      <c r="N112" s="12"/>
      <c r="O112" s="12"/>
      <c r="P112" s="16" t="str">
        <f aca="false">IF(K112&lt;&gt;"",P111+K112,IF(B112&lt;&gt;"",P111,""))</f>
        <v/>
      </c>
      <c r="Q112" s="17" t="str">
        <f aca="false">IF(P112&lt;&gt;"",MIN(0,P112-MAX($P$4:P112)),"")</f>
        <v/>
      </c>
    </row>
    <row r="113" customFormat="false" ht="15" hidden="false" customHeight="true" outlineLevel="0" collapsed="false">
      <c r="A113" s="11" t="str">
        <f aca="false">IF(B113&lt;&gt;"",COUNTA($B$4:B113),"")</f>
        <v/>
      </c>
      <c r="B113" s="20"/>
      <c r="C113" s="20"/>
      <c r="D113" s="20"/>
      <c r="E113" s="20"/>
      <c r="F113" s="20"/>
      <c r="G113" s="20"/>
      <c r="H113" s="20"/>
      <c r="I113" s="21"/>
      <c r="J113" s="20"/>
      <c r="K113" s="14" t="str">
        <f aca="false">IF(AND(I113&lt;&gt;"",H113&lt;&gt;"",J113&lt;&gt;""),IF(J113="W",I113*H113,IF(J113="L",-I113,IF(J113="P",I113*H113*0.5,""))),"")</f>
        <v/>
      </c>
      <c r="L113" s="15" t="str">
        <f aca="false">IF(AND(K113&lt;&gt;"",P112&lt;&gt;""),K113/P112,IF(K113&lt;&gt;"",K113/$D$2,""))</f>
        <v/>
      </c>
      <c r="M113" s="20"/>
      <c r="N113" s="20"/>
      <c r="O113" s="20"/>
      <c r="P113" s="16" t="str">
        <f aca="false">IF(K113&lt;&gt;"",P112+K113,IF(B113&lt;&gt;"",P112,""))</f>
        <v/>
      </c>
      <c r="Q113" s="17" t="str">
        <f aca="false">IF(P113&lt;&gt;"",MIN(0,P113-MAX($P$4:P113)),"")</f>
        <v/>
      </c>
    </row>
    <row r="114" customFormat="false" ht="15" hidden="false" customHeight="true" outlineLevel="0" collapsed="false">
      <c r="A114" s="11" t="str">
        <f aca="false">IF(B114&lt;&gt;"",COUNTA($B$4:B114),"")</f>
        <v/>
      </c>
      <c r="B114" s="12"/>
      <c r="C114" s="12"/>
      <c r="D114" s="12"/>
      <c r="E114" s="12"/>
      <c r="F114" s="12"/>
      <c r="G114" s="12"/>
      <c r="H114" s="12"/>
      <c r="I114" s="13"/>
      <c r="J114" s="12"/>
      <c r="K114" s="14" t="str">
        <f aca="false">IF(AND(I114&lt;&gt;"",H114&lt;&gt;"",J114&lt;&gt;""),IF(J114="W",I114*H114,IF(J114="L",-I114,IF(J114="P",I114*H114*0.5,""))),"")</f>
        <v/>
      </c>
      <c r="L114" s="15" t="str">
        <f aca="false">IF(AND(K114&lt;&gt;"",P113&lt;&gt;""),K114/P113,IF(K114&lt;&gt;"",K114/$D$2,""))</f>
        <v/>
      </c>
      <c r="M114" s="12"/>
      <c r="N114" s="12"/>
      <c r="O114" s="12"/>
      <c r="P114" s="16" t="str">
        <f aca="false">IF(K114&lt;&gt;"",P113+K114,IF(B114&lt;&gt;"",P113,""))</f>
        <v/>
      </c>
      <c r="Q114" s="17" t="str">
        <f aca="false">IF(P114&lt;&gt;"",MIN(0,P114-MAX($P$4:P114)),"")</f>
        <v/>
      </c>
    </row>
    <row r="115" customFormat="false" ht="15" hidden="false" customHeight="true" outlineLevel="0" collapsed="false">
      <c r="A115" s="11" t="str">
        <f aca="false">IF(B115&lt;&gt;"",COUNTA($B$4:B115),"")</f>
        <v/>
      </c>
      <c r="B115" s="20"/>
      <c r="C115" s="20"/>
      <c r="D115" s="20"/>
      <c r="E115" s="20"/>
      <c r="F115" s="20"/>
      <c r="G115" s="20"/>
      <c r="H115" s="20"/>
      <c r="I115" s="21"/>
      <c r="J115" s="20"/>
      <c r="K115" s="14" t="str">
        <f aca="false">IF(AND(I115&lt;&gt;"",H115&lt;&gt;"",J115&lt;&gt;""),IF(J115="W",I115*H115,IF(J115="L",-I115,IF(J115="P",I115*H115*0.5,""))),"")</f>
        <v/>
      </c>
      <c r="L115" s="15" t="str">
        <f aca="false">IF(AND(K115&lt;&gt;"",P114&lt;&gt;""),K115/P114,IF(K115&lt;&gt;"",K115/$D$2,""))</f>
        <v/>
      </c>
      <c r="M115" s="20"/>
      <c r="N115" s="20"/>
      <c r="O115" s="20"/>
      <c r="P115" s="16" t="str">
        <f aca="false">IF(K115&lt;&gt;"",P114+K115,IF(B115&lt;&gt;"",P114,""))</f>
        <v/>
      </c>
      <c r="Q115" s="17" t="str">
        <f aca="false">IF(P115&lt;&gt;"",MIN(0,P115-MAX($P$4:P115)),"")</f>
        <v/>
      </c>
    </row>
    <row r="116" customFormat="false" ht="15" hidden="false" customHeight="true" outlineLevel="0" collapsed="false">
      <c r="A116" s="11" t="str">
        <f aca="false">IF(B116&lt;&gt;"",COUNTA($B$4:B116),"")</f>
        <v/>
      </c>
      <c r="B116" s="12"/>
      <c r="C116" s="12"/>
      <c r="D116" s="12"/>
      <c r="E116" s="12"/>
      <c r="F116" s="12"/>
      <c r="G116" s="12"/>
      <c r="H116" s="12"/>
      <c r="I116" s="13"/>
      <c r="J116" s="12"/>
      <c r="K116" s="14" t="str">
        <f aca="false">IF(AND(I116&lt;&gt;"",H116&lt;&gt;"",J116&lt;&gt;""),IF(J116="W",I116*H116,IF(J116="L",-I116,IF(J116="P",I116*H116*0.5,""))),"")</f>
        <v/>
      </c>
      <c r="L116" s="15" t="str">
        <f aca="false">IF(AND(K116&lt;&gt;"",P115&lt;&gt;""),K116/P115,IF(K116&lt;&gt;"",K116/$D$2,""))</f>
        <v/>
      </c>
      <c r="M116" s="12"/>
      <c r="N116" s="12"/>
      <c r="O116" s="12"/>
      <c r="P116" s="16" t="str">
        <f aca="false">IF(K116&lt;&gt;"",P115+K116,IF(B116&lt;&gt;"",P115,""))</f>
        <v/>
      </c>
      <c r="Q116" s="17" t="str">
        <f aca="false">IF(P116&lt;&gt;"",MIN(0,P116-MAX($P$4:P116)),"")</f>
        <v/>
      </c>
    </row>
    <row r="117" customFormat="false" ht="15" hidden="false" customHeight="true" outlineLevel="0" collapsed="false">
      <c r="A117" s="11" t="str">
        <f aca="false">IF(B117&lt;&gt;"",COUNTA($B$4:B117),"")</f>
        <v/>
      </c>
      <c r="B117" s="20"/>
      <c r="C117" s="20"/>
      <c r="D117" s="20"/>
      <c r="E117" s="20"/>
      <c r="F117" s="20"/>
      <c r="G117" s="20"/>
      <c r="H117" s="20"/>
      <c r="I117" s="21"/>
      <c r="J117" s="20"/>
      <c r="K117" s="14" t="str">
        <f aca="false">IF(AND(I117&lt;&gt;"",H117&lt;&gt;"",J117&lt;&gt;""),IF(J117="W",I117*H117,IF(J117="L",-I117,IF(J117="P",I117*H117*0.5,""))),"")</f>
        <v/>
      </c>
      <c r="L117" s="15" t="str">
        <f aca="false">IF(AND(K117&lt;&gt;"",P116&lt;&gt;""),K117/P116,IF(K117&lt;&gt;"",K117/$D$2,""))</f>
        <v/>
      </c>
      <c r="M117" s="20"/>
      <c r="N117" s="20"/>
      <c r="O117" s="20"/>
      <c r="P117" s="16" t="str">
        <f aca="false">IF(K117&lt;&gt;"",P116+K117,IF(B117&lt;&gt;"",P116,""))</f>
        <v/>
      </c>
      <c r="Q117" s="17" t="str">
        <f aca="false">IF(P117&lt;&gt;"",MIN(0,P117-MAX($P$4:P117)),"")</f>
        <v/>
      </c>
    </row>
    <row r="118" customFormat="false" ht="15" hidden="false" customHeight="true" outlineLevel="0" collapsed="false">
      <c r="A118" s="11" t="str">
        <f aca="false">IF(B118&lt;&gt;"",COUNTA($B$4:B118),"")</f>
        <v/>
      </c>
      <c r="B118" s="12"/>
      <c r="C118" s="12"/>
      <c r="D118" s="12"/>
      <c r="E118" s="12"/>
      <c r="F118" s="12"/>
      <c r="G118" s="12"/>
      <c r="H118" s="12"/>
      <c r="I118" s="13"/>
      <c r="J118" s="12"/>
      <c r="K118" s="14" t="str">
        <f aca="false">IF(AND(I118&lt;&gt;"",H118&lt;&gt;"",J118&lt;&gt;""),IF(J118="W",I118*H118,IF(J118="L",-I118,IF(J118="P",I118*H118*0.5,""))),"")</f>
        <v/>
      </c>
      <c r="L118" s="15" t="str">
        <f aca="false">IF(AND(K118&lt;&gt;"",P117&lt;&gt;""),K118/P117,IF(K118&lt;&gt;"",K118/$D$2,""))</f>
        <v/>
      </c>
      <c r="M118" s="12"/>
      <c r="N118" s="12"/>
      <c r="O118" s="12"/>
      <c r="P118" s="16" t="str">
        <f aca="false">IF(K118&lt;&gt;"",P117+K118,IF(B118&lt;&gt;"",P117,""))</f>
        <v/>
      </c>
      <c r="Q118" s="17" t="str">
        <f aca="false">IF(P118&lt;&gt;"",MIN(0,P118-MAX($P$4:P118)),"")</f>
        <v/>
      </c>
    </row>
    <row r="119" customFormat="false" ht="15" hidden="false" customHeight="true" outlineLevel="0" collapsed="false">
      <c r="A119" s="11" t="str">
        <f aca="false">IF(B119&lt;&gt;"",COUNTA($B$4:B119),"")</f>
        <v/>
      </c>
      <c r="B119" s="20"/>
      <c r="C119" s="20"/>
      <c r="D119" s="20"/>
      <c r="E119" s="20"/>
      <c r="F119" s="20"/>
      <c r="G119" s="20"/>
      <c r="H119" s="20"/>
      <c r="I119" s="21"/>
      <c r="J119" s="20"/>
      <c r="K119" s="14" t="str">
        <f aca="false">IF(AND(I119&lt;&gt;"",H119&lt;&gt;"",J119&lt;&gt;""),IF(J119="W",I119*H119,IF(J119="L",-I119,IF(J119="P",I119*H119*0.5,""))),"")</f>
        <v/>
      </c>
      <c r="L119" s="15" t="str">
        <f aca="false">IF(AND(K119&lt;&gt;"",P118&lt;&gt;""),K119/P118,IF(K119&lt;&gt;"",K119/$D$2,""))</f>
        <v/>
      </c>
      <c r="M119" s="20"/>
      <c r="N119" s="20"/>
      <c r="O119" s="20"/>
      <c r="P119" s="16" t="str">
        <f aca="false">IF(K119&lt;&gt;"",P118+K119,IF(B119&lt;&gt;"",P118,""))</f>
        <v/>
      </c>
      <c r="Q119" s="17" t="str">
        <f aca="false">IF(P119&lt;&gt;"",MIN(0,P119-MAX($P$4:P119)),"")</f>
        <v/>
      </c>
    </row>
    <row r="120" customFormat="false" ht="15" hidden="false" customHeight="true" outlineLevel="0" collapsed="false">
      <c r="A120" s="11" t="str">
        <f aca="false">IF(B120&lt;&gt;"",COUNTA($B$4:B120),"")</f>
        <v/>
      </c>
      <c r="B120" s="12"/>
      <c r="C120" s="12"/>
      <c r="D120" s="12"/>
      <c r="E120" s="12"/>
      <c r="F120" s="12"/>
      <c r="G120" s="12"/>
      <c r="H120" s="12"/>
      <c r="I120" s="13"/>
      <c r="J120" s="12"/>
      <c r="K120" s="14" t="str">
        <f aca="false">IF(AND(I120&lt;&gt;"",H120&lt;&gt;"",J120&lt;&gt;""),IF(J120="W",I120*H120,IF(J120="L",-I120,IF(J120="P",I120*H120*0.5,""))),"")</f>
        <v/>
      </c>
      <c r="L120" s="15" t="str">
        <f aca="false">IF(AND(K120&lt;&gt;"",P119&lt;&gt;""),K120/P119,IF(K120&lt;&gt;"",K120/$D$2,""))</f>
        <v/>
      </c>
      <c r="M120" s="12"/>
      <c r="N120" s="12"/>
      <c r="O120" s="12"/>
      <c r="P120" s="16" t="str">
        <f aca="false">IF(K120&lt;&gt;"",P119+K120,IF(B120&lt;&gt;"",P119,""))</f>
        <v/>
      </c>
      <c r="Q120" s="17" t="str">
        <f aca="false">IF(P120&lt;&gt;"",MIN(0,P120-MAX($P$4:P120)),"")</f>
        <v/>
      </c>
    </row>
    <row r="121" customFormat="false" ht="15" hidden="false" customHeight="true" outlineLevel="0" collapsed="false">
      <c r="A121" s="11" t="str">
        <f aca="false">IF(B121&lt;&gt;"",COUNTA($B$4:B121),"")</f>
        <v/>
      </c>
      <c r="B121" s="20"/>
      <c r="C121" s="20"/>
      <c r="D121" s="20"/>
      <c r="E121" s="20"/>
      <c r="F121" s="20"/>
      <c r="G121" s="20"/>
      <c r="H121" s="20"/>
      <c r="I121" s="21"/>
      <c r="J121" s="20"/>
      <c r="K121" s="14" t="str">
        <f aca="false">IF(AND(I121&lt;&gt;"",H121&lt;&gt;"",J121&lt;&gt;""),IF(J121="W",I121*H121,IF(J121="L",-I121,IF(J121="P",I121*H121*0.5,""))),"")</f>
        <v/>
      </c>
      <c r="L121" s="15" t="str">
        <f aca="false">IF(AND(K121&lt;&gt;"",P120&lt;&gt;""),K121/P120,IF(K121&lt;&gt;"",K121/$D$2,""))</f>
        <v/>
      </c>
      <c r="M121" s="20"/>
      <c r="N121" s="20"/>
      <c r="O121" s="20"/>
      <c r="P121" s="16" t="str">
        <f aca="false">IF(K121&lt;&gt;"",P120+K121,IF(B121&lt;&gt;"",P120,""))</f>
        <v/>
      </c>
      <c r="Q121" s="17" t="str">
        <f aca="false">IF(P121&lt;&gt;"",MIN(0,P121-MAX($P$4:P121)),"")</f>
        <v/>
      </c>
    </row>
    <row r="122" customFormat="false" ht="15" hidden="false" customHeight="true" outlineLevel="0" collapsed="false">
      <c r="A122" s="11" t="str">
        <f aca="false">IF(B122&lt;&gt;"",COUNTA($B$4:B122),"")</f>
        <v/>
      </c>
      <c r="B122" s="12"/>
      <c r="C122" s="12"/>
      <c r="D122" s="12"/>
      <c r="E122" s="12"/>
      <c r="F122" s="12"/>
      <c r="G122" s="12"/>
      <c r="H122" s="12"/>
      <c r="I122" s="13"/>
      <c r="J122" s="12"/>
      <c r="K122" s="14" t="str">
        <f aca="false">IF(AND(I122&lt;&gt;"",H122&lt;&gt;"",J122&lt;&gt;""),IF(J122="W",I122*H122,IF(J122="L",-I122,IF(J122="P",I122*H122*0.5,""))),"")</f>
        <v/>
      </c>
      <c r="L122" s="15" t="str">
        <f aca="false">IF(AND(K122&lt;&gt;"",P121&lt;&gt;""),K122/P121,IF(K122&lt;&gt;"",K122/$D$2,""))</f>
        <v/>
      </c>
      <c r="M122" s="12"/>
      <c r="N122" s="12"/>
      <c r="O122" s="12"/>
      <c r="P122" s="16" t="str">
        <f aca="false">IF(K122&lt;&gt;"",P121+K122,IF(B122&lt;&gt;"",P121,""))</f>
        <v/>
      </c>
      <c r="Q122" s="17" t="str">
        <f aca="false">IF(P122&lt;&gt;"",MIN(0,P122-MAX($P$4:P122)),"")</f>
        <v/>
      </c>
    </row>
    <row r="123" customFormat="false" ht="15" hidden="false" customHeight="true" outlineLevel="0" collapsed="false">
      <c r="A123" s="11" t="str">
        <f aca="false">IF(B123&lt;&gt;"",COUNTA($B$4:B123),"")</f>
        <v/>
      </c>
      <c r="B123" s="20"/>
      <c r="C123" s="20"/>
      <c r="D123" s="20"/>
      <c r="E123" s="20"/>
      <c r="F123" s="20"/>
      <c r="G123" s="20"/>
      <c r="H123" s="20"/>
      <c r="I123" s="21"/>
      <c r="J123" s="20"/>
      <c r="K123" s="14" t="str">
        <f aca="false">IF(AND(I123&lt;&gt;"",H123&lt;&gt;"",J123&lt;&gt;""),IF(J123="W",I123*H123,IF(J123="L",-I123,IF(J123="P",I123*H123*0.5,""))),"")</f>
        <v/>
      </c>
      <c r="L123" s="15" t="str">
        <f aca="false">IF(AND(K123&lt;&gt;"",P122&lt;&gt;""),K123/P122,IF(K123&lt;&gt;"",K123/$D$2,""))</f>
        <v/>
      </c>
      <c r="M123" s="20"/>
      <c r="N123" s="20"/>
      <c r="O123" s="20"/>
      <c r="P123" s="16" t="str">
        <f aca="false">IF(K123&lt;&gt;"",P122+K123,IF(B123&lt;&gt;"",P122,""))</f>
        <v/>
      </c>
      <c r="Q123" s="17" t="str">
        <f aca="false">IF(P123&lt;&gt;"",MIN(0,P123-MAX($P$4:P123)),"")</f>
        <v/>
      </c>
    </row>
    <row r="124" customFormat="false" ht="15" hidden="false" customHeight="true" outlineLevel="0" collapsed="false">
      <c r="A124" s="11" t="str">
        <f aca="false">IF(B124&lt;&gt;"",COUNTA($B$4:B124),"")</f>
        <v/>
      </c>
      <c r="B124" s="12"/>
      <c r="C124" s="12"/>
      <c r="D124" s="12"/>
      <c r="E124" s="12"/>
      <c r="F124" s="12"/>
      <c r="G124" s="12"/>
      <c r="H124" s="12"/>
      <c r="I124" s="13"/>
      <c r="J124" s="12"/>
      <c r="K124" s="14" t="str">
        <f aca="false">IF(AND(I124&lt;&gt;"",H124&lt;&gt;"",J124&lt;&gt;""),IF(J124="W",I124*H124,IF(J124="L",-I124,IF(J124="P",I124*H124*0.5,""))),"")</f>
        <v/>
      </c>
      <c r="L124" s="15" t="str">
        <f aca="false">IF(AND(K124&lt;&gt;"",P123&lt;&gt;""),K124/P123,IF(K124&lt;&gt;"",K124/$D$2,""))</f>
        <v/>
      </c>
      <c r="M124" s="12"/>
      <c r="N124" s="12"/>
      <c r="O124" s="12"/>
      <c r="P124" s="16" t="str">
        <f aca="false">IF(K124&lt;&gt;"",P123+K124,IF(B124&lt;&gt;"",P123,""))</f>
        <v/>
      </c>
      <c r="Q124" s="17" t="str">
        <f aca="false">IF(P124&lt;&gt;"",MIN(0,P124-MAX($P$4:P124)),"")</f>
        <v/>
      </c>
    </row>
    <row r="125" customFormat="false" ht="15" hidden="false" customHeight="true" outlineLevel="0" collapsed="false">
      <c r="A125" s="11" t="str">
        <f aca="false">IF(B125&lt;&gt;"",COUNTA($B$4:B125),"")</f>
        <v/>
      </c>
      <c r="B125" s="20"/>
      <c r="C125" s="20"/>
      <c r="D125" s="20"/>
      <c r="E125" s="20"/>
      <c r="F125" s="20"/>
      <c r="G125" s="20"/>
      <c r="H125" s="20"/>
      <c r="I125" s="21"/>
      <c r="J125" s="20"/>
      <c r="K125" s="14" t="str">
        <f aca="false">IF(AND(I125&lt;&gt;"",H125&lt;&gt;"",J125&lt;&gt;""),IF(J125="W",I125*H125,IF(J125="L",-I125,IF(J125="P",I125*H125*0.5,""))),"")</f>
        <v/>
      </c>
      <c r="L125" s="15" t="str">
        <f aca="false">IF(AND(K125&lt;&gt;"",P124&lt;&gt;""),K125/P124,IF(K125&lt;&gt;"",K125/$D$2,""))</f>
        <v/>
      </c>
      <c r="M125" s="20"/>
      <c r="N125" s="20"/>
      <c r="O125" s="20"/>
      <c r="P125" s="16" t="str">
        <f aca="false">IF(K125&lt;&gt;"",P124+K125,IF(B125&lt;&gt;"",P124,""))</f>
        <v/>
      </c>
      <c r="Q125" s="17" t="str">
        <f aca="false">IF(P125&lt;&gt;"",MIN(0,P125-MAX($P$4:P125)),"")</f>
        <v/>
      </c>
    </row>
    <row r="126" customFormat="false" ht="15" hidden="false" customHeight="true" outlineLevel="0" collapsed="false">
      <c r="A126" s="11" t="str">
        <f aca="false">IF(B126&lt;&gt;"",COUNTA($B$4:B126),"")</f>
        <v/>
      </c>
      <c r="B126" s="12"/>
      <c r="C126" s="12"/>
      <c r="D126" s="12"/>
      <c r="E126" s="12"/>
      <c r="F126" s="12"/>
      <c r="G126" s="12"/>
      <c r="H126" s="12"/>
      <c r="I126" s="13"/>
      <c r="J126" s="12"/>
      <c r="K126" s="14" t="str">
        <f aca="false">IF(AND(I126&lt;&gt;"",H126&lt;&gt;"",J126&lt;&gt;""),IF(J126="W",I126*H126,IF(J126="L",-I126,IF(J126="P",I126*H126*0.5,""))),"")</f>
        <v/>
      </c>
      <c r="L126" s="15" t="str">
        <f aca="false">IF(AND(K126&lt;&gt;"",P125&lt;&gt;""),K126/P125,IF(K126&lt;&gt;"",K126/$D$2,""))</f>
        <v/>
      </c>
      <c r="M126" s="12"/>
      <c r="N126" s="12"/>
      <c r="O126" s="12"/>
      <c r="P126" s="16" t="str">
        <f aca="false">IF(K126&lt;&gt;"",P125+K126,IF(B126&lt;&gt;"",P125,""))</f>
        <v/>
      </c>
      <c r="Q126" s="17" t="str">
        <f aca="false">IF(P126&lt;&gt;"",MIN(0,P126-MAX($P$4:P126)),"")</f>
        <v/>
      </c>
    </row>
    <row r="127" customFormat="false" ht="15" hidden="false" customHeight="true" outlineLevel="0" collapsed="false">
      <c r="A127" s="11" t="str">
        <f aca="false">IF(B127&lt;&gt;"",COUNTA($B$4:B127),"")</f>
        <v/>
      </c>
      <c r="B127" s="20"/>
      <c r="C127" s="20"/>
      <c r="D127" s="20"/>
      <c r="E127" s="20"/>
      <c r="F127" s="20"/>
      <c r="G127" s="20"/>
      <c r="H127" s="20"/>
      <c r="I127" s="21"/>
      <c r="J127" s="20"/>
      <c r="K127" s="14" t="str">
        <f aca="false">IF(AND(I127&lt;&gt;"",H127&lt;&gt;"",J127&lt;&gt;""),IF(J127="W",I127*H127,IF(J127="L",-I127,IF(J127="P",I127*H127*0.5,""))),"")</f>
        <v/>
      </c>
      <c r="L127" s="15" t="str">
        <f aca="false">IF(AND(K127&lt;&gt;"",P126&lt;&gt;""),K127/P126,IF(K127&lt;&gt;"",K127/$D$2,""))</f>
        <v/>
      </c>
      <c r="M127" s="20"/>
      <c r="N127" s="20"/>
      <c r="O127" s="20"/>
      <c r="P127" s="16" t="str">
        <f aca="false">IF(K127&lt;&gt;"",P126+K127,IF(B127&lt;&gt;"",P126,""))</f>
        <v/>
      </c>
      <c r="Q127" s="17" t="str">
        <f aca="false">IF(P127&lt;&gt;"",MIN(0,P127-MAX($P$4:P127)),"")</f>
        <v/>
      </c>
    </row>
    <row r="128" customFormat="false" ht="15" hidden="false" customHeight="true" outlineLevel="0" collapsed="false">
      <c r="A128" s="11" t="str">
        <f aca="false">IF(B128&lt;&gt;"",COUNTA($B$4:B128),"")</f>
        <v/>
      </c>
      <c r="B128" s="12"/>
      <c r="C128" s="12"/>
      <c r="D128" s="12"/>
      <c r="E128" s="12"/>
      <c r="F128" s="12"/>
      <c r="G128" s="12"/>
      <c r="H128" s="12"/>
      <c r="I128" s="13"/>
      <c r="J128" s="12"/>
      <c r="K128" s="14" t="str">
        <f aca="false">IF(AND(I128&lt;&gt;"",H128&lt;&gt;"",J128&lt;&gt;""),IF(J128="W",I128*H128,IF(J128="L",-I128,IF(J128="P",I128*H128*0.5,""))),"")</f>
        <v/>
      </c>
      <c r="L128" s="15" t="str">
        <f aca="false">IF(AND(K128&lt;&gt;"",P127&lt;&gt;""),K128/P127,IF(K128&lt;&gt;"",K128/$D$2,""))</f>
        <v/>
      </c>
      <c r="M128" s="12"/>
      <c r="N128" s="12"/>
      <c r="O128" s="12"/>
      <c r="P128" s="16" t="str">
        <f aca="false">IF(K128&lt;&gt;"",P127+K128,IF(B128&lt;&gt;"",P127,""))</f>
        <v/>
      </c>
      <c r="Q128" s="17" t="str">
        <f aca="false">IF(P128&lt;&gt;"",MIN(0,P128-MAX($P$4:P128)),"")</f>
        <v/>
      </c>
    </row>
    <row r="129" customFormat="false" ht="15" hidden="false" customHeight="true" outlineLevel="0" collapsed="false">
      <c r="A129" s="11" t="str">
        <f aca="false">IF(B129&lt;&gt;"",COUNTA($B$4:B129),"")</f>
        <v/>
      </c>
      <c r="B129" s="20"/>
      <c r="C129" s="20"/>
      <c r="D129" s="20"/>
      <c r="E129" s="20"/>
      <c r="F129" s="20"/>
      <c r="G129" s="20"/>
      <c r="H129" s="20"/>
      <c r="I129" s="21"/>
      <c r="J129" s="20"/>
      <c r="K129" s="14" t="str">
        <f aca="false">IF(AND(I129&lt;&gt;"",H129&lt;&gt;"",J129&lt;&gt;""),IF(J129="W",I129*H129,IF(J129="L",-I129,IF(J129="P",I129*H129*0.5,""))),"")</f>
        <v/>
      </c>
      <c r="L129" s="15" t="str">
        <f aca="false">IF(AND(K129&lt;&gt;"",P128&lt;&gt;""),K129/P128,IF(K129&lt;&gt;"",K129/$D$2,""))</f>
        <v/>
      </c>
      <c r="M129" s="20"/>
      <c r="N129" s="20"/>
      <c r="O129" s="20"/>
      <c r="P129" s="16" t="str">
        <f aca="false">IF(K129&lt;&gt;"",P128+K129,IF(B129&lt;&gt;"",P128,""))</f>
        <v/>
      </c>
      <c r="Q129" s="17" t="str">
        <f aca="false">IF(P129&lt;&gt;"",MIN(0,P129-MAX($P$4:P129)),"")</f>
        <v/>
      </c>
    </row>
    <row r="130" customFormat="false" ht="15" hidden="false" customHeight="true" outlineLevel="0" collapsed="false">
      <c r="A130" s="11" t="str">
        <f aca="false">IF(B130&lt;&gt;"",COUNTA($B$4:B130),"")</f>
        <v/>
      </c>
      <c r="B130" s="12"/>
      <c r="C130" s="12"/>
      <c r="D130" s="12"/>
      <c r="E130" s="12"/>
      <c r="F130" s="12"/>
      <c r="G130" s="12"/>
      <c r="H130" s="12"/>
      <c r="I130" s="13"/>
      <c r="J130" s="12"/>
      <c r="K130" s="14" t="str">
        <f aca="false">IF(AND(I130&lt;&gt;"",H130&lt;&gt;"",J130&lt;&gt;""),IF(J130="W",I130*H130,IF(J130="L",-I130,IF(J130="P",I130*H130*0.5,""))),"")</f>
        <v/>
      </c>
      <c r="L130" s="15" t="str">
        <f aca="false">IF(AND(K130&lt;&gt;"",P129&lt;&gt;""),K130/P129,IF(K130&lt;&gt;"",K130/$D$2,""))</f>
        <v/>
      </c>
      <c r="M130" s="12"/>
      <c r="N130" s="12"/>
      <c r="O130" s="12"/>
      <c r="P130" s="16" t="str">
        <f aca="false">IF(K130&lt;&gt;"",P129+K130,IF(B130&lt;&gt;"",P129,""))</f>
        <v/>
      </c>
      <c r="Q130" s="17" t="str">
        <f aca="false">IF(P130&lt;&gt;"",MIN(0,P130-MAX($P$4:P130)),"")</f>
        <v/>
      </c>
    </row>
    <row r="131" customFormat="false" ht="15" hidden="false" customHeight="true" outlineLevel="0" collapsed="false">
      <c r="A131" s="11" t="str">
        <f aca="false">IF(B131&lt;&gt;"",COUNTA($B$4:B131),"")</f>
        <v/>
      </c>
      <c r="B131" s="20"/>
      <c r="C131" s="20"/>
      <c r="D131" s="20"/>
      <c r="E131" s="20"/>
      <c r="F131" s="20"/>
      <c r="G131" s="20"/>
      <c r="H131" s="20"/>
      <c r="I131" s="21"/>
      <c r="J131" s="20"/>
      <c r="K131" s="14" t="str">
        <f aca="false">IF(AND(I131&lt;&gt;"",H131&lt;&gt;"",J131&lt;&gt;""),IF(J131="W",I131*H131,IF(J131="L",-I131,IF(J131="P",I131*H131*0.5,""))),"")</f>
        <v/>
      </c>
      <c r="L131" s="15" t="str">
        <f aca="false">IF(AND(K131&lt;&gt;"",P130&lt;&gt;""),K131/P130,IF(K131&lt;&gt;"",K131/$D$2,""))</f>
        <v/>
      </c>
      <c r="M131" s="20"/>
      <c r="N131" s="20"/>
      <c r="O131" s="20"/>
      <c r="P131" s="16" t="str">
        <f aca="false">IF(K131&lt;&gt;"",P130+K131,IF(B131&lt;&gt;"",P130,""))</f>
        <v/>
      </c>
      <c r="Q131" s="17" t="str">
        <f aca="false">IF(P131&lt;&gt;"",MIN(0,P131-MAX($P$4:P131)),"")</f>
        <v/>
      </c>
    </row>
    <row r="132" customFormat="false" ht="15" hidden="false" customHeight="true" outlineLevel="0" collapsed="false">
      <c r="A132" s="11" t="str">
        <f aca="false">IF(B132&lt;&gt;"",COUNTA($B$4:B132),"")</f>
        <v/>
      </c>
      <c r="B132" s="12"/>
      <c r="C132" s="12"/>
      <c r="D132" s="12"/>
      <c r="E132" s="12"/>
      <c r="F132" s="12"/>
      <c r="G132" s="12"/>
      <c r="H132" s="12"/>
      <c r="I132" s="13"/>
      <c r="J132" s="12"/>
      <c r="K132" s="14" t="str">
        <f aca="false">IF(AND(I132&lt;&gt;"",H132&lt;&gt;"",J132&lt;&gt;""),IF(J132="W",I132*H132,IF(J132="L",-I132,IF(J132="P",I132*H132*0.5,""))),"")</f>
        <v/>
      </c>
      <c r="L132" s="15" t="str">
        <f aca="false">IF(AND(K132&lt;&gt;"",P131&lt;&gt;""),K132/P131,IF(K132&lt;&gt;"",K132/$D$2,""))</f>
        <v/>
      </c>
      <c r="M132" s="12"/>
      <c r="N132" s="12"/>
      <c r="O132" s="12"/>
      <c r="P132" s="16" t="str">
        <f aca="false">IF(K132&lt;&gt;"",P131+K132,IF(B132&lt;&gt;"",P131,""))</f>
        <v/>
      </c>
      <c r="Q132" s="17" t="str">
        <f aca="false">IF(P132&lt;&gt;"",MIN(0,P132-MAX($P$4:P132)),"")</f>
        <v/>
      </c>
    </row>
    <row r="133" customFormat="false" ht="15" hidden="false" customHeight="true" outlineLevel="0" collapsed="false">
      <c r="A133" s="11" t="str">
        <f aca="false">IF(B133&lt;&gt;"",COUNTA($B$4:B133),"")</f>
        <v/>
      </c>
      <c r="B133" s="20"/>
      <c r="C133" s="20"/>
      <c r="D133" s="20"/>
      <c r="E133" s="20"/>
      <c r="F133" s="20"/>
      <c r="G133" s="20"/>
      <c r="H133" s="20"/>
      <c r="I133" s="21"/>
      <c r="J133" s="20"/>
      <c r="K133" s="14" t="str">
        <f aca="false">IF(AND(I133&lt;&gt;"",H133&lt;&gt;"",J133&lt;&gt;""),IF(J133="W",I133*H133,IF(J133="L",-I133,IF(J133="P",I133*H133*0.5,""))),"")</f>
        <v/>
      </c>
      <c r="L133" s="15" t="str">
        <f aca="false">IF(AND(K133&lt;&gt;"",P132&lt;&gt;""),K133/P132,IF(K133&lt;&gt;"",K133/$D$2,""))</f>
        <v/>
      </c>
      <c r="M133" s="20"/>
      <c r="N133" s="20"/>
      <c r="O133" s="20"/>
      <c r="P133" s="16" t="str">
        <f aca="false">IF(K133&lt;&gt;"",P132+K133,IF(B133&lt;&gt;"",P132,""))</f>
        <v/>
      </c>
      <c r="Q133" s="17" t="str">
        <f aca="false">IF(P133&lt;&gt;"",MIN(0,P133-MAX($P$4:P133)),"")</f>
        <v/>
      </c>
    </row>
    <row r="134" customFormat="false" ht="15" hidden="false" customHeight="true" outlineLevel="0" collapsed="false">
      <c r="A134" s="11" t="str">
        <f aca="false">IF(B134&lt;&gt;"",COUNTA($B$4:B134),"")</f>
        <v/>
      </c>
      <c r="B134" s="12"/>
      <c r="C134" s="12"/>
      <c r="D134" s="12"/>
      <c r="E134" s="12"/>
      <c r="F134" s="12"/>
      <c r="G134" s="12"/>
      <c r="H134" s="12"/>
      <c r="I134" s="13"/>
      <c r="J134" s="12"/>
      <c r="K134" s="14" t="str">
        <f aca="false">IF(AND(I134&lt;&gt;"",H134&lt;&gt;"",J134&lt;&gt;""),IF(J134="W",I134*H134,IF(J134="L",-I134,IF(J134="P",I134*H134*0.5,""))),"")</f>
        <v/>
      </c>
      <c r="L134" s="15" t="str">
        <f aca="false">IF(AND(K134&lt;&gt;"",P133&lt;&gt;""),K134/P133,IF(K134&lt;&gt;"",K134/$D$2,""))</f>
        <v/>
      </c>
      <c r="M134" s="12"/>
      <c r="N134" s="12"/>
      <c r="O134" s="12"/>
      <c r="P134" s="16" t="str">
        <f aca="false">IF(K134&lt;&gt;"",P133+K134,IF(B134&lt;&gt;"",P133,""))</f>
        <v/>
      </c>
      <c r="Q134" s="17" t="str">
        <f aca="false">IF(P134&lt;&gt;"",MIN(0,P134-MAX($P$4:P134)),"")</f>
        <v/>
      </c>
    </row>
    <row r="135" customFormat="false" ht="15" hidden="false" customHeight="true" outlineLevel="0" collapsed="false">
      <c r="A135" s="11" t="str">
        <f aca="false">IF(B135&lt;&gt;"",COUNTA($B$4:B135),"")</f>
        <v/>
      </c>
      <c r="B135" s="20"/>
      <c r="C135" s="20"/>
      <c r="D135" s="20"/>
      <c r="E135" s="20"/>
      <c r="F135" s="20"/>
      <c r="G135" s="20"/>
      <c r="H135" s="20"/>
      <c r="I135" s="21"/>
      <c r="J135" s="20"/>
      <c r="K135" s="14" t="str">
        <f aca="false">IF(AND(I135&lt;&gt;"",H135&lt;&gt;"",J135&lt;&gt;""),IF(J135="W",I135*H135,IF(J135="L",-I135,IF(J135="P",I135*H135*0.5,""))),"")</f>
        <v/>
      </c>
      <c r="L135" s="15" t="str">
        <f aca="false">IF(AND(K135&lt;&gt;"",P134&lt;&gt;""),K135/P134,IF(K135&lt;&gt;"",K135/$D$2,""))</f>
        <v/>
      </c>
      <c r="M135" s="20"/>
      <c r="N135" s="20"/>
      <c r="O135" s="20"/>
      <c r="P135" s="16" t="str">
        <f aca="false">IF(K135&lt;&gt;"",P134+K135,IF(B135&lt;&gt;"",P134,""))</f>
        <v/>
      </c>
      <c r="Q135" s="17" t="str">
        <f aca="false">IF(P135&lt;&gt;"",MIN(0,P135-MAX($P$4:P135)),"")</f>
        <v/>
      </c>
    </row>
    <row r="136" customFormat="false" ht="15" hidden="false" customHeight="true" outlineLevel="0" collapsed="false">
      <c r="A136" s="11" t="str">
        <f aca="false">IF(B136&lt;&gt;"",COUNTA($B$4:B136),"")</f>
        <v/>
      </c>
      <c r="B136" s="12"/>
      <c r="C136" s="12"/>
      <c r="D136" s="12"/>
      <c r="E136" s="12"/>
      <c r="F136" s="12"/>
      <c r="G136" s="12"/>
      <c r="H136" s="12"/>
      <c r="I136" s="13"/>
      <c r="J136" s="12"/>
      <c r="K136" s="14" t="str">
        <f aca="false">IF(AND(I136&lt;&gt;"",H136&lt;&gt;"",J136&lt;&gt;""),IF(J136="W",I136*H136,IF(J136="L",-I136,IF(J136="P",I136*H136*0.5,""))),"")</f>
        <v/>
      </c>
      <c r="L136" s="15" t="str">
        <f aca="false">IF(AND(K136&lt;&gt;"",P135&lt;&gt;""),K136/P135,IF(K136&lt;&gt;"",K136/$D$2,""))</f>
        <v/>
      </c>
      <c r="M136" s="12"/>
      <c r="N136" s="12"/>
      <c r="O136" s="12"/>
      <c r="P136" s="16" t="str">
        <f aca="false">IF(K136&lt;&gt;"",P135+K136,IF(B136&lt;&gt;"",P135,""))</f>
        <v/>
      </c>
      <c r="Q136" s="17" t="str">
        <f aca="false">IF(P136&lt;&gt;"",MIN(0,P136-MAX($P$4:P136)),"")</f>
        <v/>
      </c>
    </row>
    <row r="137" customFormat="false" ht="15" hidden="false" customHeight="true" outlineLevel="0" collapsed="false">
      <c r="A137" s="11" t="str">
        <f aca="false">IF(B137&lt;&gt;"",COUNTA($B$4:B137),"")</f>
        <v/>
      </c>
      <c r="B137" s="20"/>
      <c r="C137" s="20"/>
      <c r="D137" s="20"/>
      <c r="E137" s="20"/>
      <c r="F137" s="20"/>
      <c r="G137" s="20"/>
      <c r="H137" s="20"/>
      <c r="I137" s="21"/>
      <c r="J137" s="20"/>
      <c r="K137" s="14" t="str">
        <f aca="false">IF(AND(I137&lt;&gt;"",H137&lt;&gt;"",J137&lt;&gt;""),IF(J137="W",I137*H137,IF(J137="L",-I137,IF(J137="P",I137*H137*0.5,""))),"")</f>
        <v/>
      </c>
      <c r="L137" s="15" t="str">
        <f aca="false">IF(AND(K137&lt;&gt;"",P136&lt;&gt;""),K137/P136,IF(K137&lt;&gt;"",K137/$D$2,""))</f>
        <v/>
      </c>
      <c r="M137" s="20"/>
      <c r="N137" s="20"/>
      <c r="O137" s="20"/>
      <c r="P137" s="16" t="str">
        <f aca="false">IF(K137&lt;&gt;"",P136+K137,IF(B137&lt;&gt;"",P136,""))</f>
        <v/>
      </c>
      <c r="Q137" s="17" t="str">
        <f aca="false">IF(P137&lt;&gt;"",MIN(0,P137-MAX($P$4:P137)),"")</f>
        <v/>
      </c>
    </row>
    <row r="138" customFormat="false" ht="15" hidden="false" customHeight="true" outlineLevel="0" collapsed="false">
      <c r="A138" s="11" t="str">
        <f aca="false">IF(B138&lt;&gt;"",COUNTA($B$4:B138),"")</f>
        <v/>
      </c>
      <c r="B138" s="12"/>
      <c r="C138" s="12"/>
      <c r="D138" s="12"/>
      <c r="E138" s="12"/>
      <c r="F138" s="12"/>
      <c r="G138" s="12"/>
      <c r="H138" s="12"/>
      <c r="I138" s="13"/>
      <c r="J138" s="12"/>
      <c r="K138" s="14" t="str">
        <f aca="false">IF(AND(I138&lt;&gt;"",H138&lt;&gt;"",J138&lt;&gt;""),IF(J138="W",I138*H138,IF(J138="L",-I138,IF(J138="P",I138*H138*0.5,""))),"")</f>
        <v/>
      </c>
      <c r="L138" s="15" t="str">
        <f aca="false">IF(AND(K138&lt;&gt;"",P137&lt;&gt;""),K138/P137,IF(K138&lt;&gt;"",K138/$D$2,""))</f>
        <v/>
      </c>
      <c r="M138" s="12"/>
      <c r="N138" s="12"/>
      <c r="O138" s="12"/>
      <c r="P138" s="16" t="str">
        <f aca="false">IF(K138&lt;&gt;"",P137+K138,IF(B138&lt;&gt;"",P137,""))</f>
        <v/>
      </c>
      <c r="Q138" s="17" t="str">
        <f aca="false">IF(P138&lt;&gt;"",MIN(0,P138-MAX($P$4:P138)),"")</f>
        <v/>
      </c>
    </row>
    <row r="139" customFormat="false" ht="15" hidden="false" customHeight="true" outlineLevel="0" collapsed="false">
      <c r="A139" s="11" t="str">
        <f aca="false">IF(B139&lt;&gt;"",COUNTA($B$4:B139),"")</f>
        <v/>
      </c>
      <c r="B139" s="20"/>
      <c r="C139" s="20"/>
      <c r="D139" s="20"/>
      <c r="E139" s="20"/>
      <c r="F139" s="20"/>
      <c r="G139" s="20"/>
      <c r="H139" s="20"/>
      <c r="I139" s="21"/>
      <c r="J139" s="20"/>
      <c r="K139" s="14" t="str">
        <f aca="false">IF(AND(I139&lt;&gt;"",H139&lt;&gt;"",J139&lt;&gt;""),IF(J139="W",I139*H139,IF(J139="L",-I139,IF(J139="P",I139*H139*0.5,""))),"")</f>
        <v/>
      </c>
      <c r="L139" s="15" t="str">
        <f aca="false">IF(AND(K139&lt;&gt;"",P138&lt;&gt;""),K139/P138,IF(K139&lt;&gt;"",K139/$D$2,""))</f>
        <v/>
      </c>
      <c r="M139" s="20"/>
      <c r="N139" s="20"/>
      <c r="O139" s="20"/>
      <c r="P139" s="16" t="str">
        <f aca="false">IF(K139&lt;&gt;"",P138+K139,IF(B139&lt;&gt;"",P138,""))</f>
        <v/>
      </c>
      <c r="Q139" s="17" t="str">
        <f aca="false">IF(P139&lt;&gt;"",MIN(0,P139-MAX($P$4:P139)),"")</f>
        <v/>
      </c>
    </row>
    <row r="140" customFormat="false" ht="15" hidden="false" customHeight="true" outlineLevel="0" collapsed="false">
      <c r="A140" s="11" t="str">
        <f aca="false">IF(B140&lt;&gt;"",COUNTA($B$4:B140),"")</f>
        <v/>
      </c>
      <c r="B140" s="12"/>
      <c r="C140" s="12"/>
      <c r="D140" s="12"/>
      <c r="E140" s="12"/>
      <c r="F140" s="12"/>
      <c r="G140" s="12"/>
      <c r="H140" s="12"/>
      <c r="I140" s="13"/>
      <c r="J140" s="12"/>
      <c r="K140" s="14" t="str">
        <f aca="false">IF(AND(I140&lt;&gt;"",H140&lt;&gt;"",J140&lt;&gt;""),IF(J140="W",I140*H140,IF(J140="L",-I140,IF(J140="P",I140*H140*0.5,""))),"")</f>
        <v/>
      </c>
      <c r="L140" s="15" t="str">
        <f aca="false">IF(AND(K140&lt;&gt;"",P139&lt;&gt;""),K140/P139,IF(K140&lt;&gt;"",K140/$D$2,""))</f>
        <v/>
      </c>
      <c r="M140" s="12"/>
      <c r="N140" s="12"/>
      <c r="O140" s="12"/>
      <c r="P140" s="16" t="str">
        <f aca="false">IF(K140&lt;&gt;"",P139+K140,IF(B140&lt;&gt;"",P139,""))</f>
        <v/>
      </c>
      <c r="Q140" s="17" t="str">
        <f aca="false">IF(P140&lt;&gt;"",MIN(0,P140-MAX($P$4:P140)),"")</f>
        <v/>
      </c>
    </row>
    <row r="141" customFormat="false" ht="15" hidden="false" customHeight="true" outlineLevel="0" collapsed="false">
      <c r="A141" s="11" t="str">
        <f aca="false">IF(B141&lt;&gt;"",COUNTA($B$4:B141),"")</f>
        <v/>
      </c>
      <c r="B141" s="20"/>
      <c r="C141" s="20"/>
      <c r="D141" s="20"/>
      <c r="E141" s="20"/>
      <c r="F141" s="20"/>
      <c r="G141" s="20"/>
      <c r="H141" s="20"/>
      <c r="I141" s="21"/>
      <c r="J141" s="20"/>
      <c r="K141" s="14" t="str">
        <f aca="false">IF(AND(I141&lt;&gt;"",H141&lt;&gt;"",J141&lt;&gt;""),IF(J141="W",I141*H141,IF(J141="L",-I141,IF(J141="P",I141*H141*0.5,""))),"")</f>
        <v/>
      </c>
      <c r="L141" s="15" t="str">
        <f aca="false">IF(AND(K141&lt;&gt;"",P140&lt;&gt;""),K141/P140,IF(K141&lt;&gt;"",K141/$D$2,""))</f>
        <v/>
      </c>
      <c r="M141" s="20"/>
      <c r="N141" s="20"/>
      <c r="O141" s="20"/>
      <c r="P141" s="16" t="str">
        <f aca="false">IF(K141&lt;&gt;"",P140+K141,IF(B141&lt;&gt;"",P140,""))</f>
        <v/>
      </c>
      <c r="Q141" s="17" t="str">
        <f aca="false">IF(P141&lt;&gt;"",MIN(0,P141-MAX($P$4:P141)),"")</f>
        <v/>
      </c>
    </row>
    <row r="142" customFormat="false" ht="15" hidden="false" customHeight="true" outlineLevel="0" collapsed="false">
      <c r="A142" s="11" t="str">
        <f aca="false">IF(B142&lt;&gt;"",COUNTA($B$4:B142),"")</f>
        <v/>
      </c>
      <c r="B142" s="12"/>
      <c r="C142" s="12"/>
      <c r="D142" s="12"/>
      <c r="E142" s="12"/>
      <c r="F142" s="12"/>
      <c r="G142" s="12"/>
      <c r="H142" s="12"/>
      <c r="I142" s="13"/>
      <c r="J142" s="12"/>
      <c r="K142" s="14" t="str">
        <f aca="false">IF(AND(I142&lt;&gt;"",H142&lt;&gt;"",J142&lt;&gt;""),IF(J142="W",I142*H142,IF(J142="L",-I142,IF(J142="P",I142*H142*0.5,""))),"")</f>
        <v/>
      </c>
      <c r="L142" s="15" t="str">
        <f aca="false">IF(AND(K142&lt;&gt;"",P141&lt;&gt;""),K142/P141,IF(K142&lt;&gt;"",K142/$D$2,""))</f>
        <v/>
      </c>
      <c r="M142" s="12"/>
      <c r="N142" s="12"/>
      <c r="O142" s="12"/>
      <c r="P142" s="16" t="str">
        <f aca="false">IF(K142&lt;&gt;"",P141+K142,IF(B142&lt;&gt;"",P141,""))</f>
        <v/>
      </c>
      <c r="Q142" s="17" t="str">
        <f aca="false">IF(P142&lt;&gt;"",MIN(0,P142-MAX($P$4:P142)),"")</f>
        <v/>
      </c>
    </row>
    <row r="143" customFormat="false" ht="15" hidden="false" customHeight="true" outlineLevel="0" collapsed="false">
      <c r="A143" s="11" t="str">
        <f aca="false">IF(B143&lt;&gt;"",COUNTA($B$4:B143),"")</f>
        <v/>
      </c>
      <c r="B143" s="20"/>
      <c r="C143" s="20"/>
      <c r="D143" s="20"/>
      <c r="E143" s="20"/>
      <c r="F143" s="20"/>
      <c r="G143" s="20"/>
      <c r="H143" s="20"/>
      <c r="I143" s="21"/>
      <c r="J143" s="20"/>
      <c r="K143" s="14" t="str">
        <f aca="false">IF(AND(I143&lt;&gt;"",H143&lt;&gt;"",J143&lt;&gt;""),IF(J143="W",I143*H143,IF(J143="L",-I143,IF(J143="P",I143*H143*0.5,""))),"")</f>
        <v/>
      </c>
      <c r="L143" s="15" t="str">
        <f aca="false">IF(AND(K143&lt;&gt;"",P142&lt;&gt;""),K143/P142,IF(K143&lt;&gt;"",K143/$D$2,""))</f>
        <v/>
      </c>
      <c r="M143" s="20"/>
      <c r="N143" s="20"/>
      <c r="O143" s="20"/>
      <c r="P143" s="16" t="str">
        <f aca="false">IF(K143&lt;&gt;"",P142+K143,IF(B143&lt;&gt;"",P142,""))</f>
        <v/>
      </c>
      <c r="Q143" s="17" t="str">
        <f aca="false">IF(P143&lt;&gt;"",MIN(0,P143-MAX($P$4:P143)),"")</f>
        <v/>
      </c>
    </row>
    <row r="144" customFormat="false" ht="15" hidden="false" customHeight="true" outlineLevel="0" collapsed="false">
      <c r="A144" s="11" t="str">
        <f aca="false">IF(B144&lt;&gt;"",COUNTA($B$4:B144),"")</f>
        <v/>
      </c>
      <c r="B144" s="12"/>
      <c r="C144" s="12"/>
      <c r="D144" s="12"/>
      <c r="E144" s="12"/>
      <c r="F144" s="12"/>
      <c r="G144" s="12"/>
      <c r="H144" s="12"/>
      <c r="I144" s="13"/>
      <c r="J144" s="12"/>
      <c r="K144" s="14" t="str">
        <f aca="false">IF(AND(I144&lt;&gt;"",H144&lt;&gt;"",J144&lt;&gt;""),IF(J144="W",I144*H144,IF(J144="L",-I144,IF(J144="P",I144*H144*0.5,""))),"")</f>
        <v/>
      </c>
      <c r="L144" s="15" t="str">
        <f aca="false">IF(AND(K144&lt;&gt;"",P143&lt;&gt;""),K144/P143,IF(K144&lt;&gt;"",K144/$D$2,""))</f>
        <v/>
      </c>
      <c r="M144" s="12"/>
      <c r="N144" s="12"/>
      <c r="O144" s="12"/>
      <c r="P144" s="16" t="str">
        <f aca="false">IF(K144&lt;&gt;"",P143+K144,IF(B144&lt;&gt;"",P143,""))</f>
        <v/>
      </c>
      <c r="Q144" s="17" t="str">
        <f aca="false">IF(P144&lt;&gt;"",MIN(0,P144-MAX($P$4:P144)),"")</f>
        <v/>
      </c>
    </row>
    <row r="145" customFormat="false" ht="15" hidden="false" customHeight="true" outlineLevel="0" collapsed="false">
      <c r="A145" s="11" t="str">
        <f aca="false">IF(B145&lt;&gt;"",COUNTA($B$4:B145),"")</f>
        <v/>
      </c>
      <c r="B145" s="20"/>
      <c r="C145" s="20"/>
      <c r="D145" s="20"/>
      <c r="E145" s="20"/>
      <c r="F145" s="20"/>
      <c r="G145" s="20"/>
      <c r="H145" s="20"/>
      <c r="I145" s="21"/>
      <c r="J145" s="20"/>
      <c r="K145" s="14" t="str">
        <f aca="false">IF(AND(I145&lt;&gt;"",H145&lt;&gt;"",J145&lt;&gt;""),IF(J145="W",I145*H145,IF(J145="L",-I145,IF(J145="P",I145*H145*0.5,""))),"")</f>
        <v/>
      </c>
      <c r="L145" s="15" t="str">
        <f aca="false">IF(AND(K145&lt;&gt;"",P144&lt;&gt;""),K145/P144,IF(K145&lt;&gt;"",K145/$D$2,""))</f>
        <v/>
      </c>
      <c r="M145" s="20"/>
      <c r="N145" s="20"/>
      <c r="O145" s="20"/>
      <c r="P145" s="16" t="str">
        <f aca="false">IF(K145&lt;&gt;"",P144+K145,IF(B145&lt;&gt;"",P144,""))</f>
        <v/>
      </c>
      <c r="Q145" s="17" t="str">
        <f aca="false">IF(P145&lt;&gt;"",MIN(0,P145-MAX($P$4:P145)),"")</f>
        <v/>
      </c>
    </row>
    <row r="146" customFormat="false" ht="15" hidden="false" customHeight="true" outlineLevel="0" collapsed="false">
      <c r="A146" s="11" t="str">
        <f aca="false">IF(B146&lt;&gt;"",COUNTA($B$4:B146),"")</f>
        <v/>
      </c>
      <c r="B146" s="12"/>
      <c r="C146" s="12"/>
      <c r="D146" s="12"/>
      <c r="E146" s="12"/>
      <c r="F146" s="12"/>
      <c r="G146" s="12"/>
      <c r="H146" s="12"/>
      <c r="I146" s="13"/>
      <c r="J146" s="12"/>
      <c r="K146" s="14" t="str">
        <f aca="false">IF(AND(I146&lt;&gt;"",H146&lt;&gt;"",J146&lt;&gt;""),IF(J146="W",I146*H146,IF(J146="L",-I146,IF(J146="P",I146*H146*0.5,""))),"")</f>
        <v/>
      </c>
      <c r="L146" s="15" t="str">
        <f aca="false">IF(AND(K146&lt;&gt;"",P145&lt;&gt;""),K146/P145,IF(K146&lt;&gt;"",K146/$D$2,""))</f>
        <v/>
      </c>
      <c r="M146" s="12"/>
      <c r="N146" s="12"/>
      <c r="O146" s="12"/>
      <c r="P146" s="16" t="str">
        <f aca="false">IF(K146&lt;&gt;"",P145+K146,IF(B146&lt;&gt;"",P145,""))</f>
        <v/>
      </c>
      <c r="Q146" s="17" t="str">
        <f aca="false">IF(P146&lt;&gt;"",MIN(0,P146-MAX($P$4:P146)),"")</f>
        <v/>
      </c>
    </row>
    <row r="147" customFormat="false" ht="15" hidden="false" customHeight="true" outlineLevel="0" collapsed="false">
      <c r="A147" s="11" t="str">
        <f aca="false">IF(B147&lt;&gt;"",COUNTA($B$4:B147),"")</f>
        <v/>
      </c>
      <c r="B147" s="20"/>
      <c r="C147" s="20"/>
      <c r="D147" s="20"/>
      <c r="E147" s="20"/>
      <c r="F147" s="20"/>
      <c r="G147" s="20"/>
      <c r="H147" s="20"/>
      <c r="I147" s="21"/>
      <c r="J147" s="20"/>
      <c r="K147" s="14" t="str">
        <f aca="false">IF(AND(I147&lt;&gt;"",H147&lt;&gt;"",J147&lt;&gt;""),IF(J147="W",I147*H147,IF(J147="L",-I147,IF(J147="P",I147*H147*0.5,""))),"")</f>
        <v/>
      </c>
      <c r="L147" s="15" t="str">
        <f aca="false">IF(AND(K147&lt;&gt;"",P146&lt;&gt;""),K147/P146,IF(K147&lt;&gt;"",K147/$D$2,""))</f>
        <v/>
      </c>
      <c r="M147" s="20"/>
      <c r="N147" s="20"/>
      <c r="O147" s="20"/>
      <c r="P147" s="16" t="str">
        <f aca="false">IF(K147&lt;&gt;"",P146+K147,IF(B147&lt;&gt;"",P146,""))</f>
        <v/>
      </c>
      <c r="Q147" s="17" t="str">
        <f aca="false">IF(P147&lt;&gt;"",MIN(0,P147-MAX($P$4:P147)),"")</f>
        <v/>
      </c>
    </row>
    <row r="148" customFormat="false" ht="15" hidden="false" customHeight="true" outlineLevel="0" collapsed="false">
      <c r="A148" s="11" t="str">
        <f aca="false">IF(B148&lt;&gt;"",COUNTA($B$4:B148),"")</f>
        <v/>
      </c>
      <c r="B148" s="12"/>
      <c r="C148" s="12"/>
      <c r="D148" s="12"/>
      <c r="E148" s="12"/>
      <c r="F148" s="12"/>
      <c r="G148" s="12"/>
      <c r="H148" s="12"/>
      <c r="I148" s="13"/>
      <c r="J148" s="12"/>
      <c r="K148" s="14" t="str">
        <f aca="false">IF(AND(I148&lt;&gt;"",H148&lt;&gt;"",J148&lt;&gt;""),IF(J148="W",I148*H148,IF(J148="L",-I148,IF(J148="P",I148*H148*0.5,""))),"")</f>
        <v/>
      </c>
      <c r="L148" s="15" t="str">
        <f aca="false">IF(AND(K148&lt;&gt;"",P147&lt;&gt;""),K148/P147,IF(K148&lt;&gt;"",K148/$D$2,""))</f>
        <v/>
      </c>
      <c r="M148" s="12"/>
      <c r="N148" s="12"/>
      <c r="O148" s="12"/>
      <c r="P148" s="16" t="str">
        <f aca="false">IF(K148&lt;&gt;"",P147+K148,IF(B148&lt;&gt;"",P147,""))</f>
        <v/>
      </c>
      <c r="Q148" s="17" t="str">
        <f aca="false">IF(P148&lt;&gt;"",MIN(0,P148-MAX($P$4:P148)),"")</f>
        <v/>
      </c>
    </row>
    <row r="149" customFormat="false" ht="15" hidden="false" customHeight="true" outlineLevel="0" collapsed="false">
      <c r="A149" s="11" t="str">
        <f aca="false">IF(B149&lt;&gt;"",COUNTA($B$4:B149),"")</f>
        <v/>
      </c>
      <c r="B149" s="20"/>
      <c r="C149" s="20"/>
      <c r="D149" s="20"/>
      <c r="E149" s="20"/>
      <c r="F149" s="20"/>
      <c r="G149" s="20"/>
      <c r="H149" s="20"/>
      <c r="I149" s="21"/>
      <c r="J149" s="20"/>
      <c r="K149" s="14" t="str">
        <f aca="false">IF(AND(I149&lt;&gt;"",H149&lt;&gt;"",J149&lt;&gt;""),IF(J149="W",I149*H149,IF(J149="L",-I149,IF(J149="P",I149*H149*0.5,""))),"")</f>
        <v/>
      </c>
      <c r="L149" s="15" t="str">
        <f aca="false">IF(AND(K149&lt;&gt;"",P148&lt;&gt;""),K149/P148,IF(K149&lt;&gt;"",K149/$D$2,""))</f>
        <v/>
      </c>
      <c r="M149" s="20"/>
      <c r="N149" s="20"/>
      <c r="O149" s="20"/>
      <c r="P149" s="16" t="str">
        <f aca="false">IF(K149&lt;&gt;"",P148+K149,IF(B149&lt;&gt;"",P148,""))</f>
        <v/>
      </c>
      <c r="Q149" s="17" t="str">
        <f aca="false">IF(P149&lt;&gt;"",MIN(0,P149-MAX($P$4:P149)),"")</f>
        <v/>
      </c>
    </row>
    <row r="150" customFormat="false" ht="15" hidden="false" customHeight="true" outlineLevel="0" collapsed="false">
      <c r="A150" s="11" t="str">
        <f aca="false">IF(B150&lt;&gt;"",COUNTA($B$4:B150),"")</f>
        <v/>
      </c>
      <c r="B150" s="12"/>
      <c r="C150" s="12"/>
      <c r="D150" s="12"/>
      <c r="E150" s="12"/>
      <c r="F150" s="12"/>
      <c r="G150" s="12"/>
      <c r="H150" s="12"/>
      <c r="I150" s="13"/>
      <c r="J150" s="12"/>
      <c r="K150" s="14" t="str">
        <f aca="false">IF(AND(I150&lt;&gt;"",H150&lt;&gt;"",J150&lt;&gt;""),IF(J150="W",I150*H150,IF(J150="L",-I150,IF(J150="P",I150*H150*0.5,""))),"")</f>
        <v/>
      </c>
      <c r="L150" s="15" t="str">
        <f aca="false">IF(AND(K150&lt;&gt;"",P149&lt;&gt;""),K150/P149,IF(K150&lt;&gt;"",K150/$D$2,""))</f>
        <v/>
      </c>
      <c r="M150" s="12"/>
      <c r="N150" s="12"/>
      <c r="O150" s="12"/>
      <c r="P150" s="16" t="str">
        <f aca="false">IF(K150&lt;&gt;"",P149+K150,IF(B150&lt;&gt;"",P149,""))</f>
        <v/>
      </c>
      <c r="Q150" s="17" t="str">
        <f aca="false">IF(P150&lt;&gt;"",MIN(0,P150-MAX($P$4:P150)),"")</f>
        <v/>
      </c>
    </row>
    <row r="151" customFormat="false" ht="15" hidden="false" customHeight="true" outlineLevel="0" collapsed="false">
      <c r="A151" s="11" t="str">
        <f aca="false">IF(B151&lt;&gt;"",COUNTA($B$4:B151),"")</f>
        <v/>
      </c>
      <c r="B151" s="20"/>
      <c r="C151" s="20"/>
      <c r="D151" s="20"/>
      <c r="E151" s="20"/>
      <c r="F151" s="20"/>
      <c r="G151" s="20"/>
      <c r="H151" s="20"/>
      <c r="I151" s="21"/>
      <c r="J151" s="20"/>
      <c r="K151" s="14" t="str">
        <f aca="false">IF(AND(I151&lt;&gt;"",H151&lt;&gt;"",J151&lt;&gt;""),IF(J151="W",I151*H151,IF(J151="L",-I151,IF(J151="P",I151*H151*0.5,""))),"")</f>
        <v/>
      </c>
      <c r="L151" s="15" t="str">
        <f aca="false">IF(AND(K151&lt;&gt;"",P150&lt;&gt;""),K151/P150,IF(K151&lt;&gt;"",K151/$D$2,""))</f>
        <v/>
      </c>
      <c r="M151" s="20"/>
      <c r="N151" s="20"/>
      <c r="O151" s="20"/>
      <c r="P151" s="16" t="str">
        <f aca="false">IF(K151&lt;&gt;"",P150+K151,IF(B151&lt;&gt;"",P150,""))</f>
        <v/>
      </c>
      <c r="Q151" s="17" t="str">
        <f aca="false">IF(P151&lt;&gt;"",MIN(0,P151-MAX($P$4:P151)),"")</f>
        <v/>
      </c>
    </row>
    <row r="152" customFormat="false" ht="15" hidden="false" customHeight="true" outlineLevel="0" collapsed="false">
      <c r="A152" s="11" t="str">
        <f aca="false">IF(B152&lt;&gt;"",COUNTA($B$4:B152),"")</f>
        <v/>
      </c>
      <c r="B152" s="12"/>
      <c r="C152" s="12"/>
      <c r="D152" s="12"/>
      <c r="E152" s="12"/>
      <c r="F152" s="12"/>
      <c r="G152" s="12"/>
      <c r="H152" s="12"/>
      <c r="I152" s="13"/>
      <c r="J152" s="12"/>
      <c r="K152" s="14" t="str">
        <f aca="false">IF(AND(I152&lt;&gt;"",H152&lt;&gt;"",J152&lt;&gt;""),IF(J152="W",I152*H152,IF(J152="L",-I152,IF(J152="P",I152*H152*0.5,""))),"")</f>
        <v/>
      </c>
      <c r="L152" s="15" t="str">
        <f aca="false">IF(AND(K152&lt;&gt;"",P151&lt;&gt;""),K152/P151,IF(K152&lt;&gt;"",K152/$D$2,""))</f>
        <v/>
      </c>
      <c r="M152" s="12"/>
      <c r="N152" s="12"/>
      <c r="O152" s="12"/>
      <c r="P152" s="16" t="str">
        <f aca="false">IF(K152&lt;&gt;"",P151+K152,IF(B152&lt;&gt;"",P151,""))</f>
        <v/>
      </c>
      <c r="Q152" s="17" t="str">
        <f aca="false">IF(P152&lt;&gt;"",MIN(0,P152-MAX($P$4:P152)),"")</f>
        <v/>
      </c>
    </row>
    <row r="153" customFormat="false" ht="15" hidden="false" customHeight="true" outlineLevel="0" collapsed="false">
      <c r="A153" s="11" t="str">
        <f aca="false">IF(B153&lt;&gt;"",COUNTA($B$4:B153),"")</f>
        <v/>
      </c>
      <c r="B153" s="20"/>
      <c r="C153" s="20"/>
      <c r="D153" s="20"/>
      <c r="E153" s="20"/>
      <c r="F153" s="20"/>
      <c r="G153" s="20"/>
      <c r="H153" s="20"/>
      <c r="I153" s="21"/>
      <c r="J153" s="20"/>
      <c r="K153" s="14" t="str">
        <f aca="false">IF(AND(I153&lt;&gt;"",H153&lt;&gt;"",J153&lt;&gt;""),IF(J153="W",I153*H153,IF(J153="L",-I153,IF(J153="P",I153*H153*0.5,""))),"")</f>
        <v/>
      </c>
      <c r="L153" s="15" t="str">
        <f aca="false">IF(AND(K153&lt;&gt;"",P152&lt;&gt;""),K153/P152,IF(K153&lt;&gt;"",K153/$D$2,""))</f>
        <v/>
      </c>
      <c r="M153" s="20"/>
      <c r="N153" s="20"/>
      <c r="O153" s="20"/>
      <c r="P153" s="16" t="str">
        <f aca="false">IF(K153&lt;&gt;"",P152+K153,IF(B153&lt;&gt;"",P152,""))</f>
        <v/>
      </c>
      <c r="Q153" s="17" t="str">
        <f aca="false">IF(P153&lt;&gt;"",MIN(0,P153-MAX($P$4:P153)),"")</f>
        <v/>
      </c>
    </row>
    <row r="154" customFormat="false" ht="15" hidden="false" customHeight="true" outlineLevel="0" collapsed="false">
      <c r="A154" s="11" t="str">
        <f aca="false">IF(B154&lt;&gt;"",COUNTA($B$4:B154),"")</f>
        <v/>
      </c>
      <c r="B154" s="12"/>
      <c r="C154" s="12"/>
      <c r="D154" s="12"/>
      <c r="E154" s="12"/>
      <c r="F154" s="12"/>
      <c r="G154" s="12"/>
      <c r="H154" s="12"/>
      <c r="I154" s="13"/>
      <c r="J154" s="12"/>
      <c r="K154" s="14" t="str">
        <f aca="false">IF(AND(I154&lt;&gt;"",H154&lt;&gt;"",J154&lt;&gt;""),IF(J154="W",I154*H154,IF(J154="L",-I154,IF(J154="P",I154*H154*0.5,""))),"")</f>
        <v/>
      </c>
      <c r="L154" s="15" t="str">
        <f aca="false">IF(AND(K154&lt;&gt;"",P153&lt;&gt;""),K154/P153,IF(K154&lt;&gt;"",K154/$D$2,""))</f>
        <v/>
      </c>
      <c r="M154" s="12"/>
      <c r="N154" s="12"/>
      <c r="O154" s="12"/>
      <c r="P154" s="16" t="str">
        <f aca="false">IF(K154&lt;&gt;"",P153+K154,IF(B154&lt;&gt;"",P153,""))</f>
        <v/>
      </c>
      <c r="Q154" s="17" t="str">
        <f aca="false">IF(P154&lt;&gt;"",MIN(0,P154-MAX($P$4:P154)),"")</f>
        <v/>
      </c>
    </row>
    <row r="155" customFormat="false" ht="15" hidden="false" customHeight="true" outlineLevel="0" collapsed="false">
      <c r="A155" s="11" t="str">
        <f aca="false">IF(B155&lt;&gt;"",COUNTA($B$4:B155),"")</f>
        <v/>
      </c>
      <c r="B155" s="20"/>
      <c r="C155" s="20"/>
      <c r="D155" s="20"/>
      <c r="E155" s="20"/>
      <c r="F155" s="20"/>
      <c r="G155" s="20"/>
      <c r="H155" s="20"/>
      <c r="I155" s="21"/>
      <c r="J155" s="20"/>
      <c r="K155" s="14" t="str">
        <f aca="false">IF(AND(I155&lt;&gt;"",H155&lt;&gt;"",J155&lt;&gt;""),IF(J155="W",I155*H155,IF(J155="L",-I155,IF(J155="P",I155*H155*0.5,""))),"")</f>
        <v/>
      </c>
      <c r="L155" s="15" t="str">
        <f aca="false">IF(AND(K155&lt;&gt;"",P154&lt;&gt;""),K155/P154,IF(K155&lt;&gt;"",K155/$D$2,""))</f>
        <v/>
      </c>
      <c r="M155" s="20"/>
      <c r="N155" s="20"/>
      <c r="O155" s="20"/>
      <c r="P155" s="16" t="str">
        <f aca="false">IF(K155&lt;&gt;"",P154+K155,IF(B155&lt;&gt;"",P154,""))</f>
        <v/>
      </c>
      <c r="Q155" s="17" t="str">
        <f aca="false">IF(P155&lt;&gt;"",MIN(0,P155-MAX($P$4:P155)),"")</f>
        <v/>
      </c>
    </row>
    <row r="156" customFormat="false" ht="15" hidden="false" customHeight="true" outlineLevel="0" collapsed="false">
      <c r="A156" s="11" t="str">
        <f aca="false">IF(B156&lt;&gt;"",COUNTA($B$4:B156),"")</f>
        <v/>
      </c>
      <c r="B156" s="12"/>
      <c r="C156" s="12"/>
      <c r="D156" s="12"/>
      <c r="E156" s="12"/>
      <c r="F156" s="12"/>
      <c r="G156" s="12"/>
      <c r="H156" s="12"/>
      <c r="I156" s="13"/>
      <c r="J156" s="12"/>
      <c r="K156" s="14" t="str">
        <f aca="false">IF(AND(I156&lt;&gt;"",H156&lt;&gt;"",J156&lt;&gt;""),IF(J156="W",I156*H156,IF(J156="L",-I156,IF(J156="P",I156*H156*0.5,""))),"")</f>
        <v/>
      </c>
      <c r="L156" s="15" t="str">
        <f aca="false">IF(AND(K156&lt;&gt;"",P155&lt;&gt;""),K156/P155,IF(K156&lt;&gt;"",K156/$D$2,""))</f>
        <v/>
      </c>
      <c r="M156" s="12"/>
      <c r="N156" s="12"/>
      <c r="O156" s="12"/>
      <c r="P156" s="16" t="str">
        <f aca="false">IF(K156&lt;&gt;"",P155+K156,IF(B156&lt;&gt;"",P155,""))</f>
        <v/>
      </c>
      <c r="Q156" s="17" t="str">
        <f aca="false">IF(P156&lt;&gt;"",MIN(0,P156-MAX($P$4:P156)),"")</f>
        <v/>
      </c>
    </row>
    <row r="157" customFormat="false" ht="15" hidden="false" customHeight="true" outlineLevel="0" collapsed="false">
      <c r="A157" s="11" t="str">
        <f aca="false">IF(B157&lt;&gt;"",COUNTA($B$4:B157),"")</f>
        <v/>
      </c>
      <c r="B157" s="20"/>
      <c r="C157" s="20"/>
      <c r="D157" s="20"/>
      <c r="E157" s="20"/>
      <c r="F157" s="20"/>
      <c r="G157" s="20"/>
      <c r="H157" s="20"/>
      <c r="I157" s="21"/>
      <c r="J157" s="20"/>
      <c r="K157" s="14" t="str">
        <f aca="false">IF(AND(I157&lt;&gt;"",H157&lt;&gt;"",J157&lt;&gt;""),IF(J157="W",I157*H157,IF(J157="L",-I157,IF(J157="P",I157*H157*0.5,""))),"")</f>
        <v/>
      </c>
      <c r="L157" s="15" t="str">
        <f aca="false">IF(AND(K157&lt;&gt;"",P156&lt;&gt;""),K157/P156,IF(K157&lt;&gt;"",K157/$D$2,""))</f>
        <v/>
      </c>
      <c r="M157" s="20"/>
      <c r="N157" s="20"/>
      <c r="O157" s="20"/>
      <c r="P157" s="16" t="str">
        <f aca="false">IF(K157&lt;&gt;"",P156+K157,IF(B157&lt;&gt;"",P156,""))</f>
        <v/>
      </c>
      <c r="Q157" s="17" t="str">
        <f aca="false">IF(P157&lt;&gt;"",MIN(0,P157-MAX($P$4:P157)),"")</f>
        <v/>
      </c>
    </row>
    <row r="158" customFormat="false" ht="15" hidden="false" customHeight="true" outlineLevel="0" collapsed="false">
      <c r="A158" s="11" t="str">
        <f aca="false">IF(B158&lt;&gt;"",COUNTA($B$4:B158),"")</f>
        <v/>
      </c>
      <c r="B158" s="12"/>
      <c r="C158" s="12"/>
      <c r="D158" s="12"/>
      <c r="E158" s="12"/>
      <c r="F158" s="12"/>
      <c r="G158" s="12"/>
      <c r="H158" s="12"/>
      <c r="I158" s="13"/>
      <c r="J158" s="12"/>
      <c r="K158" s="14" t="str">
        <f aca="false">IF(AND(I158&lt;&gt;"",H158&lt;&gt;"",J158&lt;&gt;""),IF(J158="W",I158*H158,IF(J158="L",-I158,IF(J158="P",I158*H158*0.5,""))),"")</f>
        <v/>
      </c>
      <c r="L158" s="15" t="str">
        <f aca="false">IF(AND(K158&lt;&gt;"",P157&lt;&gt;""),K158/P157,IF(K158&lt;&gt;"",K158/$D$2,""))</f>
        <v/>
      </c>
      <c r="M158" s="12"/>
      <c r="N158" s="12"/>
      <c r="O158" s="12"/>
      <c r="P158" s="16" t="str">
        <f aca="false">IF(K158&lt;&gt;"",P157+K158,IF(B158&lt;&gt;"",P157,""))</f>
        <v/>
      </c>
      <c r="Q158" s="17" t="str">
        <f aca="false">IF(P158&lt;&gt;"",MIN(0,P158-MAX($P$4:P158)),"")</f>
        <v/>
      </c>
    </row>
    <row r="159" customFormat="false" ht="15" hidden="false" customHeight="true" outlineLevel="0" collapsed="false">
      <c r="A159" s="11" t="str">
        <f aca="false">IF(B159&lt;&gt;"",COUNTA($B$4:B159),"")</f>
        <v/>
      </c>
      <c r="B159" s="20"/>
      <c r="C159" s="20"/>
      <c r="D159" s="20"/>
      <c r="E159" s="20"/>
      <c r="F159" s="20"/>
      <c r="G159" s="20"/>
      <c r="H159" s="20"/>
      <c r="I159" s="21"/>
      <c r="J159" s="20"/>
      <c r="K159" s="14" t="str">
        <f aca="false">IF(AND(I159&lt;&gt;"",H159&lt;&gt;"",J159&lt;&gt;""),IF(J159="W",I159*H159,IF(J159="L",-I159,IF(J159="P",I159*H159*0.5,""))),"")</f>
        <v/>
      </c>
      <c r="L159" s="15" t="str">
        <f aca="false">IF(AND(K159&lt;&gt;"",P158&lt;&gt;""),K159/P158,IF(K159&lt;&gt;"",K159/$D$2,""))</f>
        <v/>
      </c>
      <c r="M159" s="20"/>
      <c r="N159" s="20"/>
      <c r="O159" s="20"/>
      <c r="P159" s="16" t="str">
        <f aca="false">IF(K159&lt;&gt;"",P158+K159,IF(B159&lt;&gt;"",P158,""))</f>
        <v/>
      </c>
      <c r="Q159" s="17" t="str">
        <f aca="false">IF(P159&lt;&gt;"",MIN(0,P159-MAX($P$4:P159)),"")</f>
        <v/>
      </c>
    </row>
    <row r="160" customFormat="false" ht="15" hidden="false" customHeight="true" outlineLevel="0" collapsed="false">
      <c r="A160" s="11" t="str">
        <f aca="false">IF(B160&lt;&gt;"",COUNTA($B$4:B160),"")</f>
        <v/>
      </c>
      <c r="B160" s="12"/>
      <c r="C160" s="12"/>
      <c r="D160" s="12"/>
      <c r="E160" s="12"/>
      <c r="F160" s="12"/>
      <c r="G160" s="12"/>
      <c r="H160" s="12"/>
      <c r="I160" s="13"/>
      <c r="J160" s="12"/>
      <c r="K160" s="14" t="str">
        <f aca="false">IF(AND(I160&lt;&gt;"",H160&lt;&gt;"",J160&lt;&gt;""),IF(J160="W",I160*H160,IF(J160="L",-I160,IF(J160="P",I160*H160*0.5,""))),"")</f>
        <v/>
      </c>
      <c r="L160" s="15" t="str">
        <f aca="false">IF(AND(K160&lt;&gt;"",P159&lt;&gt;""),K160/P159,IF(K160&lt;&gt;"",K160/$D$2,""))</f>
        <v/>
      </c>
      <c r="M160" s="12"/>
      <c r="N160" s="12"/>
      <c r="O160" s="12"/>
      <c r="P160" s="16" t="str">
        <f aca="false">IF(K160&lt;&gt;"",P159+K160,IF(B160&lt;&gt;"",P159,""))</f>
        <v/>
      </c>
      <c r="Q160" s="17" t="str">
        <f aca="false">IF(P160&lt;&gt;"",MIN(0,P160-MAX($P$4:P160)),"")</f>
        <v/>
      </c>
    </row>
    <row r="161" customFormat="false" ht="15" hidden="false" customHeight="true" outlineLevel="0" collapsed="false">
      <c r="A161" s="11" t="str">
        <f aca="false">IF(B161&lt;&gt;"",COUNTA($B$4:B161),"")</f>
        <v/>
      </c>
      <c r="B161" s="20"/>
      <c r="C161" s="20"/>
      <c r="D161" s="20"/>
      <c r="E161" s="20"/>
      <c r="F161" s="20"/>
      <c r="G161" s="20"/>
      <c r="H161" s="20"/>
      <c r="I161" s="21"/>
      <c r="J161" s="20"/>
      <c r="K161" s="14" t="str">
        <f aca="false">IF(AND(I161&lt;&gt;"",H161&lt;&gt;"",J161&lt;&gt;""),IF(J161="W",I161*H161,IF(J161="L",-I161,IF(J161="P",I161*H161*0.5,""))),"")</f>
        <v/>
      </c>
      <c r="L161" s="15" t="str">
        <f aca="false">IF(AND(K161&lt;&gt;"",P160&lt;&gt;""),K161/P160,IF(K161&lt;&gt;"",K161/$D$2,""))</f>
        <v/>
      </c>
      <c r="M161" s="20"/>
      <c r="N161" s="20"/>
      <c r="O161" s="20"/>
      <c r="P161" s="16" t="str">
        <f aca="false">IF(K161&lt;&gt;"",P160+K161,IF(B161&lt;&gt;"",P160,""))</f>
        <v/>
      </c>
      <c r="Q161" s="17" t="str">
        <f aca="false">IF(P161&lt;&gt;"",MIN(0,P161-MAX($P$4:P161)),"")</f>
        <v/>
      </c>
    </row>
    <row r="162" customFormat="false" ht="15" hidden="false" customHeight="true" outlineLevel="0" collapsed="false">
      <c r="A162" s="11" t="str">
        <f aca="false">IF(B162&lt;&gt;"",COUNTA($B$4:B162),"")</f>
        <v/>
      </c>
      <c r="B162" s="12"/>
      <c r="C162" s="12"/>
      <c r="D162" s="12"/>
      <c r="E162" s="12"/>
      <c r="F162" s="12"/>
      <c r="G162" s="12"/>
      <c r="H162" s="12"/>
      <c r="I162" s="13"/>
      <c r="J162" s="12"/>
      <c r="K162" s="14" t="str">
        <f aca="false">IF(AND(I162&lt;&gt;"",H162&lt;&gt;"",J162&lt;&gt;""),IF(J162="W",I162*H162,IF(J162="L",-I162,IF(J162="P",I162*H162*0.5,""))),"")</f>
        <v/>
      </c>
      <c r="L162" s="15" t="str">
        <f aca="false">IF(AND(K162&lt;&gt;"",P161&lt;&gt;""),K162/P161,IF(K162&lt;&gt;"",K162/$D$2,""))</f>
        <v/>
      </c>
      <c r="M162" s="12"/>
      <c r="N162" s="12"/>
      <c r="O162" s="12"/>
      <c r="P162" s="16" t="str">
        <f aca="false">IF(K162&lt;&gt;"",P161+K162,IF(B162&lt;&gt;"",P161,""))</f>
        <v/>
      </c>
      <c r="Q162" s="17" t="str">
        <f aca="false">IF(P162&lt;&gt;"",MIN(0,P162-MAX($P$4:P162)),"")</f>
        <v/>
      </c>
    </row>
    <row r="163" customFormat="false" ht="15" hidden="false" customHeight="true" outlineLevel="0" collapsed="false">
      <c r="A163" s="11" t="str">
        <f aca="false">IF(B163&lt;&gt;"",COUNTA($B$4:B163),"")</f>
        <v/>
      </c>
      <c r="B163" s="20"/>
      <c r="C163" s="20"/>
      <c r="D163" s="20"/>
      <c r="E163" s="20"/>
      <c r="F163" s="20"/>
      <c r="G163" s="20"/>
      <c r="H163" s="20"/>
      <c r="I163" s="21"/>
      <c r="J163" s="20"/>
      <c r="K163" s="14" t="str">
        <f aca="false">IF(AND(I163&lt;&gt;"",H163&lt;&gt;"",J163&lt;&gt;""),IF(J163="W",I163*H163,IF(J163="L",-I163,IF(J163="P",I163*H163*0.5,""))),"")</f>
        <v/>
      </c>
      <c r="L163" s="15" t="str">
        <f aca="false">IF(AND(K163&lt;&gt;"",P162&lt;&gt;""),K163/P162,IF(K163&lt;&gt;"",K163/$D$2,""))</f>
        <v/>
      </c>
      <c r="M163" s="20"/>
      <c r="N163" s="20"/>
      <c r="O163" s="20"/>
      <c r="P163" s="16" t="str">
        <f aca="false">IF(K163&lt;&gt;"",P162+K163,IF(B163&lt;&gt;"",P162,""))</f>
        <v/>
      </c>
      <c r="Q163" s="17" t="str">
        <f aca="false">IF(P163&lt;&gt;"",MIN(0,P163-MAX($P$4:P163)),"")</f>
        <v/>
      </c>
    </row>
    <row r="164" customFormat="false" ht="15" hidden="false" customHeight="true" outlineLevel="0" collapsed="false">
      <c r="A164" s="11" t="str">
        <f aca="false">IF(B164&lt;&gt;"",COUNTA($B$4:B164),"")</f>
        <v/>
      </c>
      <c r="B164" s="12"/>
      <c r="C164" s="12"/>
      <c r="D164" s="12"/>
      <c r="E164" s="12"/>
      <c r="F164" s="12"/>
      <c r="G164" s="12"/>
      <c r="H164" s="12"/>
      <c r="I164" s="13"/>
      <c r="J164" s="12"/>
      <c r="K164" s="14" t="str">
        <f aca="false">IF(AND(I164&lt;&gt;"",H164&lt;&gt;"",J164&lt;&gt;""),IF(J164="W",I164*H164,IF(J164="L",-I164,IF(J164="P",I164*H164*0.5,""))),"")</f>
        <v/>
      </c>
      <c r="L164" s="15" t="str">
        <f aca="false">IF(AND(K164&lt;&gt;"",P163&lt;&gt;""),K164/P163,IF(K164&lt;&gt;"",K164/$D$2,""))</f>
        <v/>
      </c>
      <c r="M164" s="12"/>
      <c r="N164" s="12"/>
      <c r="O164" s="12"/>
      <c r="P164" s="16" t="str">
        <f aca="false">IF(K164&lt;&gt;"",P163+K164,IF(B164&lt;&gt;"",P163,""))</f>
        <v/>
      </c>
      <c r="Q164" s="17" t="str">
        <f aca="false">IF(P164&lt;&gt;"",MIN(0,P164-MAX($P$4:P164)),"")</f>
        <v/>
      </c>
    </row>
    <row r="165" customFormat="false" ht="15" hidden="false" customHeight="true" outlineLevel="0" collapsed="false">
      <c r="A165" s="11" t="str">
        <f aca="false">IF(B165&lt;&gt;"",COUNTA($B$4:B165),"")</f>
        <v/>
      </c>
      <c r="B165" s="20"/>
      <c r="C165" s="20"/>
      <c r="D165" s="20"/>
      <c r="E165" s="20"/>
      <c r="F165" s="20"/>
      <c r="G165" s="20"/>
      <c r="H165" s="20"/>
      <c r="I165" s="21"/>
      <c r="J165" s="20"/>
      <c r="K165" s="14" t="str">
        <f aca="false">IF(AND(I165&lt;&gt;"",H165&lt;&gt;"",J165&lt;&gt;""),IF(J165="W",I165*H165,IF(J165="L",-I165,IF(J165="P",I165*H165*0.5,""))),"")</f>
        <v/>
      </c>
      <c r="L165" s="15" t="str">
        <f aca="false">IF(AND(K165&lt;&gt;"",P164&lt;&gt;""),K165/P164,IF(K165&lt;&gt;"",K165/$D$2,""))</f>
        <v/>
      </c>
      <c r="M165" s="20"/>
      <c r="N165" s="20"/>
      <c r="O165" s="20"/>
      <c r="P165" s="16" t="str">
        <f aca="false">IF(K165&lt;&gt;"",P164+K165,IF(B165&lt;&gt;"",P164,""))</f>
        <v/>
      </c>
      <c r="Q165" s="17" t="str">
        <f aca="false">IF(P165&lt;&gt;"",MIN(0,P165-MAX($P$4:P165)),"")</f>
        <v/>
      </c>
    </row>
    <row r="166" customFormat="false" ht="15" hidden="false" customHeight="true" outlineLevel="0" collapsed="false">
      <c r="A166" s="11" t="str">
        <f aca="false">IF(B166&lt;&gt;"",COUNTA($B$4:B166),"")</f>
        <v/>
      </c>
      <c r="B166" s="12"/>
      <c r="C166" s="12"/>
      <c r="D166" s="12"/>
      <c r="E166" s="12"/>
      <c r="F166" s="12"/>
      <c r="G166" s="12"/>
      <c r="H166" s="12"/>
      <c r="I166" s="13"/>
      <c r="J166" s="12"/>
      <c r="K166" s="14" t="str">
        <f aca="false">IF(AND(I166&lt;&gt;"",H166&lt;&gt;"",J166&lt;&gt;""),IF(J166="W",I166*H166,IF(J166="L",-I166,IF(J166="P",I166*H166*0.5,""))),"")</f>
        <v/>
      </c>
      <c r="L166" s="15" t="str">
        <f aca="false">IF(AND(K166&lt;&gt;"",P165&lt;&gt;""),K166/P165,IF(K166&lt;&gt;"",K166/$D$2,""))</f>
        <v/>
      </c>
      <c r="M166" s="12"/>
      <c r="N166" s="12"/>
      <c r="O166" s="12"/>
      <c r="P166" s="16" t="str">
        <f aca="false">IF(K166&lt;&gt;"",P165+K166,IF(B166&lt;&gt;"",P165,""))</f>
        <v/>
      </c>
      <c r="Q166" s="17" t="str">
        <f aca="false">IF(P166&lt;&gt;"",MIN(0,P166-MAX($P$4:P166)),"")</f>
        <v/>
      </c>
    </row>
    <row r="167" customFormat="false" ht="15" hidden="false" customHeight="true" outlineLevel="0" collapsed="false">
      <c r="A167" s="11" t="str">
        <f aca="false">IF(B167&lt;&gt;"",COUNTA($B$4:B167),"")</f>
        <v/>
      </c>
      <c r="B167" s="20"/>
      <c r="C167" s="20"/>
      <c r="D167" s="20"/>
      <c r="E167" s="20"/>
      <c r="F167" s="20"/>
      <c r="G167" s="20"/>
      <c r="H167" s="20"/>
      <c r="I167" s="21"/>
      <c r="J167" s="20"/>
      <c r="K167" s="14" t="str">
        <f aca="false">IF(AND(I167&lt;&gt;"",H167&lt;&gt;"",J167&lt;&gt;""),IF(J167="W",I167*H167,IF(J167="L",-I167,IF(J167="P",I167*H167*0.5,""))),"")</f>
        <v/>
      </c>
      <c r="L167" s="15" t="str">
        <f aca="false">IF(AND(K167&lt;&gt;"",P166&lt;&gt;""),K167/P166,IF(K167&lt;&gt;"",K167/$D$2,""))</f>
        <v/>
      </c>
      <c r="M167" s="20"/>
      <c r="N167" s="20"/>
      <c r="O167" s="20"/>
      <c r="P167" s="16" t="str">
        <f aca="false">IF(K167&lt;&gt;"",P166+K167,IF(B167&lt;&gt;"",P166,""))</f>
        <v/>
      </c>
      <c r="Q167" s="17" t="str">
        <f aca="false">IF(P167&lt;&gt;"",MIN(0,P167-MAX($P$4:P167)),"")</f>
        <v/>
      </c>
    </row>
    <row r="168" customFormat="false" ht="15" hidden="false" customHeight="true" outlineLevel="0" collapsed="false">
      <c r="A168" s="11" t="str">
        <f aca="false">IF(B168&lt;&gt;"",COUNTA($B$4:B168),"")</f>
        <v/>
      </c>
      <c r="B168" s="12"/>
      <c r="C168" s="12"/>
      <c r="D168" s="12"/>
      <c r="E168" s="12"/>
      <c r="F168" s="12"/>
      <c r="G168" s="12"/>
      <c r="H168" s="12"/>
      <c r="I168" s="13"/>
      <c r="J168" s="12"/>
      <c r="K168" s="14" t="str">
        <f aca="false">IF(AND(I168&lt;&gt;"",H168&lt;&gt;"",J168&lt;&gt;""),IF(J168="W",I168*H168,IF(J168="L",-I168,IF(J168="P",I168*H168*0.5,""))),"")</f>
        <v/>
      </c>
      <c r="L168" s="15" t="str">
        <f aca="false">IF(AND(K168&lt;&gt;"",P167&lt;&gt;""),K168/P167,IF(K168&lt;&gt;"",K168/$D$2,""))</f>
        <v/>
      </c>
      <c r="M168" s="12"/>
      <c r="N168" s="12"/>
      <c r="O168" s="12"/>
      <c r="P168" s="16" t="str">
        <f aca="false">IF(K168&lt;&gt;"",P167+K168,IF(B168&lt;&gt;"",P167,""))</f>
        <v/>
      </c>
      <c r="Q168" s="17" t="str">
        <f aca="false">IF(P168&lt;&gt;"",MIN(0,P168-MAX($P$4:P168)),"")</f>
        <v/>
      </c>
    </row>
    <row r="169" customFormat="false" ht="15" hidden="false" customHeight="true" outlineLevel="0" collapsed="false">
      <c r="A169" s="11" t="str">
        <f aca="false">IF(B169&lt;&gt;"",COUNTA($B$4:B169),"")</f>
        <v/>
      </c>
      <c r="B169" s="20"/>
      <c r="C169" s="20"/>
      <c r="D169" s="20"/>
      <c r="E169" s="20"/>
      <c r="F169" s="20"/>
      <c r="G169" s="20"/>
      <c r="H169" s="20"/>
      <c r="I169" s="21"/>
      <c r="J169" s="20"/>
      <c r="K169" s="14" t="str">
        <f aca="false">IF(AND(I169&lt;&gt;"",H169&lt;&gt;"",J169&lt;&gt;""),IF(J169="W",I169*H169,IF(J169="L",-I169,IF(J169="P",I169*H169*0.5,""))),"")</f>
        <v/>
      </c>
      <c r="L169" s="15" t="str">
        <f aca="false">IF(AND(K169&lt;&gt;"",P168&lt;&gt;""),K169/P168,IF(K169&lt;&gt;"",K169/$D$2,""))</f>
        <v/>
      </c>
      <c r="M169" s="20"/>
      <c r="N169" s="20"/>
      <c r="O169" s="20"/>
      <c r="P169" s="16" t="str">
        <f aca="false">IF(K169&lt;&gt;"",P168+K169,IF(B169&lt;&gt;"",P168,""))</f>
        <v/>
      </c>
      <c r="Q169" s="17" t="str">
        <f aca="false">IF(P169&lt;&gt;"",MIN(0,P169-MAX($P$4:P169)),"")</f>
        <v/>
      </c>
    </row>
    <row r="170" customFormat="false" ht="15" hidden="false" customHeight="true" outlineLevel="0" collapsed="false">
      <c r="A170" s="11" t="str">
        <f aca="false">IF(B170&lt;&gt;"",COUNTA($B$4:B170),"")</f>
        <v/>
      </c>
      <c r="B170" s="12"/>
      <c r="C170" s="12"/>
      <c r="D170" s="12"/>
      <c r="E170" s="12"/>
      <c r="F170" s="12"/>
      <c r="G170" s="12"/>
      <c r="H170" s="12"/>
      <c r="I170" s="13"/>
      <c r="J170" s="12"/>
      <c r="K170" s="14" t="str">
        <f aca="false">IF(AND(I170&lt;&gt;"",H170&lt;&gt;"",J170&lt;&gt;""),IF(J170="W",I170*H170,IF(J170="L",-I170,IF(J170="P",I170*H170*0.5,""))),"")</f>
        <v/>
      </c>
      <c r="L170" s="15" t="str">
        <f aca="false">IF(AND(K170&lt;&gt;"",P169&lt;&gt;""),K170/P169,IF(K170&lt;&gt;"",K170/$D$2,""))</f>
        <v/>
      </c>
      <c r="M170" s="12"/>
      <c r="N170" s="12"/>
      <c r="O170" s="12"/>
      <c r="P170" s="16" t="str">
        <f aca="false">IF(K170&lt;&gt;"",P169+K170,IF(B170&lt;&gt;"",P169,""))</f>
        <v/>
      </c>
      <c r="Q170" s="17" t="str">
        <f aca="false">IF(P170&lt;&gt;"",MIN(0,P170-MAX($P$4:P170)),"")</f>
        <v/>
      </c>
    </row>
    <row r="171" customFormat="false" ht="15" hidden="false" customHeight="true" outlineLevel="0" collapsed="false">
      <c r="A171" s="11" t="str">
        <f aca="false">IF(B171&lt;&gt;"",COUNTA($B$4:B171),"")</f>
        <v/>
      </c>
      <c r="B171" s="20"/>
      <c r="C171" s="20"/>
      <c r="D171" s="20"/>
      <c r="E171" s="20"/>
      <c r="F171" s="20"/>
      <c r="G171" s="20"/>
      <c r="H171" s="20"/>
      <c r="I171" s="21"/>
      <c r="J171" s="20"/>
      <c r="K171" s="14" t="str">
        <f aca="false">IF(AND(I171&lt;&gt;"",H171&lt;&gt;"",J171&lt;&gt;""),IF(J171="W",I171*H171,IF(J171="L",-I171,IF(J171="P",I171*H171*0.5,""))),"")</f>
        <v/>
      </c>
      <c r="L171" s="15" t="str">
        <f aca="false">IF(AND(K171&lt;&gt;"",P170&lt;&gt;""),K171/P170,IF(K171&lt;&gt;"",K171/$D$2,""))</f>
        <v/>
      </c>
      <c r="M171" s="20"/>
      <c r="N171" s="20"/>
      <c r="O171" s="20"/>
      <c r="P171" s="16" t="str">
        <f aca="false">IF(K171&lt;&gt;"",P170+K171,IF(B171&lt;&gt;"",P170,""))</f>
        <v/>
      </c>
      <c r="Q171" s="17" t="str">
        <f aca="false">IF(P171&lt;&gt;"",MIN(0,P171-MAX($P$4:P171)),"")</f>
        <v/>
      </c>
    </row>
    <row r="172" customFormat="false" ht="15" hidden="false" customHeight="true" outlineLevel="0" collapsed="false">
      <c r="A172" s="11" t="str">
        <f aca="false">IF(B172&lt;&gt;"",COUNTA($B$4:B172),"")</f>
        <v/>
      </c>
      <c r="B172" s="12"/>
      <c r="C172" s="12"/>
      <c r="D172" s="12"/>
      <c r="E172" s="12"/>
      <c r="F172" s="12"/>
      <c r="G172" s="12"/>
      <c r="H172" s="12"/>
      <c r="I172" s="13"/>
      <c r="J172" s="12"/>
      <c r="K172" s="14" t="str">
        <f aca="false">IF(AND(I172&lt;&gt;"",H172&lt;&gt;"",J172&lt;&gt;""),IF(J172="W",I172*H172,IF(J172="L",-I172,IF(J172="P",I172*H172*0.5,""))),"")</f>
        <v/>
      </c>
      <c r="L172" s="15" t="str">
        <f aca="false">IF(AND(K172&lt;&gt;"",P171&lt;&gt;""),K172/P171,IF(K172&lt;&gt;"",K172/$D$2,""))</f>
        <v/>
      </c>
      <c r="M172" s="12"/>
      <c r="N172" s="12"/>
      <c r="O172" s="12"/>
      <c r="P172" s="16" t="str">
        <f aca="false">IF(K172&lt;&gt;"",P171+K172,IF(B172&lt;&gt;"",P171,""))</f>
        <v/>
      </c>
      <c r="Q172" s="17" t="str">
        <f aca="false">IF(P172&lt;&gt;"",MIN(0,P172-MAX($P$4:P172)),"")</f>
        <v/>
      </c>
    </row>
    <row r="173" customFormat="false" ht="15" hidden="false" customHeight="true" outlineLevel="0" collapsed="false">
      <c r="A173" s="11" t="str">
        <f aca="false">IF(B173&lt;&gt;"",COUNTA($B$4:B173),"")</f>
        <v/>
      </c>
      <c r="B173" s="20"/>
      <c r="C173" s="20"/>
      <c r="D173" s="20"/>
      <c r="E173" s="20"/>
      <c r="F173" s="20"/>
      <c r="G173" s="20"/>
      <c r="H173" s="20"/>
      <c r="I173" s="21"/>
      <c r="J173" s="20"/>
      <c r="K173" s="14" t="str">
        <f aca="false">IF(AND(I173&lt;&gt;"",H173&lt;&gt;"",J173&lt;&gt;""),IF(J173="W",I173*H173,IF(J173="L",-I173,IF(J173="P",I173*H173*0.5,""))),"")</f>
        <v/>
      </c>
      <c r="L173" s="15" t="str">
        <f aca="false">IF(AND(K173&lt;&gt;"",P172&lt;&gt;""),K173/P172,IF(K173&lt;&gt;"",K173/$D$2,""))</f>
        <v/>
      </c>
      <c r="M173" s="20"/>
      <c r="N173" s="20"/>
      <c r="O173" s="20"/>
      <c r="P173" s="16" t="str">
        <f aca="false">IF(K173&lt;&gt;"",P172+K173,IF(B173&lt;&gt;"",P172,""))</f>
        <v/>
      </c>
      <c r="Q173" s="17" t="str">
        <f aca="false">IF(P173&lt;&gt;"",MIN(0,P173-MAX($P$4:P173)),"")</f>
        <v/>
      </c>
    </row>
    <row r="174" customFormat="false" ht="15" hidden="false" customHeight="true" outlineLevel="0" collapsed="false">
      <c r="A174" s="11" t="str">
        <f aca="false">IF(B174&lt;&gt;"",COUNTA($B$4:B174),"")</f>
        <v/>
      </c>
      <c r="B174" s="12"/>
      <c r="C174" s="12"/>
      <c r="D174" s="12"/>
      <c r="E174" s="12"/>
      <c r="F174" s="12"/>
      <c r="G174" s="12"/>
      <c r="H174" s="12"/>
      <c r="I174" s="13"/>
      <c r="J174" s="12"/>
      <c r="K174" s="14" t="str">
        <f aca="false">IF(AND(I174&lt;&gt;"",H174&lt;&gt;"",J174&lt;&gt;""),IF(J174="W",I174*H174,IF(J174="L",-I174,IF(J174="P",I174*H174*0.5,""))),"")</f>
        <v/>
      </c>
      <c r="L174" s="15" t="str">
        <f aca="false">IF(AND(K174&lt;&gt;"",P173&lt;&gt;""),K174/P173,IF(K174&lt;&gt;"",K174/$D$2,""))</f>
        <v/>
      </c>
      <c r="M174" s="12"/>
      <c r="N174" s="12"/>
      <c r="O174" s="12"/>
      <c r="P174" s="16" t="str">
        <f aca="false">IF(K174&lt;&gt;"",P173+K174,IF(B174&lt;&gt;"",P173,""))</f>
        <v/>
      </c>
      <c r="Q174" s="17" t="str">
        <f aca="false">IF(P174&lt;&gt;"",MIN(0,P174-MAX($P$4:P174)),"")</f>
        <v/>
      </c>
    </row>
    <row r="175" customFormat="false" ht="15" hidden="false" customHeight="true" outlineLevel="0" collapsed="false">
      <c r="A175" s="11" t="str">
        <f aca="false">IF(B175&lt;&gt;"",COUNTA($B$4:B175),"")</f>
        <v/>
      </c>
      <c r="B175" s="20"/>
      <c r="C175" s="20"/>
      <c r="D175" s="20"/>
      <c r="E175" s="20"/>
      <c r="F175" s="20"/>
      <c r="G175" s="20"/>
      <c r="H175" s="20"/>
      <c r="I175" s="21"/>
      <c r="J175" s="20"/>
      <c r="K175" s="14" t="str">
        <f aca="false">IF(AND(I175&lt;&gt;"",H175&lt;&gt;"",J175&lt;&gt;""),IF(J175="W",I175*H175,IF(J175="L",-I175,IF(J175="P",I175*H175*0.5,""))),"")</f>
        <v/>
      </c>
      <c r="L175" s="15" t="str">
        <f aca="false">IF(AND(K175&lt;&gt;"",P174&lt;&gt;""),K175/P174,IF(K175&lt;&gt;"",K175/$D$2,""))</f>
        <v/>
      </c>
      <c r="M175" s="20"/>
      <c r="N175" s="20"/>
      <c r="O175" s="20"/>
      <c r="P175" s="16" t="str">
        <f aca="false">IF(K175&lt;&gt;"",P174+K175,IF(B175&lt;&gt;"",P174,""))</f>
        <v/>
      </c>
      <c r="Q175" s="17" t="str">
        <f aca="false">IF(P175&lt;&gt;"",MIN(0,P175-MAX($P$4:P175)),"")</f>
        <v/>
      </c>
    </row>
    <row r="176" customFormat="false" ht="15" hidden="false" customHeight="true" outlineLevel="0" collapsed="false">
      <c r="A176" s="11" t="str">
        <f aca="false">IF(B176&lt;&gt;"",COUNTA($B$4:B176),"")</f>
        <v/>
      </c>
      <c r="B176" s="12"/>
      <c r="C176" s="12"/>
      <c r="D176" s="12"/>
      <c r="E176" s="12"/>
      <c r="F176" s="12"/>
      <c r="G176" s="12"/>
      <c r="H176" s="12"/>
      <c r="I176" s="13"/>
      <c r="J176" s="12"/>
      <c r="K176" s="14" t="str">
        <f aca="false">IF(AND(I176&lt;&gt;"",H176&lt;&gt;"",J176&lt;&gt;""),IF(J176="W",I176*H176,IF(J176="L",-I176,IF(J176="P",I176*H176*0.5,""))),"")</f>
        <v/>
      </c>
      <c r="L176" s="15" t="str">
        <f aca="false">IF(AND(K176&lt;&gt;"",P175&lt;&gt;""),K176/P175,IF(K176&lt;&gt;"",K176/$D$2,""))</f>
        <v/>
      </c>
      <c r="M176" s="12"/>
      <c r="N176" s="12"/>
      <c r="O176" s="12"/>
      <c r="P176" s="16" t="str">
        <f aca="false">IF(K176&lt;&gt;"",P175+K176,IF(B176&lt;&gt;"",P175,""))</f>
        <v/>
      </c>
      <c r="Q176" s="17" t="str">
        <f aca="false">IF(P176&lt;&gt;"",MIN(0,P176-MAX($P$4:P176)),"")</f>
        <v/>
      </c>
    </row>
    <row r="177" customFormat="false" ht="15" hidden="false" customHeight="true" outlineLevel="0" collapsed="false">
      <c r="A177" s="11" t="str">
        <f aca="false">IF(B177&lt;&gt;"",COUNTA($B$4:B177),"")</f>
        <v/>
      </c>
      <c r="B177" s="20"/>
      <c r="C177" s="20"/>
      <c r="D177" s="20"/>
      <c r="E177" s="20"/>
      <c r="F177" s="20"/>
      <c r="G177" s="20"/>
      <c r="H177" s="20"/>
      <c r="I177" s="21"/>
      <c r="J177" s="20"/>
      <c r="K177" s="14" t="str">
        <f aca="false">IF(AND(I177&lt;&gt;"",H177&lt;&gt;"",J177&lt;&gt;""),IF(J177="W",I177*H177,IF(J177="L",-I177,IF(J177="P",I177*H177*0.5,""))),"")</f>
        <v/>
      </c>
      <c r="L177" s="15" t="str">
        <f aca="false">IF(AND(K177&lt;&gt;"",P176&lt;&gt;""),K177/P176,IF(K177&lt;&gt;"",K177/$D$2,""))</f>
        <v/>
      </c>
      <c r="M177" s="20"/>
      <c r="N177" s="20"/>
      <c r="O177" s="20"/>
      <c r="P177" s="16" t="str">
        <f aca="false">IF(K177&lt;&gt;"",P176+K177,IF(B177&lt;&gt;"",P176,""))</f>
        <v/>
      </c>
      <c r="Q177" s="17" t="str">
        <f aca="false">IF(P177&lt;&gt;"",MIN(0,P177-MAX($P$4:P177)),"")</f>
        <v/>
      </c>
    </row>
    <row r="178" customFormat="false" ht="15" hidden="false" customHeight="true" outlineLevel="0" collapsed="false">
      <c r="A178" s="11" t="str">
        <f aca="false">IF(B178&lt;&gt;"",COUNTA($B$4:B178),"")</f>
        <v/>
      </c>
      <c r="B178" s="12"/>
      <c r="C178" s="12"/>
      <c r="D178" s="12"/>
      <c r="E178" s="12"/>
      <c r="F178" s="12"/>
      <c r="G178" s="12"/>
      <c r="H178" s="12"/>
      <c r="I178" s="13"/>
      <c r="J178" s="12"/>
      <c r="K178" s="14" t="str">
        <f aca="false">IF(AND(I178&lt;&gt;"",H178&lt;&gt;"",J178&lt;&gt;""),IF(J178="W",I178*H178,IF(J178="L",-I178,IF(J178="P",I178*H178*0.5,""))),"")</f>
        <v/>
      </c>
      <c r="L178" s="15" t="str">
        <f aca="false">IF(AND(K178&lt;&gt;"",P177&lt;&gt;""),K178/P177,IF(K178&lt;&gt;"",K178/$D$2,""))</f>
        <v/>
      </c>
      <c r="M178" s="12"/>
      <c r="N178" s="12"/>
      <c r="O178" s="12"/>
      <c r="P178" s="16" t="str">
        <f aca="false">IF(K178&lt;&gt;"",P177+K178,IF(B178&lt;&gt;"",P177,""))</f>
        <v/>
      </c>
      <c r="Q178" s="17" t="str">
        <f aca="false">IF(P178&lt;&gt;"",MIN(0,P178-MAX($P$4:P178)),"")</f>
        <v/>
      </c>
    </row>
    <row r="179" customFormat="false" ht="15" hidden="false" customHeight="true" outlineLevel="0" collapsed="false">
      <c r="A179" s="11" t="str">
        <f aca="false">IF(B179&lt;&gt;"",COUNTA($B$4:B179),"")</f>
        <v/>
      </c>
      <c r="B179" s="20"/>
      <c r="C179" s="20"/>
      <c r="D179" s="20"/>
      <c r="E179" s="20"/>
      <c r="F179" s="20"/>
      <c r="G179" s="20"/>
      <c r="H179" s="20"/>
      <c r="I179" s="21"/>
      <c r="J179" s="20"/>
      <c r="K179" s="14" t="str">
        <f aca="false">IF(AND(I179&lt;&gt;"",H179&lt;&gt;"",J179&lt;&gt;""),IF(J179="W",I179*H179,IF(J179="L",-I179,IF(J179="P",I179*H179*0.5,""))),"")</f>
        <v/>
      </c>
      <c r="L179" s="15" t="str">
        <f aca="false">IF(AND(K179&lt;&gt;"",P178&lt;&gt;""),K179/P178,IF(K179&lt;&gt;"",K179/$D$2,""))</f>
        <v/>
      </c>
      <c r="M179" s="20"/>
      <c r="N179" s="20"/>
      <c r="O179" s="20"/>
      <c r="P179" s="16" t="str">
        <f aca="false">IF(K179&lt;&gt;"",P178+K179,IF(B179&lt;&gt;"",P178,""))</f>
        <v/>
      </c>
      <c r="Q179" s="17" t="str">
        <f aca="false">IF(P179&lt;&gt;"",MIN(0,P179-MAX($P$4:P179)),"")</f>
        <v/>
      </c>
    </row>
    <row r="180" customFormat="false" ht="15" hidden="false" customHeight="true" outlineLevel="0" collapsed="false">
      <c r="A180" s="11" t="str">
        <f aca="false">IF(B180&lt;&gt;"",COUNTA($B$4:B180),"")</f>
        <v/>
      </c>
      <c r="B180" s="12"/>
      <c r="C180" s="12"/>
      <c r="D180" s="12"/>
      <c r="E180" s="12"/>
      <c r="F180" s="12"/>
      <c r="G180" s="12"/>
      <c r="H180" s="12"/>
      <c r="I180" s="13"/>
      <c r="J180" s="12"/>
      <c r="K180" s="14" t="str">
        <f aca="false">IF(AND(I180&lt;&gt;"",H180&lt;&gt;"",J180&lt;&gt;""),IF(J180="W",I180*H180,IF(J180="L",-I180,IF(J180="P",I180*H180*0.5,""))),"")</f>
        <v/>
      </c>
      <c r="L180" s="15" t="str">
        <f aca="false">IF(AND(K180&lt;&gt;"",P179&lt;&gt;""),K180/P179,IF(K180&lt;&gt;"",K180/$D$2,""))</f>
        <v/>
      </c>
      <c r="M180" s="12"/>
      <c r="N180" s="12"/>
      <c r="O180" s="12"/>
      <c r="P180" s="16" t="str">
        <f aca="false">IF(K180&lt;&gt;"",P179+K180,IF(B180&lt;&gt;"",P179,""))</f>
        <v/>
      </c>
      <c r="Q180" s="17" t="str">
        <f aca="false">IF(P180&lt;&gt;"",MIN(0,P180-MAX($P$4:P180)),"")</f>
        <v/>
      </c>
    </row>
    <row r="181" customFormat="false" ht="15" hidden="false" customHeight="true" outlineLevel="0" collapsed="false">
      <c r="A181" s="11" t="str">
        <f aca="false">IF(B181&lt;&gt;"",COUNTA($B$4:B181),"")</f>
        <v/>
      </c>
      <c r="B181" s="20"/>
      <c r="C181" s="20"/>
      <c r="D181" s="20"/>
      <c r="E181" s="20"/>
      <c r="F181" s="20"/>
      <c r="G181" s="20"/>
      <c r="H181" s="20"/>
      <c r="I181" s="21"/>
      <c r="J181" s="20"/>
      <c r="K181" s="14" t="str">
        <f aca="false">IF(AND(I181&lt;&gt;"",H181&lt;&gt;"",J181&lt;&gt;""),IF(J181="W",I181*H181,IF(J181="L",-I181,IF(J181="P",I181*H181*0.5,""))),"")</f>
        <v/>
      </c>
      <c r="L181" s="15" t="str">
        <f aca="false">IF(AND(K181&lt;&gt;"",P180&lt;&gt;""),K181/P180,IF(K181&lt;&gt;"",K181/$D$2,""))</f>
        <v/>
      </c>
      <c r="M181" s="20"/>
      <c r="N181" s="20"/>
      <c r="O181" s="20"/>
      <c r="P181" s="16" t="str">
        <f aca="false">IF(K181&lt;&gt;"",P180+K181,IF(B181&lt;&gt;"",P180,""))</f>
        <v/>
      </c>
      <c r="Q181" s="17" t="str">
        <f aca="false">IF(P181&lt;&gt;"",MIN(0,P181-MAX($P$4:P181)),"")</f>
        <v/>
      </c>
    </row>
    <row r="182" customFormat="false" ht="15" hidden="false" customHeight="true" outlineLevel="0" collapsed="false">
      <c r="A182" s="11" t="str">
        <f aca="false">IF(B182&lt;&gt;"",COUNTA($B$4:B182),"")</f>
        <v/>
      </c>
      <c r="B182" s="12"/>
      <c r="C182" s="12"/>
      <c r="D182" s="12"/>
      <c r="E182" s="12"/>
      <c r="F182" s="12"/>
      <c r="G182" s="12"/>
      <c r="H182" s="12"/>
      <c r="I182" s="13"/>
      <c r="J182" s="12"/>
      <c r="K182" s="14" t="str">
        <f aca="false">IF(AND(I182&lt;&gt;"",H182&lt;&gt;"",J182&lt;&gt;""),IF(J182="W",I182*H182,IF(J182="L",-I182,IF(J182="P",I182*H182*0.5,""))),"")</f>
        <v/>
      </c>
      <c r="L182" s="15" t="str">
        <f aca="false">IF(AND(K182&lt;&gt;"",P181&lt;&gt;""),K182/P181,IF(K182&lt;&gt;"",K182/$D$2,""))</f>
        <v/>
      </c>
      <c r="M182" s="12"/>
      <c r="N182" s="12"/>
      <c r="O182" s="12"/>
      <c r="P182" s="16" t="str">
        <f aca="false">IF(K182&lt;&gt;"",P181+K182,IF(B182&lt;&gt;"",P181,""))</f>
        <v/>
      </c>
      <c r="Q182" s="17" t="str">
        <f aca="false">IF(P182&lt;&gt;"",MIN(0,P182-MAX($P$4:P182)),"")</f>
        <v/>
      </c>
    </row>
    <row r="183" customFormat="false" ht="15" hidden="false" customHeight="true" outlineLevel="0" collapsed="false">
      <c r="A183" s="11" t="str">
        <f aca="false">IF(B183&lt;&gt;"",COUNTA($B$4:B183),"")</f>
        <v/>
      </c>
      <c r="B183" s="20"/>
      <c r="C183" s="20"/>
      <c r="D183" s="20"/>
      <c r="E183" s="20"/>
      <c r="F183" s="20"/>
      <c r="G183" s="20"/>
      <c r="H183" s="20"/>
      <c r="I183" s="21"/>
      <c r="J183" s="20"/>
      <c r="K183" s="14" t="str">
        <f aca="false">IF(AND(I183&lt;&gt;"",H183&lt;&gt;"",J183&lt;&gt;""),IF(J183="W",I183*H183,IF(J183="L",-I183,IF(J183="P",I183*H183*0.5,""))),"")</f>
        <v/>
      </c>
      <c r="L183" s="15" t="str">
        <f aca="false">IF(AND(K183&lt;&gt;"",P182&lt;&gt;""),K183/P182,IF(K183&lt;&gt;"",K183/$D$2,""))</f>
        <v/>
      </c>
      <c r="M183" s="20"/>
      <c r="N183" s="20"/>
      <c r="O183" s="20"/>
      <c r="P183" s="16" t="str">
        <f aca="false">IF(K183&lt;&gt;"",P182+K183,IF(B183&lt;&gt;"",P182,""))</f>
        <v/>
      </c>
      <c r="Q183" s="17" t="str">
        <f aca="false">IF(P183&lt;&gt;"",MIN(0,P183-MAX($P$4:P183)),"")</f>
        <v/>
      </c>
    </row>
    <row r="184" customFormat="false" ht="15" hidden="false" customHeight="true" outlineLevel="0" collapsed="false">
      <c r="A184" s="11" t="str">
        <f aca="false">IF(B184&lt;&gt;"",COUNTA($B$4:B184),"")</f>
        <v/>
      </c>
      <c r="B184" s="12"/>
      <c r="C184" s="12"/>
      <c r="D184" s="12"/>
      <c r="E184" s="12"/>
      <c r="F184" s="12"/>
      <c r="G184" s="12"/>
      <c r="H184" s="12"/>
      <c r="I184" s="13"/>
      <c r="J184" s="12"/>
      <c r="K184" s="14" t="str">
        <f aca="false">IF(AND(I184&lt;&gt;"",H184&lt;&gt;"",J184&lt;&gt;""),IF(J184="W",I184*H184,IF(J184="L",-I184,IF(J184="P",I184*H184*0.5,""))),"")</f>
        <v/>
      </c>
      <c r="L184" s="15" t="str">
        <f aca="false">IF(AND(K184&lt;&gt;"",P183&lt;&gt;""),K184/P183,IF(K184&lt;&gt;"",K184/$D$2,""))</f>
        <v/>
      </c>
      <c r="M184" s="12"/>
      <c r="N184" s="12"/>
      <c r="O184" s="12"/>
      <c r="P184" s="16" t="str">
        <f aca="false">IF(K184&lt;&gt;"",P183+K184,IF(B184&lt;&gt;"",P183,""))</f>
        <v/>
      </c>
      <c r="Q184" s="17" t="str">
        <f aca="false">IF(P184&lt;&gt;"",MIN(0,P184-MAX($P$4:P184)),"")</f>
        <v/>
      </c>
    </row>
    <row r="185" customFormat="false" ht="15" hidden="false" customHeight="true" outlineLevel="0" collapsed="false">
      <c r="A185" s="11" t="str">
        <f aca="false">IF(B185&lt;&gt;"",COUNTA($B$4:B185),"")</f>
        <v/>
      </c>
      <c r="B185" s="20"/>
      <c r="C185" s="20"/>
      <c r="D185" s="20"/>
      <c r="E185" s="20"/>
      <c r="F185" s="20"/>
      <c r="G185" s="20"/>
      <c r="H185" s="20"/>
      <c r="I185" s="21"/>
      <c r="J185" s="20"/>
      <c r="K185" s="14" t="str">
        <f aca="false">IF(AND(I185&lt;&gt;"",H185&lt;&gt;"",J185&lt;&gt;""),IF(J185="W",I185*H185,IF(J185="L",-I185,IF(J185="P",I185*H185*0.5,""))),"")</f>
        <v/>
      </c>
      <c r="L185" s="15" t="str">
        <f aca="false">IF(AND(K185&lt;&gt;"",P184&lt;&gt;""),K185/P184,IF(K185&lt;&gt;"",K185/$D$2,""))</f>
        <v/>
      </c>
      <c r="M185" s="20"/>
      <c r="N185" s="20"/>
      <c r="O185" s="20"/>
      <c r="P185" s="16" t="str">
        <f aca="false">IF(K185&lt;&gt;"",P184+K185,IF(B185&lt;&gt;"",P184,""))</f>
        <v/>
      </c>
      <c r="Q185" s="17" t="str">
        <f aca="false">IF(P185&lt;&gt;"",MIN(0,P185-MAX($P$4:P185)),"")</f>
        <v/>
      </c>
    </row>
    <row r="186" customFormat="false" ht="15" hidden="false" customHeight="true" outlineLevel="0" collapsed="false">
      <c r="A186" s="11" t="str">
        <f aca="false">IF(B186&lt;&gt;"",COUNTA($B$4:B186),"")</f>
        <v/>
      </c>
      <c r="B186" s="12"/>
      <c r="C186" s="12"/>
      <c r="D186" s="12"/>
      <c r="E186" s="12"/>
      <c r="F186" s="12"/>
      <c r="G186" s="12"/>
      <c r="H186" s="12"/>
      <c r="I186" s="13"/>
      <c r="J186" s="12"/>
      <c r="K186" s="14" t="str">
        <f aca="false">IF(AND(I186&lt;&gt;"",H186&lt;&gt;"",J186&lt;&gt;""),IF(J186="W",I186*H186,IF(J186="L",-I186,IF(J186="P",I186*H186*0.5,""))),"")</f>
        <v/>
      </c>
      <c r="L186" s="15" t="str">
        <f aca="false">IF(AND(K186&lt;&gt;"",P185&lt;&gt;""),K186/P185,IF(K186&lt;&gt;"",K186/$D$2,""))</f>
        <v/>
      </c>
      <c r="M186" s="12"/>
      <c r="N186" s="12"/>
      <c r="O186" s="12"/>
      <c r="P186" s="16" t="str">
        <f aca="false">IF(K186&lt;&gt;"",P185+K186,IF(B186&lt;&gt;"",P185,""))</f>
        <v/>
      </c>
      <c r="Q186" s="17" t="str">
        <f aca="false">IF(P186&lt;&gt;"",MIN(0,P186-MAX($P$4:P186)),"")</f>
        <v/>
      </c>
    </row>
    <row r="187" customFormat="false" ht="15" hidden="false" customHeight="true" outlineLevel="0" collapsed="false">
      <c r="A187" s="11" t="str">
        <f aca="false">IF(B187&lt;&gt;"",COUNTA($B$4:B187),"")</f>
        <v/>
      </c>
      <c r="B187" s="20"/>
      <c r="C187" s="20"/>
      <c r="D187" s="20"/>
      <c r="E187" s="20"/>
      <c r="F187" s="20"/>
      <c r="G187" s="20"/>
      <c r="H187" s="20"/>
      <c r="I187" s="21"/>
      <c r="J187" s="20"/>
      <c r="K187" s="14" t="str">
        <f aca="false">IF(AND(I187&lt;&gt;"",H187&lt;&gt;"",J187&lt;&gt;""),IF(J187="W",I187*H187,IF(J187="L",-I187,IF(J187="P",I187*H187*0.5,""))),"")</f>
        <v/>
      </c>
      <c r="L187" s="15" t="str">
        <f aca="false">IF(AND(K187&lt;&gt;"",P186&lt;&gt;""),K187/P186,IF(K187&lt;&gt;"",K187/$D$2,""))</f>
        <v/>
      </c>
      <c r="M187" s="20"/>
      <c r="N187" s="20"/>
      <c r="O187" s="20"/>
      <c r="P187" s="16" t="str">
        <f aca="false">IF(K187&lt;&gt;"",P186+K187,IF(B187&lt;&gt;"",P186,""))</f>
        <v/>
      </c>
      <c r="Q187" s="17" t="str">
        <f aca="false">IF(P187&lt;&gt;"",MIN(0,P187-MAX($P$4:P187)),"")</f>
        <v/>
      </c>
    </row>
    <row r="188" customFormat="false" ht="15" hidden="false" customHeight="true" outlineLevel="0" collapsed="false">
      <c r="A188" s="11" t="str">
        <f aca="false">IF(B188&lt;&gt;"",COUNTA($B$4:B188),"")</f>
        <v/>
      </c>
      <c r="B188" s="12"/>
      <c r="C188" s="12"/>
      <c r="D188" s="12"/>
      <c r="E188" s="12"/>
      <c r="F188" s="12"/>
      <c r="G188" s="12"/>
      <c r="H188" s="12"/>
      <c r="I188" s="13"/>
      <c r="J188" s="12"/>
      <c r="K188" s="14" t="str">
        <f aca="false">IF(AND(I188&lt;&gt;"",H188&lt;&gt;"",J188&lt;&gt;""),IF(J188="W",I188*H188,IF(J188="L",-I188,IF(J188="P",I188*H188*0.5,""))),"")</f>
        <v/>
      </c>
      <c r="L188" s="15" t="str">
        <f aca="false">IF(AND(K188&lt;&gt;"",P187&lt;&gt;""),K188/P187,IF(K188&lt;&gt;"",K188/$D$2,""))</f>
        <v/>
      </c>
      <c r="M188" s="12"/>
      <c r="N188" s="12"/>
      <c r="O188" s="12"/>
      <c r="P188" s="16" t="str">
        <f aca="false">IF(K188&lt;&gt;"",P187+K188,IF(B188&lt;&gt;"",P187,""))</f>
        <v/>
      </c>
      <c r="Q188" s="17" t="str">
        <f aca="false">IF(P188&lt;&gt;"",MIN(0,P188-MAX($P$4:P188)),"")</f>
        <v/>
      </c>
    </row>
    <row r="189" customFormat="false" ht="15" hidden="false" customHeight="true" outlineLevel="0" collapsed="false">
      <c r="A189" s="11" t="str">
        <f aca="false">IF(B189&lt;&gt;"",COUNTA($B$4:B189),"")</f>
        <v/>
      </c>
      <c r="B189" s="20"/>
      <c r="C189" s="20"/>
      <c r="D189" s="20"/>
      <c r="E189" s="20"/>
      <c r="F189" s="20"/>
      <c r="G189" s="20"/>
      <c r="H189" s="20"/>
      <c r="I189" s="21"/>
      <c r="J189" s="20"/>
      <c r="K189" s="14" t="str">
        <f aca="false">IF(AND(I189&lt;&gt;"",H189&lt;&gt;"",J189&lt;&gt;""),IF(J189="W",I189*H189,IF(J189="L",-I189,IF(J189="P",I189*H189*0.5,""))),"")</f>
        <v/>
      </c>
      <c r="L189" s="15" t="str">
        <f aca="false">IF(AND(K189&lt;&gt;"",P188&lt;&gt;""),K189/P188,IF(K189&lt;&gt;"",K189/$D$2,""))</f>
        <v/>
      </c>
      <c r="M189" s="20"/>
      <c r="N189" s="20"/>
      <c r="O189" s="20"/>
      <c r="P189" s="16" t="str">
        <f aca="false">IF(K189&lt;&gt;"",P188+K189,IF(B189&lt;&gt;"",P188,""))</f>
        <v/>
      </c>
      <c r="Q189" s="17" t="str">
        <f aca="false">IF(P189&lt;&gt;"",MIN(0,P189-MAX($P$4:P189)),"")</f>
        <v/>
      </c>
    </row>
    <row r="190" customFormat="false" ht="15" hidden="false" customHeight="true" outlineLevel="0" collapsed="false">
      <c r="A190" s="11" t="str">
        <f aca="false">IF(B190&lt;&gt;"",COUNTA($B$4:B190),"")</f>
        <v/>
      </c>
      <c r="B190" s="12"/>
      <c r="C190" s="12"/>
      <c r="D190" s="12"/>
      <c r="E190" s="12"/>
      <c r="F190" s="12"/>
      <c r="G190" s="12"/>
      <c r="H190" s="12"/>
      <c r="I190" s="13"/>
      <c r="J190" s="12"/>
      <c r="K190" s="14" t="str">
        <f aca="false">IF(AND(I190&lt;&gt;"",H190&lt;&gt;"",J190&lt;&gt;""),IF(J190="W",I190*H190,IF(J190="L",-I190,IF(J190="P",I190*H190*0.5,""))),"")</f>
        <v/>
      </c>
      <c r="L190" s="15" t="str">
        <f aca="false">IF(AND(K190&lt;&gt;"",P189&lt;&gt;""),K190/P189,IF(K190&lt;&gt;"",K190/$D$2,""))</f>
        <v/>
      </c>
      <c r="M190" s="12"/>
      <c r="N190" s="12"/>
      <c r="O190" s="12"/>
      <c r="P190" s="16" t="str">
        <f aca="false">IF(K190&lt;&gt;"",P189+K190,IF(B190&lt;&gt;"",P189,""))</f>
        <v/>
      </c>
      <c r="Q190" s="17" t="str">
        <f aca="false">IF(P190&lt;&gt;"",MIN(0,P190-MAX($P$4:P190)),"")</f>
        <v/>
      </c>
    </row>
    <row r="191" customFormat="false" ht="15" hidden="false" customHeight="true" outlineLevel="0" collapsed="false">
      <c r="A191" s="11" t="str">
        <f aca="false">IF(B191&lt;&gt;"",COUNTA($B$4:B191),"")</f>
        <v/>
      </c>
      <c r="B191" s="20"/>
      <c r="C191" s="20"/>
      <c r="D191" s="20"/>
      <c r="E191" s="20"/>
      <c r="F191" s="20"/>
      <c r="G191" s="20"/>
      <c r="H191" s="20"/>
      <c r="I191" s="21"/>
      <c r="J191" s="20"/>
      <c r="K191" s="14" t="str">
        <f aca="false">IF(AND(I191&lt;&gt;"",H191&lt;&gt;"",J191&lt;&gt;""),IF(J191="W",I191*H191,IF(J191="L",-I191,IF(J191="P",I191*H191*0.5,""))),"")</f>
        <v/>
      </c>
      <c r="L191" s="15" t="str">
        <f aca="false">IF(AND(K191&lt;&gt;"",P190&lt;&gt;""),K191/P190,IF(K191&lt;&gt;"",K191/$D$2,""))</f>
        <v/>
      </c>
      <c r="M191" s="20"/>
      <c r="N191" s="20"/>
      <c r="O191" s="20"/>
      <c r="P191" s="16" t="str">
        <f aca="false">IF(K191&lt;&gt;"",P190+K191,IF(B191&lt;&gt;"",P190,""))</f>
        <v/>
      </c>
      <c r="Q191" s="17" t="str">
        <f aca="false">IF(P191&lt;&gt;"",MIN(0,P191-MAX($P$4:P191)),"")</f>
        <v/>
      </c>
    </row>
    <row r="192" customFormat="false" ht="15" hidden="false" customHeight="true" outlineLevel="0" collapsed="false">
      <c r="A192" s="11" t="str">
        <f aca="false">IF(B192&lt;&gt;"",COUNTA($B$4:B192),"")</f>
        <v/>
      </c>
      <c r="B192" s="12"/>
      <c r="C192" s="12"/>
      <c r="D192" s="12"/>
      <c r="E192" s="12"/>
      <c r="F192" s="12"/>
      <c r="G192" s="12"/>
      <c r="H192" s="12"/>
      <c r="I192" s="13"/>
      <c r="J192" s="12"/>
      <c r="K192" s="14" t="str">
        <f aca="false">IF(AND(I192&lt;&gt;"",H192&lt;&gt;"",J192&lt;&gt;""),IF(J192="W",I192*H192,IF(J192="L",-I192,IF(J192="P",I192*H192*0.5,""))),"")</f>
        <v/>
      </c>
      <c r="L192" s="15" t="str">
        <f aca="false">IF(AND(K192&lt;&gt;"",P191&lt;&gt;""),K192/P191,IF(K192&lt;&gt;"",K192/$D$2,""))</f>
        <v/>
      </c>
      <c r="M192" s="12"/>
      <c r="N192" s="12"/>
      <c r="O192" s="12"/>
      <c r="P192" s="16" t="str">
        <f aca="false">IF(K192&lt;&gt;"",P191+K192,IF(B192&lt;&gt;"",P191,""))</f>
        <v/>
      </c>
      <c r="Q192" s="17" t="str">
        <f aca="false">IF(P192&lt;&gt;"",MIN(0,P192-MAX($P$4:P192)),"")</f>
        <v/>
      </c>
    </row>
    <row r="193" customFormat="false" ht="15" hidden="false" customHeight="true" outlineLevel="0" collapsed="false">
      <c r="A193" s="11" t="str">
        <f aca="false">IF(B193&lt;&gt;"",COUNTA($B$4:B193),"")</f>
        <v/>
      </c>
      <c r="B193" s="20"/>
      <c r="C193" s="20"/>
      <c r="D193" s="20"/>
      <c r="E193" s="20"/>
      <c r="F193" s="20"/>
      <c r="G193" s="20"/>
      <c r="H193" s="20"/>
      <c r="I193" s="21"/>
      <c r="J193" s="20"/>
      <c r="K193" s="14" t="str">
        <f aca="false">IF(AND(I193&lt;&gt;"",H193&lt;&gt;"",J193&lt;&gt;""),IF(J193="W",I193*H193,IF(J193="L",-I193,IF(J193="P",I193*H193*0.5,""))),"")</f>
        <v/>
      </c>
      <c r="L193" s="15" t="str">
        <f aca="false">IF(AND(K193&lt;&gt;"",P192&lt;&gt;""),K193/P192,IF(K193&lt;&gt;"",K193/$D$2,""))</f>
        <v/>
      </c>
      <c r="M193" s="20"/>
      <c r="N193" s="20"/>
      <c r="O193" s="20"/>
      <c r="P193" s="16" t="str">
        <f aca="false">IF(K193&lt;&gt;"",P192+K193,IF(B193&lt;&gt;"",P192,""))</f>
        <v/>
      </c>
      <c r="Q193" s="17" t="str">
        <f aca="false">IF(P193&lt;&gt;"",MIN(0,P193-MAX($P$4:P193)),"")</f>
        <v/>
      </c>
    </row>
    <row r="194" customFormat="false" ht="15" hidden="false" customHeight="true" outlineLevel="0" collapsed="false">
      <c r="A194" s="11" t="str">
        <f aca="false">IF(B194&lt;&gt;"",COUNTA($B$4:B194),"")</f>
        <v/>
      </c>
      <c r="B194" s="12"/>
      <c r="C194" s="12"/>
      <c r="D194" s="12"/>
      <c r="E194" s="12"/>
      <c r="F194" s="12"/>
      <c r="G194" s="12"/>
      <c r="H194" s="12"/>
      <c r="I194" s="13"/>
      <c r="J194" s="12"/>
      <c r="K194" s="14" t="str">
        <f aca="false">IF(AND(I194&lt;&gt;"",H194&lt;&gt;"",J194&lt;&gt;""),IF(J194="W",I194*H194,IF(J194="L",-I194,IF(J194="P",I194*H194*0.5,""))),"")</f>
        <v/>
      </c>
      <c r="L194" s="15" t="str">
        <f aca="false">IF(AND(K194&lt;&gt;"",P193&lt;&gt;""),K194/P193,IF(K194&lt;&gt;"",K194/$D$2,""))</f>
        <v/>
      </c>
      <c r="M194" s="12"/>
      <c r="N194" s="12"/>
      <c r="O194" s="12"/>
      <c r="P194" s="16" t="str">
        <f aca="false">IF(K194&lt;&gt;"",P193+K194,IF(B194&lt;&gt;"",P193,""))</f>
        <v/>
      </c>
      <c r="Q194" s="17" t="str">
        <f aca="false">IF(P194&lt;&gt;"",MIN(0,P194-MAX($P$4:P194)),"")</f>
        <v/>
      </c>
    </row>
    <row r="195" customFormat="false" ht="15" hidden="false" customHeight="true" outlineLevel="0" collapsed="false">
      <c r="A195" s="11" t="str">
        <f aca="false">IF(B195&lt;&gt;"",COUNTA($B$4:B195),"")</f>
        <v/>
      </c>
      <c r="B195" s="20"/>
      <c r="C195" s="20"/>
      <c r="D195" s="20"/>
      <c r="E195" s="20"/>
      <c r="F195" s="20"/>
      <c r="G195" s="20"/>
      <c r="H195" s="20"/>
      <c r="I195" s="21"/>
      <c r="J195" s="20"/>
      <c r="K195" s="14" t="str">
        <f aca="false">IF(AND(I195&lt;&gt;"",H195&lt;&gt;"",J195&lt;&gt;""),IF(J195="W",I195*H195,IF(J195="L",-I195,IF(J195="P",I195*H195*0.5,""))),"")</f>
        <v/>
      </c>
      <c r="L195" s="15" t="str">
        <f aca="false">IF(AND(K195&lt;&gt;"",P194&lt;&gt;""),K195/P194,IF(K195&lt;&gt;"",K195/$D$2,""))</f>
        <v/>
      </c>
      <c r="M195" s="20"/>
      <c r="N195" s="20"/>
      <c r="O195" s="20"/>
      <c r="P195" s="16" t="str">
        <f aca="false">IF(K195&lt;&gt;"",P194+K195,IF(B195&lt;&gt;"",P194,""))</f>
        <v/>
      </c>
      <c r="Q195" s="17" t="str">
        <f aca="false">IF(P195&lt;&gt;"",MIN(0,P195-MAX($P$4:P195)),"")</f>
        <v/>
      </c>
    </row>
    <row r="196" customFormat="false" ht="15" hidden="false" customHeight="true" outlineLevel="0" collapsed="false">
      <c r="A196" s="11" t="str">
        <f aca="false">IF(B196&lt;&gt;"",COUNTA($B$4:B196),"")</f>
        <v/>
      </c>
      <c r="B196" s="12"/>
      <c r="C196" s="12"/>
      <c r="D196" s="12"/>
      <c r="E196" s="12"/>
      <c r="F196" s="12"/>
      <c r="G196" s="12"/>
      <c r="H196" s="12"/>
      <c r="I196" s="13"/>
      <c r="J196" s="12"/>
      <c r="K196" s="14" t="str">
        <f aca="false">IF(AND(I196&lt;&gt;"",H196&lt;&gt;"",J196&lt;&gt;""),IF(J196="W",I196*H196,IF(J196="L",-I196,IF(J196="P",I196*H196*0.5,""))),"")</f>
        <v/>
      </c>
      <c r="L196" s="15" t="str">
        <f aca="false">IF(AND(K196&lt;&gt;"",P195&lt;&gt;""),K196/P195,IF(K196&lt;&gt;"",K196/$D$2,""))</f>
        <v/>
      </c>
      <c r="M196" s="12"/>
      <c r="N196" s="12"/>
      <c r="O196" s="12"/>
      <c r="P196" s="16" t="str">
        <f aca="false">IF(K196&lt;&gt;"",P195+K196,IF(B196&lt;&gt;"",P195,""))</f>
        <v/>
      </c>
      <c r="Q196" s="17" t="str">
        <f aca="false">IF(P196&lt;&gt;"",MIN(0,P196-MAX($P$4:P196)),"")</f>
        <v/>
      </c>
    </row>
    <row r="197" customFormat="false" ht="15" hidden="false" customHeight="true" outlineLevel="0" collapsed="false">
      <c r="A197" s="11" t="str">
        <f aca="false">IF(B197&lt;&gt;"",COUNTA($B$4:B197),"")</f>
        <v/>
      </c>
      <c r="B197" s="20"/>
      <c r="C197" s="20"/>
      <c r="D197" s="20"/>
      <c r="E197" s="20"/>
      <c r="F197" s="20"/>
      <c r="G197" s="20"/>
      <c r="H197" s="20"/>
      <c r="I197" s="21"/>
      <c r="J197" s="20"/>
      <c r="K197" s="14" t="str">
        <f aca="false">IF(AND(I197&lt;&gt;"",H197&lt;&gt;"",J197&lt;&gt;""),IF(J197="W",I197*H197,IF(J197="L",-I197,IF(J197="P",I197*H197*0.5,""))),"")</f>
        <v/>
      </c>
      <c r="L197" s="15" t="str">
        <f aca="false">IF(AND(K197&lt;&gt;"",P196&lt;&gt;""),K197/P196,IF(K197&lt;&gt;"",K197/$D$2,""))</f>
        <v/>
      </c>
      <c r="M197" s="20"/>
      <c r="N197" s="20"/>
      <c r="O197" s="20"/>
      <c r="P197" s="16" t="str">
        <f aca="false">IF(K197&lt;&gt;"",P196+K197,IF(B197&lt;&gt;"",P196,""))</f>
        <v/>
      </c>
      <c r="Q197" s="17" t="str">
        <f aca="false">IF(P197&lt;&gt;"",MIN(0,P197-MAX($P$4:P197)),"")</f>
        <v/>
      </c>
    </row>
    <row r="198" customFormat="false" ht="15" hidden="false" customHeight="true" outlineLevel="0" collapsed="false">
      <c r="A198" s="11" t="str">
        <f aca="false">IF(B198&lt;&gt;"",COUNTA($B$4:B198),"")</f>
        <v/>
      </c>
      <c r="B198" s="12"/>
      <c r="C198" s="12"/>
      <c r="D198" s="12"/>
      <c r="E198" s="12"/>
      <c r="F198" s="12"/>
      <c r="G198" s="12"/>
      <c r="H198" s="12"/>
      <c r="I198" s="13"/>
      <c r="J198" s="12"/>
      <c r="K198" s="14" t="str">
        <f aca="false">IF(AND(I198&lt;&gt;"",H198&lt;&gt;"",J198&lt;&gt;""),IF(J198="W",I198*H198,IF(J198="L",-I198,IF(J198="P",I198*H198*0.5,""))),"")</f>
        <v/>
      </c>
      <c r="L198" s="15" t="str">
        <f aca="false">IF(AND(K198&lt;&gt;"",P197&lt;&gt;""),K198/P197,IF(K198&lt;&gt;"",K198/$D$2,""))</f>
        <v/>
      </c>
      <c r="M198" s="12"/>
      <c r="N198" s="12"/>
      <c r="O198" s="12"/>
      <c r="P198" s="16" t="str">
        <f aca="false">IF(K198&lt;&gt;"",P197+K198,IF(B198&lt;&gt;"",P197,""))</f>
        <v/>
      </c>
      <c r="Q198" s="17" t="str">
        <f aca="false">IF(P198&lt;&gt;"",MIN(0,P198-MAX($P$4:P198)),"")</f>
        <v/>
      </c>
    </row>
    <row r="199" customFormat="false" ht="15" hidden="false" customHeight="true" outlineLevel="0" collapsed="false">
      <c r="A199" s="11" t="str">
        <f aca="false">IF(B199&lt;&gt;"",COUNTA($B$4:B199),"")</f>
        <v/>
      </c>
      <c r="B199" s="20"/>
      <c r="C199" s="20"/>
      <c r="D199" s="20"/>
      <c r="E199" s="20"/>
      <c r="F199" s="20"/>
      <c r="G199" s="20"/>
      <c r="H199" s="20"/>
      <c r="I199" s="21"/>
      <c r="J199" s="20"/>
      <c r="K199" s="14" t="str">
        <f aca="false">IF(AND(I199&lt;&gt;"",H199&lt;&gt;"",J199&lt;&gt;""),IF(J199="W",I199*H199,IF(J199="L",-I199,IF(J199="P",I199*H199*0.5,""))),"")</f>
        <v/>
      </c>
      <c r="L199" s="15" t="str">
        <f aca="false">IF(AND(K199&lt;&gt;"",P198&lt;&gt;""),K199/P198,IF(K199&lt;&gt;"",K199/$D$2,""))</f>
        <v/>
      </c>
      <c r="M199" s="20"/>
      <c r="N199" s="20"/>
      <c r="O199" s="20"/>
      <c r="P199" s="16" t="str">
        <f aca="false">IF(K199&lt;&gt;"",P198+K199,IF(B199&lt;&gt;"",P198,""))</f>
        <v/>
      </c>
      <c r="Q199" s="17" t="str">
        <f aca="false">IF(P199&lt;&gt;"",MIN(0,P199-MAX($P$4:P199)),"")</f>
        <v/>
      </c>
    </row>
    <row r="200" customFormat="false" ht="15" hidden="false" customHeight="true" outlineLevel="0" collapsed="false">
      <c r="A200" s="11" t="str">
        <f aca="false">IF(B200&lt;&gt;"",COUNTA($B$4:B200),"")</f>
        <v/>
      </c>
      <c r="B200" s="12"/>
      <c r="C200" s="12"/>
      <c r="D200" s="12"/>
      <c r="E200" s="12"/>
      <c r="F200" s="12"/>
      <c r="G200" s="12"/>
      <c r="H200" s="12"/>
      <c r="I200" s="13"/>
      <c r="J200" s="12"/>
      <c r="K200" s="14" t="str">
        <f aca="false">IF(AND(I200&lt;&gt;"",H200&lt;&gt;"",J200&lt;&gt;""),IF(J200="W",I200*H200,IF(J200="L",-I200,IF(J200="P",I200*H200*0.5,""))),"")</f>
        <v/>
      </c>
      <c r="L200" s="15" t="str">
        <f aca="false">IF(AND(K200&lt;&gt;"",P199&lt;&gt;""),K200/P199,IF(K200&lt;&gt;"",K200/$D$2,""))</f>
        <v/>
      </c>
      <c r="M200" s="12"/>
      <c r="N200" s="12"/>
      <c r="O200" s="12"/>
      <c r="P200" s="16" t="str">
        <f aca="false">IF(K200&lt;&gt;"",P199+K200,IF(B200&lt;&gt;"",P199,""))</f>
        <v/>
      </c>
      <c r="Q200" s="17" t="str">
        <f aca="false">IF(P200&lt;&gt;"",MIN(0,P200-MAX($P$4:P200)),"")</f>
        <v/>
      </c>
    </row>
    <row r="201" customFormat="false" ht="15" hidden="false" customHeight="true" outlineLevel="0" collapsed="false">
      <c r="A201" s="11" t="str">
        <f aca="false">IF(B201&lt;&gt;"",COUNTA($B$4:B201),"")</f>
        <v/>
      </c>
      <c r="B201" s="20"/>
      <c r="C201" s="20"/>
      <c r="D201" s="20"/>
      <c r="E201" s="20"/>
      <c r="F201" s="20"/>
      <c r="G201" s="20"/>
      <c r="H201" s="20"/>
      <c r="I201" s="21"/>
      <c r="J201" s="20"/>
      <c r="K201" s="14" t="str">
        <f aca="false">IF(AND(I201&lt;&gt;"",H201&lt;&gt;"",J201&lt;&gt;""),IF(J201="W",I201*H201,IF(J201="L",-I201,IF(J201="P",I201*H201*0.5,""))),"")</f>
        <v/>
      </c>
      <c r="L201" s="15" t="str">
        <f aca="false">IF(AND(K201&lt;&gt;"",P200&lt;&gt;""),K201/P200,IF(K201&lt;&gt;"",K201/$D$2,""))</f>
        <v/>
      </c>
      <c r="M201" s="20"/>
      <c r="N201" s="20"/>
      <c r="O201" s="20"/>
      <c r="P201" s="16" t="str">
        <f aca="false">IF(K201&lt;&gt;"",P200+K201,IF(B201&lt;&gt;"",P200,""))</f>
        <v/>
      </c>
      <c r="Q201" s="17" t="str">
        <f aca="false">IF(P201&lt;&gt;"",MIN(0,P201-MAX($P$4:P201)),"")</f>
        <v/>
      </c>
    </row>
    <row r="202" customFormat="false" ht="15" hidden="false" customHeight="true" outlineLevel="0" collapsed="false">
      <c r="A202" s="11" t="str">
        <f aca="false">IF(B202&lt;&gt;"",COUNTA($B$4:B202),"")</f>
        <v/>
      </c>
      <c r="B202" s="12"/>
      <c r="C202" s="12"/>
      <c r="D202" s="12"/>
      <c r="E202" s="12"/>
      <c r="F202" s="12"/>
      <c r="G202" s="12"/>
      <c r="H202" s="12"/>
      <c r="I202" s="13"/>
      <c r="J202" s="12"/>
      <c r="K202" s="14" t="str">
        <f aca="false">IF(AND(I202&lt;&gt;"",H202&lt;&gt;"",J202&lt;&gt;""),IF(J202="W",I202*H202,IF(J202="L",-I202,IF(J202="P",I202*H202*0.5,""))),"")</f>
        <v/>
      </c>
      <c r="L202" s="15" t="str">
        <f aca="false">IF(AND(K202&lt;&gt;"",P201&lt;&gt;""),K202/P201,IF(K202&lt;&gt;"",K202/$D$2,""))</f>
        <v/>
      </c>
      <c r="M202" s="12"/>
      <c r="N202" s="12"/>
      <c r="O202" s="12"/>
      <c r="P202" s="16" t="str">
        <f aca="false">IF(K202&lt;&gt;"",P201+K202,IF(B202&lt;&gt;"",P201,""))</f>
        <v/>
      </c>
      <c r="Q202" s="17" t="str">
        <f aca="false">IF(P202&lt;&gt;"",MIN(0,P202-MAX($P$4:P202)),"")</f>
        <v/>
      </c>
    </row>
    <row r="203" customFormat="false" ht="15" hidden="false" customHeight="true" outlineLevel="0" collapsed="false">
      <c r="A203" s="11" t="str">
        <f aca="false">IF(B203&lt;&gt;"",COUNTA($B$4:B203),"")</f>
        <v/>
      </c>
      <c r="B203" s="20"/>
      <c r="C203" s="20"/>
      <c r="D203" s="20"/>
      <c r="E203" s="20"/>
      <c r="F203" s="20"/>
      <c r="G203" s="20"/>
      <c r="H203" s="20"/>
      <c r="I203" s="21"/>
      <c r="J203" s="20"/>
      <c r="K203" s="14" t="str">
        <f aca="false">IF(AND(I203&lt;&gt;"",H203&lt;&gt;"",J203&lt;&gt;""),IF(J203="W",I203*H203,IF(J203="L",-I203,IF(J203="P",I203*H203*0.5,""))),"")</f>
        <v/>
      </c>
      <c r="L203" s="15" t="str">
        <f aca="false">IF(AND(K203&lt;&gt;"",P202&lt;&gt;""),K203/P202,IF(K203&lt;&gt;"",K203/$D$2,""))</f>
        <v/>
      </c>
      <c r="M203" s="20"/>
      <c r="N203" s="20"/>
      <c r="O203" s="20"/>
      <c r="P203" s="16" t="str">
        <f aca="false">IF(K203&lt;&gt;"",P202+K203,IF(B203&lt;&gt;"",P202,""))</f>
        <v/>
      </c>
      <c r="Q203" s="17" t="str">
        <f aca="false">IF(P203&lt;&gt;"",MIN(0,P203-MAX($P$4:P203)),"")</f>
        <v/>
      </c>
    </row>
    <row r="204" customFormat="false" ht="15" hidden="false" customHeight="true" outlineLevel="0" collapsed="false">
      <c r="A204" s="11" t="str">
        <f aca="false">IF(B204&lt;&gt;"",COUNTA($B$4:B204),"")</f>
        <v/>
      </c>
      <c r="B204" s="12"/>
      <c r="C204" s="12"/>
      <c r="D204" s="12"/>
      <c r="E204" s="12"/>
      <c r="F204" s="12"/>
      <c r="G204" s="12"/>
      <c r="H204" s="12"/>
      <c r="I204" s="13"/>
      <c r="J204" s="12"/>
      <c r="K204" s="14" t="str">
        <f aca="false">IF(AND(I204&lt;&gt;"",H204&lt;&gt;"",J204&lt;&gt;""),IF(J204="W",I204*H204,IF(J204="L",-I204,IF(J204="P",I204*H204*0.5,""))),"")</f>
        <v/>
      </c>
      <c r="L204" s="15" t="str">
        <f aca="false">IF(AND(K204&lt;&gt;"",P203&lt;&gt;""),K204/P203,IF(K204&lt;&gt;"",K204/$D$2,""))</f>
        <v/>
      </c>
      <c r="M204" s="12"/>
      <c r="N204" s="12"/>
      <c r="O204" s="12"/>
      <c r="P204" s="16" t="str">
        <f aca="false">IF(K204&lt;&gt;"",P203+K204,IF(B204&lt;&gt;"",P203,""))</f>
        <v/>
      </c>
      <c r="Q204" s="17" t="str">
        <f aca="false">IF(P204&lt;&gt;"",MIN(0,P204-MAX($P$4:P204)),"")</f>
        <v/>
      </c>
    </row>
    <row r="205" customFormat="false" ht="15" hidden="false" customHeight="true" outlineLevel="0" collapsed="false">
      <c r="A205" s="11" t="str">
        <f aca="false">IF(B205&lt;&gt;"",COUNTA($B$4:B205),"")</f>
        <v/>
      </c>
      <c r="B205" s="20"/>
      <c r="C205" s="20"/>
      <c r="D205" s="20"/>
      <c r="E205" s="20"/>
      <c r="F205" s="20"/>
      <c r="G205" s="20"/>
      <c r="H205" s="20"/>
      <c r="I205" s="21"/>
      <c r="J205" s="20"/>
      <c r="K205" s="14" t="str">
        <f aca="false">IF(AND(I205&lt;&gt;"",H205&lt;&gt;"",J205&lt;&gt;""),IF(J205="W",I205*H205,IF(J205="L",-I205,IF(J205="P",I205*H205*0.5,""))),"")</f>
        <v/>
      </c>
      <c r="L205" s="15" t="str">
        <f aca="false">IF(AND(K205&lt;&gt;"",P204&lt;&gt;""),K205/P204,IF(K205&lt;&gt;"",K205/$D$2,""))</f>
        <v/>
      </c>
      <c r="M205" s="20"/>
      <c r="N205" s="20"/>
      <c r="O205" s="20"/>
      <c r="P205" s="16" t="str">
        <f aca="false">IF(K205&lt;&gt;"",P204+K205,IF(B205&lt;&gt;"",P204,""))</f>
        <v/>
      </c>
      <c r="Q205" s="17" t="str">
        <f aca="false">IF(P205&lt;&gt;"",MIN(0,P205-MAX($P$4:P205)),"")</f>
        <v/>
      </c>
    </row>
    <row r="206" customFormat="false" ht="15" hidden="false" customHeight="true" outlineLevel="0" collapsed="false">
      <c r="A206" s="11" t="str">
        <f aca="false">IF(B206&lt;&gt;"",COUNTA($B$4:B206),"")</f>
        <v/>
      </c>
      <c r="B206" s="12"/>
      <c r="C206" s="12"/>
      <c r="D206" s="12"/>
      <c r="E206" s="12"/>
      <c r="F206" s="12"/>
      <c r="G206" s="12"/>
      <c r="H206" s="12"/>
      <c r="I206" s="13"/>
      <c r="J206" s="12"/>
      <c r="K206" s="14" t="str">
        <f aca="false">IF(AND(I206&lt;&gt;"",H206&lt;&gt;"",J206&lt;&gt;""),IF(J206="W",I206*H206,IF(J206="L",-I206,IF(J206="P",I206*H206*0.5,""))),"")</f>
        <v/>
      </c>
      <c r="L206" s="15" t="str">
        <f aca="false">IF(AND(K206&lt;&gt;"",P205&lt;&gt;""),K206/P205,IF(K206&lt;&gt;"",K206/$D$2,""))</f>
        <v/>
      </c>
      <c r="M206" s="12"/>
      <c r="N206" s="12"/>
      <c r="O206" s="12"/>
      <c r="P206" s="16" t="str">
        <f aca="false">IF(K206&lt;&gt;"",P205+K206,IF(B206&lt;&gt;"",P205,""))</f>
        <v/>
      </c>
      <c r="Q206" s="17" t="str">
        <f aca="false">IF(P206&lt;&gt;"",MIN(0,P206-MAX($P$4:P206)),"")</f>
        <v/>
      </c>
    </row>
    <row r="207" customFormat="false" ht="15" hidden="false" customHeight="true" outlineLevel="0" collapsed="false">
      <c r="A207" s="11" t="str">
        <f aca="false">IF(B207&lt;&gt;"",COUNTA($B$4:B207),"")</f>
        <v/>
      </c>
      <c r="B207" s="20"/>
      <c r="C207" s="20"/>
      <c r="D207" s="20"/>
      <c r="E207" s="20"/>
      <c r="F207" s="20"/>
      <c r="G207" s="20"/>
      <c r="H207" s="20"/>
      <c r="I207" s="21"/>
      <c r="J207" s="20"/>
      <c r="K207" s="14" t="str">
        <f aca="false">IF(AND(I207&lt;&gt;"",H207&lt;&gt;"",J207&lt;&gt;""),IF(J207="W",I207*H207,IF(J207="L",-I207,IF(J207="P",I207*H207*0.5,""))),"")</f>
        <v/>
      </c>
      <c r="L207" s="15" t="str">
        <f aca="false">IF(AND(K207&lt;&gt;"",P206&lt;&gt;""),K207/P206,IF(K207&lt;&gt;"",K207/$D$2,""))</f>
        <v/>
      </c>
      <c r="M207" s="20"/>
      <c r="N207" s="20"/>
      <c r="O207" s="20"/>
      <c r="P207" s="16" t="str">
        <f aca="false">IF(K207&lt;&gt;"",P206+K207,IF(B207&lt;&gt;"",P206,""))</f>
        <v/>
      </c>
      <c r="Q207" s="17" t="str">
        <f aca="false">IF(P207&lt;&gt;"",MIN(0,P207-MAX($P$4:P207)),"")</f>
        <v/>
      </c>
    </row>
    <row r="208" customFormat="false" ht="15" hidden="false" customHeight="true" outlineLevel="0" collapsed="false">
      <c r="A208" s="11" t="str">
        <f aca="false">IF(B208&lt;&gt;"",COUNTA($B$4:B208),"")</f>
        <v/>
      </c>
      <c r="B208" s="12"/>
      <c r="C208" s="12"/>
      <c r="D208" s="12"/>
      <c r="E208" s="12"/>
      <c r="F208" s="12"/>
      <c r="G208" s="12"/>
      <c r="H208" s="12"/>
      <c r="I208" s="13"/>
      <c r="J208" s="12"/>
      <c r="K208" s="14" t="str">
        <f aca="false">IF(AND(I208&lt;&gt;"",H208&lt;&gt;"",J208&lt;&gt;""),IF(J208="W",I208*H208,IF(J208="L",-I208,IF(J208="P",I208*H208*0.5,""))),"")</f>
        <v/>
      </c>
      <c r="L208" s="15" t="str">
        <f aca="false">IF(AND(K208&lt;&gt;"",P207&lt;&gt;""),K208/P207,IF(K208&lt;&gt;"",K208/$D$2,""))</f>
        <v/>
      </c>
      <c r="M208" s="12"/>
      <c r="N208" s="12"/>
      <c r="O208" s="12"/>
      <c r="P208" s="16" t="str">
        <f aca="false">IF(K208&lt;&gt;"",P207+K208,IF(B208&lt;&gt;"",P207,""))</f>
        <v/>
      </c>
      <c r="Q208" s="17" t="str">
        <f aca="false">IF(P208&lt;&gt;"",MIN(0,P208-MAX($P$4:P208)),"")</f>
        <v/>
      </c>
    </row>
    <row r="209" customFormat="false" ht="15" hidden="false" customHeight="true" outlineLevel="0" collapsed="false">
      <c r="A209" s="11" t="str">
        <f aca="false">IF(B209&lt;&gt;"",COUNTA($B$4:B209),"")</f>
        <v/>
      </c>
      <c r="B209" s="20"/>
      <c r="C209" s="20"/>
      <c r="D209" s="20"/>
      <c r="E209" s="20"/>
      <c r="F209" s="20"/>
      <c r="G209" s="20"/>
      <c r="H209" s="20"/>
      <c r="I209" s="21"/>
      <c r="J209" s="20"/>
      <c r="K209" s="14" t="str">
        <f aca="false">IF(AND(I209&lt;&gt;"",H209&lt;&gt;"",J209&lt;&gt;""),IF(J209="W",I209*H209,IF(J209="L",-I209,IF(J209="P",I209*H209*0.5,""))),"")</f>
        <v/>
      </c>
      <c r="L209" s="15" t="str">
        <f aca="false">IF(AND(K209&lt;&gt;"",P208&lt;&gt;""),K209/P208,IF(K209&lt;&gt;"",K209/$D$2,""))</f>
        <v/>
      </c>
      <c r="M209" s="20"/>
      <c r="N209" s="20"/>
      <c r="O209" s="20"/>
      <c r="P209" s="16" t="str">
        <f aca="false">IF(K209&lt;&gt;"",P208+K209,IF(B209&lt;&gt;"",P208,""))</f>
        <v/>
      </c>
      <c r="Q209" s="17" t="str">
        <f aca="false">IF(P209&lt;&gt;"",MIN(0,P209-MAX($P$4:P209)),"")</f>
        <v/>
      </c>
    </row>
    <row r="210" customFormat="false" ht="15" hidden="false" customHeight="true" outlineLevel="0" collapsed="false">
      <c r="A210" s="11" t="str">
        <f aca="false">IF(B210&lt;&gt;"",COUNTA($B$4:B210),"")</f>
        <v/>
      </c>
      <c r="B210" s="12"/>
      <c r="C210" s="12"/>
      <c r="D210" s="12"/>
      <c r="E210" s="12"/>
      <c r="F210" s="12"/>
      <c r="G210" s="12"/>
      <c r="H210" s="12"/>
      <c r="I210" s="13"/>
      <c r="J210" s="12"/>
      <c r="K210" s="14" t="str">
        <f aca="false">IF(AND(I210&lt;&gt;"",H210&lt;&gt;"",J210&lt;&gt;""),IF(J210="W",I210*H210,IF(J210="L",-I210,IF(J210="P",I210*H210*0.5,""))),"")</f>
        <v/>
      </c>
      <c r="L210" s="15" t="str">
        <f aca="false">IF(AND(K210&lt;&gt;"",P209&lt;&gt;""),K210/P209,IF(K210&lt;&gt;"",K210/$D$2,""))</f>
        <v/>
      </c>
      <c r="M210" s="12"/>
      <c r="N210" s="12"/>
      <c r="O210" s="12"/>
      <c r="P210" s="16" t="str">
        <f aca="false">IF(K210&lt;&gt;"",P209+K210,IF(B210&lt;&gt;"",P209,""))</f>
        <v/>
      </c>
      <c r="Q210" s="17" t="str">
        <f aca="false">IF(P210&lt;&gt;"",MIN(0,P210-MAX($P$4:P210)),"")</f>
        <v/>
      </c>
    </row>
    <row r="211" customFormat="false" ht="15" hidden="false" customHeight="true" outlineLevel="0" collapsed="false">
      <c r="A211" s="11" t="str">
        <f aca="false">IF(B211&lt;&gt;"",COUNTA($B$4:B211),"")</f>
        <v/>
      </c>
      <c r="B211" s="20"/>
      <c r="C211" s="20"/>
      <c r="D211" s="20"/>
      <c r="E211" s="20"/>
      <c r="F211" s="20"/>
      <c r="G211" s="20"/>
      <c r="H211" s="20"/>
      <c r="I211" s="21"/>
      <c r="J211" s="20"/>
      <c r="K211" s="14" t="str">
        <f aca="false">IF(AND(I211&lt;&gt;"",H211&lt;&gt;"",J211&lt;&gt;""),IF(J211="W",I211*H211,IF(J211="L",-I211,IF(J211="P",I211*H211*0.5,""))),"")</f>
        <v/>
      </c>
      <c r="L211" s="15" t="str">
        <f aca="false">IF(AND(K211&lt;&gt;"",P210&lt;&gt;""),K211/P210,IF(K211&lt;&gt;"",K211/$D$2,""))</f>
        <v/>
      </c>
      <c r="M211" s="20"/>
      <c r="N211" s="20"/>
      <c r="O211" s="20"/>
      <c r="P211" s="16" t="str">
        <f aca="false">IF(K211&lt;&gt;"",P210+K211,IF(B211&lt;&gt;"",P210,""))</f>
        <v/>
      </c>
      <c r="Q211" s="17" t="str">
        <f aca="false">IF(P211&lt;&gt;"",MIN(0,P211-MAX($P$4:P211)),"")</f>
        <v/>
      </c>
    </row>
    <row r="212" customFormat="false" ht="15" hidden="false" customHeight="true" outlineLevel="0" collapsed="false">
      <c r="A212" s="11" t="str">
        <f aca="false">IF(B212&lt;&gt;"",COUNTA($B$4:B212),"")</f>
        <v/>
      </c>
      <c r="B212" s="12"/>
      <c r="C212" s="12"/>
      <c r="D212" s="12"/>
      <c r="E212" s="12"/>
      <c r="F212" s="12"/>
      <c r="G212" s="12"/>
      <c r="H212" s="12"/>
      <c r="I212" s="13"/>
      <c r="J212" s="12"/>
      <c r="K212" s="14" t="str">
        <f aca="false">IF(AND(I212&lt;&gt;"",H212&lt;&gt;"",J212&lt;&gt;""),IF(J212="W",I212*H212,IF(J212="L",-I212,IF(J212="P",I212*H212*0.5,""))),"")</f>
        <v/>
      </c>
      <c r="L212" s="15" t="str">
        <f aca="false">IF(AND(K212&lt;&gt;"",P211&lt;&gt;""),K212/P211,IF(K212&lt;&gt;"",K212/$D$2,""))</f>
        <v/>
      </c>
      <c r="M212" s="12"/>
      <c r="N212" s="12"/>
      <c r="O212" s="12"/>
      <c r="P212" s="16" t="str">
        <f aca="false">IF(K212&lt;&gt;"",P211+K212,IF(B212&lt;&gt;"",P211,""))</f>
        <v/>
      </c>
      <c r="Q212" s="17" t="str">
        <f aca="false">IF(P212&lt;&gt;"",MIN(0,P212-MAX($P$4:P212)),"")</f>
        <v/>
      </c>
    </row>
    <row r="213" customFormat="false" ht="15" hidden="false" customHeight="true" outlineLevel="0" collapsed="false">
      <c r="A213" s="11" t="str">
        <f aca="false">IF(B213&lt;&gt;"",COUNTA($B$4:B213),"")</f>
        <v/>
      </c>
      <c r="B213" s="20"/>
      <c r="C213" s="20"/>
      <c r="D213" s="20"/>
      <c r="E213" s="20"/>
      <c r="F213" s="20"/>
      <c r="G213" s="20"/>
      <c r="H213" s="20"/>
      <c r="I213" s="21"/>
      <c r="J213" s="20"/>
      <c r="K213" s="14" t="str">
        <f aca="false">IF(AND(I213&lt;&gt;"",H213&lt;&gt;"",J213&lt;&gt;""),IF(J213="W",I213*H213,IF(J213="L",-I213,IF(J213="P",I213*H213*0.5,""))),"")</f>
        <v/>
      </c>
      <c r="L213" s="15" t="str">
        <f aca="false">IF(AND(K213&lt;&gt;"",P212&lt;&gt;""),K213/P212,IF(K213&lt;&gt;"",K213/$D$2,""))</f>
        <v/>
      </c>
      <c r="M213" s="20"/>
      <c r="N213" s="20"/>
      <c r="O213" s="20"/>
      <c r="P213" s="16" t="str">
        <f aca="false">IF(K213&lt;&gt;"",P212+K213,IF(B213&lt;&gt;"",P212,""))</f>
        <v/>
      </c>
      <c r="Q213" s="17" t="str">
        <f aca="false">IF(P213&lt;&gt;"",MIN(0,P213-MAX($P$4:P213)),"")</f>
        <v/>
      </c>
    </row>
    <row r="214" customFormat="false" ht="15" hidden="false" customHeight="true" outlineLevel="0" collapsed="false">
      <c r="A214" s="11" t="str">
        <f aca="false">IF(B214&lt;&gt;"",COUNTA($B$4:B214),"")</f>
        <v/>
      </c>
      <c r="B214" s="12"/>
      <c r="C214" s="12"/>
      <c r="D214" s="12"/>
      <c r="E214" s="12"/>
      <c r="F214" s="12"/>
      <c r="G214" s="12"/>
      <c r="H214" s="12"/>
      <c r="I214" s="13"/>
      <c r="J214" s="12"/>
      <c r="K214" s="14" t="str">
        <f aca="false">IF(AND(I214&lt;&gt;"",H214&lt;&gt;"",J214&lt;&gt;""),IF(J214="W",I214*H214,IF(J214="L",-I214,IF(J214="P",I214*H214*0.5,""))),"")</f>
        <v/>
      </c>
      <c r="L214" s="15" t="str">
        <f aca="false">IF(AND(K214&lt;&gt;"",P213&lt;&gt;""),K214/P213,IF(K214&lt;&gt;"",K214/$D$2,""))</f>
        <v/>
      </c>
      <c r="M214" s="12"/>
      <c r="N214" s="12"/>
      <c r="O214" s="12"/>
      <c r="P214" s="16" t="str">
        <f aca="false">IF(K214&lt;&gt;"",P213+K214,IF(B214&lt;&gt;"",P213,""))</f>
        <v/>
      </c>
      <c r="Q214" s="17" t="str">
        <f aca="false">IF(P214&lt;&gt;"",MIN(0,P214-MAX($P$4:P214)),"")</f>
        <v/>
      </c>
    </row>
    <row r="215" customFormat="false" ht="15" hidden="false" customHeight="true" outlineLevel="0" collapsed="false">
      <c r="A215" s="11" t="str">
        <f aca="false">IF(B215&lt;&gt;"",COUNTA($B$4:B215),"")</f>
        <v/>
      </c>
      <c r="B215" s="20"/>
      <c r="C215" s="20"/>
      <c r="D215" s="20"/>
      <c r="E215" s="20"/>
      <c r="F215" s="20"/>
      <c r="G215" s="20"/>
      <c r="H215" s="20"/>
      <c r="I215" s="21"/>
      <c r="J215" s="20"/>
      <c r="K215" s="14" t="str">
        <f aca="false">IF(AND(I215&lt;&gt;"",H215&lt;&gt;"",J215&lt;&gt;""),IF(J215="W",I215*H215,IF(J215="L",-I215,IF(J215="P",I215*H215*0.5,""))),"")</f>
        <v/>
      </c>
      <c r="L215" s="15" t="str">
        <f aca="false">IF(AND(K215&lt;&gt;"",P214&lt;&gt;""),K215/P214,IF(K215&lt;&gt;"",K215/$D$2,""))</f>
        <v/>
      </c>
      <c r="M215" s="20"/>
      <c r="N215" s="20"/>
      <c r="O215" s="20"/>
      <c r="P215" s="16" t="str">
        <f aca="false">IF(K215&lt;&gt;"",P214+K215,IF(B215&lt;&gt;"",P214,""))</f>
        <v/>
      </c>
      <c r="Q215" s="17" t="str">
        <f aca="false">IF(P215&lt;&gt;"",MIN(0,P215-MAX($P$4:P215)),"")</f>
        <v/>
      </c>
    </row>
    <row r="216" customFormat="false" ht="15" hidden="false" customHeight="true" outlineLevel="0" collapsed="false">
      <c r="A216" s="11" t="str">
        <f aca="false">IF(B216&lt;&gt;"",COUNTA($B$4:B216),"")</f>
        <v/>
      </c>
      <c r="B216" s="12"/>
      <c r="C216" s="12"/>
      <c r="D216" s="12"/>
      <c r="E216" s="12"/>
      <c r="F216" s="12"/>
      <c r="G216" s="12"/>
      <c r="H216" s="12"/>
      <c r="I216" s="13"/>
      <c r="J216" s="12"/>
      <c r="K216" s="14" t="str">
        <f aca="false">IF(AND(I216&lt;&gt;"",H216&lt;&gt;"",J216&lt;&gt;""),IF(J216="W",I216*H216,IF(J216="L",-I216,IF(J216="P",I216*H216*0.5,""))),"")</f>
        <v/>
      </c>
      <c r="L216" s="15" t="str">
        <f aca="false">IF(AND(K216&lt;&gt;"",P215&lt;&gt;""),K216/P215,IF(K216&lt;&gt;"",K216/$D$2,""))</f>
        <v/>
      </c>
      <c r="M216" s="12"/>
      <c r="N216" s="12"/>
      <c r="O216" s="12"/>
      <c r="P216" s="16" t="str">
        <f aca="false">IF(K216&lt;&gt;"",P215+K216,IF(B216&lt;&gt;"",P215,""))</f>
        <v/>
      </c>
      <c r="Q216" s="17" t="str">
        <f aca="false">IF(P216&lt;&gt;"",MIN(0,P216-MAX($P$4:P216)),"")</f>
        <v/>
      </c>
    </row>
    <row r="217" customFormat="false" ht="15" hidden="false" customHeight="true" outlineLevel="0" collapsed="false">
      <c r="A217" s="11" t="str">
        <f aca="false">IF(B217&lt;&gt;"",COUNTA($B$4:B217),"")</f>
        <v/>
      </c>
      <c r="B217" s="20"/>
      <c r="C217" s="20"/>
      <c r="D217" s="20"/>
      <c r="E217" s="20"/>
      <c r="F217" s="20"/>
      <c r="G217" s="20"/>
      <c r="H217" s="20"/>
      <c r="I217" s="21"/>
      <c r="J217" s="20"/>
      <c r="K217" s="14" t="str">
        <f aca="false">IF(AND(I217&lt;&gt;"",H217&lt;&gt;"",J217&lt;&gt;""),IF(J217="W",I217*H217,IF(J217="L",-I217,IF(J217="P",I217*H217*0.5,""))),"")</f>
        <v/>
      </c>
      <c r="L217" s="15" t="str">
        <f aca="false">IF(AND(K217&lt;&gt;"",P216&lt;&gt;""),K217/P216,IF(K217&lt;&gt;"",K217/$D$2,""))</f>
        <v/>
      </c>
      <c r="M217" s="20"/>
      <c r="N217" s="20"/>
      <c r="O217" s="20"/>
      <c r="P217" s="16" t="str">
        <f aca="false">IF(K217&lt;&gt;"",P216+K217,IF(B217&lt;&gt;"",P216,""))</f>
        <v/>
      </c>
      <c r="Q217" s="17" t="str">
        <f aca="false">IF(P217&lt;&gt;"",MIN(0,P217-MAX($P$4:P217)),"")</f>
        <v/>
      </c>
    </row>
    <row r="218" customFormat="false" ht="15" hidden="false" customHeight="true" outlineLevel="0" collapsed="false">
      <c r="A218" s="11" t="str">
        <f aca="false">IF(B218&lt;&gt;"",COUNTA($B$4:B218),"")</f>
        <v/>
      </c>
      <c r="B218" s="12"/>
      <c r="C218" s="12"/>
      <c r="D218" s="12"/>
      <c r="E218" s="12"/>
      <c r="F218" s="12"/>
      <c r="G218" s="12"/>
      <c r="H218" s="12"/>
      <c r="I218" s="13"/>
      <c r="J218" s="12"/>
      <c r="K218" s="14" t="str">
        <f aca="false">IF(AND(I218&lt;&gt;"",H218&lt;&gt;"",J218&lt;&gt;""),IF(J218="W",I218*H218,IF(J218="L",-I218,IF(J218="P",I218*H218*0.5,""))),"")</f>
        <v/>
      </c>
      <c r="L218" s="15" t="str">
        <f aca="false">IF(AND(K218&lt;&gt;"",P217&lt;&gt;""),K218/P217,IF(K218&lt;&gt;"",K218/$D$2,""))</f>
        <v/>
      </c>
      <c r="M218" s="12"/>
      <c r="N218" s="12"/>
      <c r="O218" s="12"/>
      <c r="P218" s="16" t="str">
        <f aca="false">IF(K218&lt;&gt;"",P217+K218,IF(B218&lt;&gt;"",P217,""))</f>
        <v/>
      </c>
      <c r="Q218" s="17" t="str">
        <f aca="false">IF(P218&lt;&gt;"",MIN(0,P218-MAX($P$4:P218)),"")</f>
        <v/>
      </c>
    </row>
    <row r="219" customFormat="false" ht="15" hidden="false" customHeight="true" outlineLevel="0" collapsed="false">
      <c r="A219" s="11" t="str">
        <f aca="false">IF(B219&lt;&gt;"",COUNTA($B$4:B219),"")</f>
        <v/>
      </c>
      <c r="B219" s="20"/>
      <c r="C219" s="20"/>
      <c r="D219" s="20"/>
      <c r="E219" s="20"/>
      <c r="F219" s="20"/>
      <c r="G219" s="20"/>
      <c r="H219" s="20"/>
      <c r="I219" s="21"/>
      <c r="J219" s="20"/>
      <c r="K219" s="14" t="str">
        <f aca="false">IF(AND(I219&lt;&gt;"",H219&lt;&gt;"",J219&lt;&gt;""),IF(J219="W",I219*H219,IF(J219="L",-I219,IF(J219="P",I219*H219*0.5,""))),"")</f>
        <v/>
      </c>
      <c r="L219" s="15" t="str">
        <f aca="false">IF(AND(K219&lt;&gt;"",P218&lt;&gt;""),K219/P218,IF(K219&lt;&gt;"",K219/$D$2,""))</f>
        <v/>
      </c>
      <c r="M219" s="20"/>
      <c r="N219" s="20"/>
      <c r="O219" s="20"/>
      <c r="P219" s="16" t="str">
        <f aca="false">IF(K219&lt;&gt;"",P218+K219,IF(B219&lt;&gt;"",P218,""))</f>
        <v/>
      </c>
      <c r="Q219" s="17" t="str">
        <f aca="false">IF(P219&lt;&gt;"",MIN(0,P219-MAX($P$4:P219)),"")</f>
        <v/>
      </c>
    </row>
    <row r="220" customFormat="false" ht="15" hidden="false" customHeight="true" outlineLevel="0" collapsed="false">
      <c r="A220" s="11" t="str">
        <f aca="false">IF(B220&lt;&gt;"",COUNTA($B$4:B220),"")</f>
        <v/>
      </c>
      <c r="B220" s="12"/>
      <c r="C220" s="12"/>
      <c r="D220" s="12"/>
      <c r="E220" s="12"/>
      <c r="F220" s="12"/>
      <c r="G220" s="12"/>
      <c r="H220" s="12"/>
      <c r="I220" s="13"/>
      <c r="J220" s="12"/>
      <c r="K220" s="14" t="str">
        <f aca="false">IF(AND(I220&lt;&gt;"",H220&lt;&gt;"",J220&lt;&gt;""),IF(J220="W",I220*H220,IF(J220="L",-I220,IF(J220="P",I220*H220*0.5,""))),"")</f>
        <v/>
      </c>
      <c r="L220" s="15" t="str">
        <f aca="false">IF(AND(K220&lt;&gt;"",P219&lt;&gt;""),K220/P219,IF(K220&lt;&gt;"",K220/$D$2,""))</f>
        <v/>
      </c>
      <c r="M220" s="12"/>
      <c r="N220" s="12"/>
      <c r="O220" s="12"/>
      <c r="P220" s="16" t="str">
        <f aca="false">IF(K220&lt;&gt;"",P219+K220,IF(B220&lt;&gt;"",P219,""))</f>
        <v/>
      </c>
      <c r="Q220" s="17" t="str">
        <f aca="false">IF(P220&lt;&gt;"",MIN(0,P220-MAX($P$4:P220)),"")</f>
        <v/>
      </c>
    </row>
    <row r="221" customFormat="false" ht="15" hidden="false" customHeight="true" outlineLevel="0" collapsed="false">
      <c r="A221" s="11" t="str">
        <f aca="false">IF(B221&lt;&gt;"",COUNTA($B$4:B221),"")</f>
        <v/>
      </c>
      <c r="B221" s="20"/>
      <c r="C221" s="20"/>
      <c r="D221" s="20"/>
      <c r="E221" s="20"/>
      <c r="F221" s="20"/>
      <c r="G221" s="20"/>
      <c r="H221" s="20"/>
      <c r="I221" s="21"/>
      <c r="J221" s="20"/>
      <c r="K221" s="14" t="str">
        <f aca="false">IF(AND(I221&lt;&gt;"",H221&lt;&gt;"",J221&lt;&gt;""),IF(J221="W",I221*H221,IF(J221="L",-I221,IF(J221="P",I221*H221*0.5,""))),"")</f>
        <v/>
      </c>
      <c r="L221" s="15" t="str">
        <f aca="false">IF(AND(K221&lt;&gt;"",P220&lt;&gt;""),K221/P220,IF(K221&lt;&gt;"",K221/$D$2,""))</f>
        <v/>
      </c>
      <c r="M221" s="20"/>
      <c r="N221" s="20"/>
      <c r="O221" s="20"/>
      <c r="P221" s="16" t="str">
        <f aca="false">IF(K221&lt;&gt;"",P220+K221,IF(B221&lt;&gt;"",P220,""))</f>
        <v/>
      </c>
      <c r="Q221" s="17" t="str">
        <f aca="false">IF(P221&lt;&gt;"",MIN(0,P221-MAX($P$4:P221)),"")</f>
        <v/>
      </c>
    </row>
    <row r="222" customFormat="false" ht="15" hidden="false" customHeight="true" outlineLevel="0" collapsed="false">
      <c r="A222" s="11" t="str">
        <f aca="false">IF(B222&lt;&gt;"",COUNTA($B$4:B222),"")</f>
        <v/>
      </c>
      <c r="B222" s="12"/>
      <c r="C222" s="12"/>
      <c r="D222" s="12"/>
      <c r="E222" s="12"/>
      <c r="F222" s="12"/>
      <c r="G222" s="12"/>
      <c r="H222" s="12"/>
      <c r="I222" s="13"/>
      <c r="J222" s="12"/>
      <c r="K222" s="14" t="str">
        <f aca="false">IF(AND(I222&lt;&gt;"",H222&lt;&gt;"",J222&lt;&gt;""),IF(J222="W",I222*H222,IF(J222="L",-I222,IF(J222="P",I222*H222*0.5,""))),"")</f>
        <v/>
      </c>
      <c r="L222" s="15" t="str">
        <f aca="false">IF(AND(K222&lt;&gt;"",P221&lt;&gt;""),K222/P221,IF(K222&lt;&gt;"",K222/$D$2,""))</f>
        <v/>
      </c>
      <c r="M222" s="12"/>
      <c r="N222" s="12"/>
      <c r="O222" s="12"/>
      <c r="P222" s="16" t="str">
        <f aca="false">IF(K222&lt;&gt;"",P221+K222,IF(B222&lt;&gt;"",P221,""))</f>
        <v/>
      </c>
      <c r="Q222" s="17" t="str">
        <f aca="false">IF(P222&lt;&gt;"",MIN(0,P222-MAX($P$4:P222)),"")</f>
        <v/>
      </c>
    </row>
    <row r="223" customFormat="false" ht="15" hidden="false" customHeight="true" outlineLevel="0" collapsed="false">
      <c r="A223" s="11" t="str">
        <f aca="false">IF(B223&lt;&gt;"",COUNTA($B$4:B223),"")</f>
        <v/>
      </c>
      <c r="B223" s="20"/>
      <c r="C223" s="20"/>
      <c r="D223" s="20"/>
      <c r="E223" s="20"/>
      <c r="F223" s="20"/>
      <c r="G223" s="20"/>
      <c r="H223" s="20"/>
      <c r="I223" s="21"/>
      <c r="J223" s="20"/>
      <c r="K223" s="14" t="str">
        <f aca="false">IF(AND(I223&lt;&gt;"",H223&lt;&gt;"",J223&lt;&gt;""),IF(J223="W",I223*H223,IF(J223="L",-I223,IF(J223="P",I223*H223*0.5,""))),"")</f>
        <v/>
      </c>
      <c r="L223" s="15" t="str">
        <f aca="false">IF(AND(K223&lt;&gt;"",P222&lt;&gt;""),K223/P222,IF(K223&lt;&gt;"",K223/$D$2,""))</f>
        <v/>
      </c>
      <c r="M223" s="20"/>
      <c r="N223" s="20"/>
      <c r="O223" s="20"/>
      <c r="P223" s="16" t="str">
        <f aca="false">IF(K223&lt;&gt;"",P222+K223,IF(B223&lt;&gt;"",P222,""))</f>
        <v/>
      </c>
      <c r="Q223" s="17" t="str">
        <f aca="false">IF(P223&lt;&gt;"",MIN(0,P223-MAX($P$4:P223)),"")</f>
        <v/>
      </c>
    </row>
    <row r="224" customFormat="false" ht="15" hidden="false" customHeight="true" outlineLevel="0" collapsed="false">
      <c r="A224" s="11" t="str">
        <f aca="false">IF(B224&lt;&gt;"",COUNTA($B$4:B224),"")</f>
        <v/>
      </c>
      <c r="B224" s="12"/>
      <c r="C224" s="12"/>
      <c r="D224" s="12"/>
      <c r="E224" s="12"/>
      <c r="F224" s="12"/>
      <c r="G224" s="12"/>
      <c r="H224" s="12"/>
      <c r="I224" s="13"/>
      <c r="J224" s="12"/>
      <c r="K224" s="14" t="str">
        <f aca="false">IF(AND(I224&lt;&gt;"",H224&lt;&gt;"",J224&lt;&gt;""),IF(J224="W",I224*H224,IF(J224="L",-I224,IF(J224="P",I224*H224*0.5,""))),"")</f>
        <v/>
      </c>
      <c r="L224" s="15" t="str">
        <f aca="false">IF(AND(K224&lt;&gt;"",P223&lt;&gt;""),K224/P223,IF(K224&lt;&gt;"",K224/$D$2,""))</f>
        <v/>
      </c>
      <c r="M224" s="12"/>
      <c r="N224" s="12"/>
      <c r="O224" s="12"/>
      <c r="P224" s="16" t="str">
        <f aca="false">IF(K224&lt;&gt;"",P223+K224,IF(B224&lt;&gt;"",P223,""))</f>
        <v/>
      </c>
      <c r="Q224" s="17" t="str">
        <f aca="false">IF(P224&lt;&gt;"",MIN(0,P224-MAX($P$4:P224)),"")</f>
        <v/>
      </c>
    </row>
    <row r="225" customFormat="false" ht="15" hidden="false" customHeight="true" outlineLevel="0" collapsed="false">
      <c r="A225" s="11" t="str">
        <f aca="false">IF(B225&lt;&gt;"",COUNTA($B$4:B225),"")</f>
        <v/>
      </c>
      <c r="B225" s="20"/>
      <c r="C225" s="20"/>
      <c r="D225" s="20"/>
      <c r="E225" s="20"/>
      <c r="F225" s="20"/>
      <c r="G225" s="20"/>
      <c r="H225" s="20"/>
      <c r="I225" s="21"/>
      <c r="J225" s="20"/>
      <c r="K225" s="14" t="str">
        <f aca="false">IF(AND(I225&lt;&gt;"",H225&lt;&gt;"",J225&lt;&gt;""),IF(J225="W",I225*H225,IF(J225="L",-I225,IF(J225="P",I225*H225*0.5,""))),"")</f>
        <v/>
      </c>
      <c r="L225" s="15" t="str">
        <f aca="false">IF(AND(K225&lt;&gt;"",P224&lt;&gt;""),K225/P224,IF(K225&lt;&gt;"",K225/$D$2,""))</f>
        <v/>
      </c>
      <c r="M225" s="20"/>
      <c r="N225" s="20"/>
      <c r="O225" s="20"/>
      <c r="P225" s="16" t="str">
        <f aca="false">IF(K225&lt;&gt;"",P224+K225,IF(B225&lt;&gt;"",P224,""))</f>
        <v/>
      </c>
      <c r="Q225" s="17" t="str">
        <f aca="false">IF(P225&lt;&gt;"",MIN(0,P225-MAX($P$4:P225)),"")</f>
        <v/>
      </c>
    </row>
    <row r="226" customFormat="false" ht="15" hidden="false" customHeight="true" outlineLevel="0" collapsed="false">
      <c r="A226" s="11" t="str">
        <f aca="false">IF(B226&lt;&gt;"",COUNTA($B$4:B226),"")</f>
        <v/>
      </c>
      <c r="B226" s="12"/>
      <c r="C226" s="12"/>
      <c r="D226" s="12"/>
      <c r="E226" s="12"/>
      <c r="F226" s="12"/>
      <c r="G226" s="12"/>
      <c r="H226" s="12"/>
      <c r="I226" s="13"/>
      <c r="J226" s="12"/>
      <c r="K226" s="14" t="str">
        <f aca="false">IF(AND(I226&lt;&gt;"",H226&lt;&gt;"",J226&lt;&gt;""),IF(J226="W",I226*H226,IF(J226="L",-I226,IF(J226="P",I226*H226*0.5,""))),"")</f>
        <v/>
      </c>
      <c r="L226" s="15" t="str">
        <f aca="false">IF(AND(K226&lt;&gt;"",P225&lt;&gt;""),K226/P225,IF(K226&lt;&gt;"",K226/$D$2,""))</f>
        <v/>
      </c>
      <c r="M226" s="12"/>
      <c r="N226" s="12"/>
      <c r="O226" s="12"/>
      <c r="P226" s="16" t="str">
        <f aca="false">IF(K226&lt;&gt;"",P225+K226,IF(B226&lt;&gt;"",P225,""))</f>
        <v/>
      </c>
      <c r="Q226" s="17" t="str">
        <f aca="false">IF(P226&lt;&gt;"",MIN(0,P226-MAX($P$4:P226)),"")</f>
        <v/>
      </c>
    </row>
    <row r="227" customFormat="false" ht="15" hidden="false" customHeight="true" outlineLevel="0" collapsed="false">
      <c r="A227" s="11" t="str">
        <f aca="false">IF(B227&lt;&gt;"",COUNTA($B$4:B227),"")</f>
        <v/>
      </c>
      <c r="B227" s="20"/>
      <c r="C227" s="20"/>
      <c r="D227" s="20"/>
      <c r="E227" s="20"/>
      <c r="F227" s="20"/>
      <c r="G227" s="20"/>
      <c r="H227" s="20"/>
      <c r="I227" s="21"/>
      <c r="J227" s="20"/>
      <c r="K227" s="14" t="str">
        <f aca="false">IF(AND(I227&lt;&gt;"",H227&lt;&gt;"",J227&lt;&gt;""),IF(J227="W",I227*H227,IF(J227="L",-I227,IF(J227="P",I227*H227*0.5,""))),"")</f>
        <v/>
      </c>
      <c r="L227" s="15" t="str">
        <f aca="false">IF(AND(K227&lt;&gt;"",P226&lt;&gt;""),K227/P226,IF(K227&lt;&gt;"",K227/$D$2,""))</f>
        <v/>
      </c>
      <c r="M227" s="20"/>
      <c r="N227" s="20"/>
      <c r="O227" s="20"/>
      <c r="P227" s="16" t="str">
        <f aca="false">IF(K227&lt;&gt;"",P226+K227,IF(B227&lt;&gt;"",P226,""))</f>
        <v/>
      </c>
      <c r="Q227" s="17" t="str">
        <f aca="false">IF(P227&lt;&gt;"",MIN(0,P227-MAX($P$4:P227)),"")</f>
        <v/>
      </c>
    </row>
    <row r="228" customFormat="false" ht="15" hidden="false" customHeight="true" outlineLevel="0" collapsed="false">
      <c r="A228" s="11" t="str">
        <f aca="false">IF(B228&lt;&gt;"",COUNTA($B$4:B228),"")</f>
        <v/>
      </c>
      <c r="B228" s="12"/>
      <c r="C228" s="12"/>
      <c r="D228" s="12"/>
      <c r="E228" s="12"/>
      <c r="F228" s="12"/>
      <c r="G228" s="12"/>
      <c r="H228" s="12"/>
      <c r="I228" s="13"/>
      <c r="J228" s="12"/>
      <c r="K228" s="14" t="str">
        <f aca="false">IF(AND(I228&lt;&gt;"",H228&lt;&gt;"",J228&lt;&gt;""),IF(J228="W",I228*H228,IF(J228="L",-I228,IF(J228="P",I228*H228*0.5,""))),"")</f>
        <v/>
      </c>
      <c r="L228" s="15" t="str">
        <f aca="false">IF(AND(K228&lt;&gt;"",P227&lt;&gt;""),K228/P227,IF(K228&lt;&gt;"",K228/$D$2,""))</f>
        <v/>
      </c>
      <c r="M228" s="12"/>
      <c r="N228" s="12"/>
      <c r="O228" s="12"/>
      <c r="P228" s="16" t="str">
        <f aca="false">IF(K228&lt;&gt;"",P227+K228,IF(B228&lt;&gt;"",P227,""))</f>
        <v/>
      </c>
      <c r="Q228" s="17" t="str">
        <f aca="false">IF(P228&lt;&gt;"",MIN(0,P228-MAX($P$4:P228)),"")</f>
        <v/>
      </c>
    </row>
    <row r="229" customFormat="false" ht="15" hidden="false" customHeight="true" outlineLevel="0" collapsed="false">
      <c r="A229" s="11" t="str">
        <f aca="false">IF(B229&lt;&gt;"",COUNTA($B$4:B229),"")</f>
        <v/>
      </c>
      <c r="B229" s="20"/>
      <c r="C229" s="20"/>
      <c r="D229" s="20"/>
      <c r="E229" s="20"/>
      <c r="F229" s="20"/>
      <c r="G229" s="20"/>
      <c r="H229" s="20"/>
      <c r="I229" s="21"/>
      <c r="J229" s="20"/>
      <c r="K229" s="14" t="str">
        <f aca="false">IF(AND(I229&lt;&gt;"",H229&lt;&gt;"",J229&lt;&gt;""),IF(J229="W",I229*H229,IF(J229="L",-I229,IF(J229="P",I229*H229*0.5,""))),"")</f>
        <v/>
      </c>
      <c r="L229" s="15" t="str">
        <f aca="false">IF(AND(K229&lt;&gt;"",P228&lt;&gt;""),K229/P228,IF(K229&lt;&gt;"",K229/$D$2,""))</f>
        <v/>
      </c>
      <c r="M229" s="20"/>
      <c r="N229" s="20"/>
      <c r="O229" s="20"/>
      <c r="P229" s="16" t="str">
        <f aca="false">IF(K229&lt;&gt;"",P228+K229,IF(B229&lt;&gt;"",P228,""))</f>
        <v/>
      </c>
      <c r="Q229" s="17" t="str">
        <f aca="false">IF(P229&lt;&gt;"",MIN(0,P229-MAX($P$4:P229)),"")</f>
        <v/>
      </c>
    </row>
    <row r="230" customFormat="false" ht="15" hidden="false" customHeight="true" outlineLevel="0" collapsed="false">
      <c r="A230" s="11" t="str">
        <f aca="false">IF(B230&lt;&gt;"",COUNTA($B$4:B230),"")</f>
        <v/>
      </c>
      <c r="B230" s="12"/>
      <c r="C230" s="12"/>
      <c r="D230" s="12"/>
      <c r="E230" s="12"/>
      <c r="F230" s="12"/>
      <c r="G230" s="12"/>
      <c r="H230" s="12"/>
      <c r="I230" s="13"/>
      <c r="J230" s="12"/>
      <c r="K230" s="14" t="str">
        <f aca="false">IF(AND(I230&lt;&gt;"",H230&lt;&gt;"",J230&lt;&gt;""),IF(J230="W",I230*H230,IF(J230="L",-I230,IF(J230="P",I230*H230*0.5,""))),"")</f>
        <v/>
      </c>
      <c r="L230" s="15" t="str">
        <f aca="false">IF(AND(K230&lt;&gt;"",P229&lt;&gt;""),K230/P229,IF(K230&lt;&gt;"",K230/$D$2,""))</f>
        <v/>
      </c>
      <c r="M230" s="12"/>
      <c r="N230" s="12"/>
      <c r="O230" s="12"/>
      <c r="P230" s="16" t="str">
        <f aca="false">IF(K230&lt;&gt;"",P229+K230,IF(B230&lt;&gt;"",P229,""))</f>
        <v/>
      </c>
      <c r="Q230" s="17" t="str">
        <f aca="false">IF(P230&lt;&gt;"",MIN(0,P230-MAX($P$4:P230)),"")</f>
        <v/>
      </c>
    </row>
    <row r="231" customFormat="false" ht="15" hidden="false" customHeight="true" outlineLevel="0" collapsed="false">
      <c r="A231" s="11" t="str">
        <f aca="false">IF(B231&lt;&gt;"",COUNTA($B$4:B231),"")</f>
        <v/>
      </c>
      <c r="B231" s="20"/>
      <c r="C231" s="20"/>
      <c r="D231" s="20"/>
      <c r="E231" s="20"/>
      <c r="F231" s="20"/>
      <c r="G231" s="20"/>
      <c r="H231" s="20"/>
      <c r="I231" s="21"/>
      <c r="J231" s="20"/>
      <c r="K231" s="14" t="str">
        <f aca="false">IF(AND(I231&lt;&gt;"",H231&lt;&gt;"",J231&lt;&gt;""),IF(J231="W",I231*H231,IF(J231="L",-I231,IF(J231="P",I231*H231*0.5,""))),"")</f>
        <v/>
      </c>
      <c r="L231" s="15" t="str">
        <f aca="false">IF(AND(K231&lt;&gt;"",P230&lt;&gt;""),K231/P230,IF(K231&lt;&gt;"",K231/$D$2,""))</f>
        <v/>
      </c>
      <c r="M231" s="20"/>
      <c r="N231" s="20"/>
      <c r="O231" s="20"/>
      <c r="P231" s="16" t="str">
        <f aca="false">IF(K231&lt;&gt;"",P230+K231,IF(B231&lt;&gt;"",P230,""))</f>
        <v/>
      </c>
      <c r="Q231" s="17" t="str">
        <f aca="false">IF(P231&lt;&gt;"",MIN(0,P231-MAX($P$4:P231)),"")</f>
        <v/>
      </c>
    </row>
    <row r="232" customFormat="false" ht="15" hidden="false" customHeight="true" outlineLevel="0" collapsed="false">
      <c r="A232" s="11" t="str">
        <f aca="false">IF(B232&lt;&gt;"",COUNTA($B$4:B232),"")</f>
        <v/>
      </c>
      <c r="B232" s="12"/>
      <c r="C232" s="12"/>
      <c r="D232" s="12"/>
      <c r="E232" s="12"/>
      <c r="F232" s="12"/>
      <c r="G232" s="12"/>
      <c r="H232" s="12"/>
      <c r="I232" s="13"/>
      <c r="J232" s="12"/>
      <c r="K232" s="14" t="str">
        <f aca="false">IF(AND(I232&lt;&gt;"",H232&lt;&gt;"",J232&lt;&gt;""),IF(J232="W",I232*H232,IF(J232="L",-I232,IF(J232="P",I232*H232*0.5,""))),"")</f>
        <v/>
      </c>
      <c r="L232" s="15" t="str">
        <f aca="false">IF(AND(K232&lt;&gt;"",P231&lt;&gt;""),K232/P231,IF(K232&lt;&gt;"",K232/$D$2,""))</f>
        <v/>
      </c>
      <c r="M232" s="12"/>
      <c r="N232" s="12"/>
      <c r="O232" s="12"/>
      <c r="P232" s="16" t="str">
        <f aca="false">IF(K232&lt;&gt;"",P231+K232,IF(B232&lt;&gt;"",P231,""))</f>
        <v/>
      </c>
      <c r="Q232" s="17" t="str">
        <f aca="false">IF(P232&lt;&gt;"",MIN(0,P232-MAX($P$4:P232)),"")</f>
        <v/>
      </c>
    </row>
    <row r="233" customFormat="false" ht="15" hidden="false" customHeight="true" outlineLevel="0" collapsed="false">
      <c r="A233" s="11" t="str">
        <f aca="false">IF(B233&lt;&gt;"",COUNTA($B$4:B233),"")</f>
        <v/>
      </c>
      <c r="B233" s="20"/>
      <c r="C233" s="20"/>
      <c r="D233" s="20"/>
      <c r="E233" s="20"/>
      <c r="F233" s="20"/>
      <c r="G233" s="20"/>
      <c r="H233" s="20"/>
      <c r="I233" s="21"/>
      <c r="J233" s="20"/>
      <c r="K233" s="14" t="str">
        <f aca="false">IF(AND(I233&lt;&gt;"",H233&lt;&gt;"",J233&lt;&gt;""),IF(J233="W",I233*H233,IF(J233="L",-I233,IF(J233="P",I233*H233*0.5,""))),"")</f>
        <v/>
      </c>
      <c r="L233" s="15" t="str">
        <f aca="false">IF(AND(K233&lt;&gt;"",P232&lt;&gt;""),K233/P232,IF(K233&lt;&gt;"",K233/$D$2,""))</f>
        <v/>
      </c>
      <c r="M233" s="20"/>
      <c r="N233" s="20"/>
      <c r="O233" s="20"/>
      <c r="P233" s="16" t="str">
        <f aca="false">IF(K233&lt;&gt;"",P232+K233,IF(B233&lt;&gt;"",P232,""))</f>
        <v/>
      </c>
      <c r="Q233" s="17" t="str">
        <f aca="false">IF(P233&lt;&gt;"",MIN(0,P233-MAX($P$4:P233)),"")</f>
        <v/>
      </c>
    </row>
    <row r="234" customFormat="false" ht="15" hidden="false" customHeight="true" outlineLevel="0" collapsed="false">
      <c r="A234" s="11" t="str">
        <f aca="false">IF(B234&lt;&gt;"",COUNTA($B$4:B234),"")</f>
        <v/>
      </c>
      <c r="B234" s="12"/>
      <c r="C234" s="12"/>
      <c r="D234" s="12"/>
      <c r="E234" s="12"/>
      <c r="F234" s="12"/>
      <c r="G234" s="12"/>
      <c r="H234" s="12"/>
      <c r="I234" s="13"/>
      <c r="J234" s="12"/>
      <c r="K234" s="14" t="str">
        <f aca="false">IF(AND(I234&lt;&gt;"",H234&lt;&gt;"",J234&lt;&gt;""),IF(J234="W",I234*H234,IF(J234="L",-I234,IF(J234="P",I234*H234*0.5,""))),"")</f>
        <v/>
      </c>
      <c r="L234" s="15" t="str">
        <f aca="false">IF(AND(K234&lt;&gt;"",P233&lt;&gt;""),K234/P233,IF(K234&lt;&gt;"",K234/$D$2,""))</f>
        <v/>
      </c>
      <c r="M234" s="12"/>
      <c r="N234" s="12"/>
      <c r="O234" s="12"/>
      <c r="P234" s="16" t="str">
        <f aca="false">IF(K234&lt;&gt;"",P233+K234,IF(B234&lt;&gt;"",P233,""))</f>
        <v/>
      </c>
      <c r="Q234" s="17" t="str">
        <f aca="false">IF(P234&lt;&gt;"",MIN(0,P234-MAX($P$4:P234)),"")</f>
        <v/>
      </c>
    </row>
    <row r="235" customFormat="false" ht="15" hidden="false" customHeight="true" outlineLevel="0" collapsed="false">
      <c r="A235" s="11" t="str">
        <f aca="false">IF(B235&lt;&gt;"",COUNTA($B$4:B235),"")</f>
        <v/>
      </c>
      <c r="B235" s="20"/>
      <c r="C235" s="20"/>
      <c r="D235" s="20"/>
      <c r="E235" s="20"/>
      <c r="F235" s="20"/>
      <c r="G235" s="20"/>
      <c r="H235" s="20"/>
      <c r="I235" s="21"/>
      <c r="J235" s="20"/>
      <c r="K235" s="14" t="str">
        <f aca="false">IF(AND(I235&lt;&gt;"",H235&lt;&gt;"",J235&lt;&gt;""),IF(J235="W",I235*H235,IF(J235="L",-I235,IF(J235="P",I235*H235*0.5,""))),"")</f>
        <v/>
      </c>
      <c r="L235" s="15" t="str">
        <f aca="false">IF(AND(K235&lt;&gt;"",P234&lt;&gt;""),K235/P234,IF(K235&lt;&gt;"",K235/$D$2,""))</f>
        <v/>
      </c>
      <c r="M235" s="20"/>
      <c r="N235" s="20"/>
      <c r="O235" s="20"/>
      <c r="P235" s="16" t="str">
        <f aca="false">IF(K235&lt;&gt;"",P234+K235,IF(B235&lt;&gt;"",P234,""))</f>
        <v/>
      </c>
      <c r="Q235" s="17" t="str">
        <f aca="false">IF(P235&lt;&gt;"",MIN(0,P235-MAX($P$4:P235)),"")</f>
        <v/>
      </c>
    </row>
    <row r="236" customFormat="false" ht="15" hidden="false" customHeight="true" outlineLevel="0" collapsed="false">
      <c r="A236" s="11" t="str">
        <f aca="false">IF(B236&lt;&gt;"",COUNTA($B$4:B236),"")</f>
        <v/>
      </c>
      <c r="B236" s="12"/>
      <c r="C236" s="12"/>
      <c r="D236" s="12"/>
      <c r="E236" s="12"/>
      <c r="F236" s="12"/>
      <c r="G236" s="12"/>
      <c r="H236" s="12"/>
      <c r="I236" s="13"/>
      <c r="J236" s="12"/>
      <c r="K236" s="14" t="str">
        <f aca="false">IF(AND(I236&lt;&gt;"",H236&lt;&gt;"",J236&lt;&gt;""),IF(J236="W",I236*H236,IF(J236="L",-I236,IF(J236="P",I236*H236*0.5,""))),"")</f>
        <v/>
      </c>
      <c r="L236" s="15" t="str">
        <f aca="false">IF(AND(K236&lt;&gt;"",P235&lt;&gt;""),K236/P235,IF(K236&lt;&gt;"",K236/$D$2,""))</f>
        <v/>
      </c>
      <c r="M236" s="12"/>
      <c r="N236" s="12"/>
      <c r="O236" s="12"/>
      <c r="P236" s="16" t="str">
        <f aca="false">IF(K236&lt;&gt;"",P235+K236,IF(B236&lt;&gt;"",P235,""))</f>
        <v/>
      </c>
      <c r="Q236" s="17" t="str">
        <f aca="false">IF(P236&lt;&gt;"",MIN(0,P236-MAX($P$4:P236)),"")</f>
        <v/>
      </c>
    </row>
    <row r="237" customFormat="false" ht="15" hidden="false" customHeight="true" outlineLevel="0" collapsed="false">
      <c r="A237" s="11" t="str">
        <f aca="false">IF(B237&lt;&gt;"",COUNTA($B$4:B237),"")</f>
        <v/>
      </c>
      <c r="B237" s="20"/>
      <c r="C237" s="20"/>
      <c r="D237" s="20"/>
      <c r="E237" s="20"/>
      <c r="F237" s="20"/>
      <c r="G237" s="20"/>
      <c r="H237" s="20"/>
      <c r="I237" s="21"/>
      <c r="J237" s="20"/>
      <c r="K237" s="14" t="str">
        <f aca="false">IF(AND(I237&lt;&gt;"",H237&lt;&gt;"",J237&lt;&gt;""),IF(J237="W",I237*H237,IF(J237="L",-I237,IF(J237="P",I237*H237*0.5,""))),"")</f>
        <v/>
      </c>
      <c r="L237" s="15" t="str">
        <f aca="false">IF(AND(K237&lt;&gt;"",P236&lt;&gt;""),K237/P236,IF(K237&lt;&gt;"",K237/$D$2,""))</f>
        <v/>
      </c>
      <c r="M237" s="20"/>
      <c r="N237" s="20"/>
      <c r="O237" s="20"/>
      <c r="P237" s="16" t="str">
        <f aca="false">IF(K237&lt;&gt;"",P236+K237,IF(B237&lt;&gt;"",P236,""))</f>
        <v/>
      </c>
      <c r="Q237" s="17" t="str">
        <f aca="false">IF(P237&lt;&gt;"",MIN(0,P237-MAX($P$4:P237)),"")</f>
        <v/>
      </c>
    </row>
    <row r="238" customFormat="false" ht="15" hidden="false" customHeight="true" outlineLevel="0" collapsed="false">
      <c r="A238" s="11" t="str">
        <f aca="false">IF(B238&lt;&gt;"",COUNTA($B$4:B238),"")</f>
        <v/>
      </c>
      <c r="B238" s="12"/>
      <c r="C238" s="12"/>
      <c r="D238" s="12"/>
      <c r="E238" s="12"/>
      <c r="F238" s="12"/>
      <c r="G238" s="12"/>
      <c r="H238" s="12"/>
      <c r="I238" s="13"/>
      <c r="J238" s="12"/>
      <c r="K238" s="14" t="str">
        <f aca="false">IF(AND(I238&lt;&gt;"",H238&lt;&gt;"",J238&lt;&gt;""),IF(J238="W",I238*H238,IF(J238="L",-I238,IF(J238="P",I238*H238*0.5,""))),"")</f>
        <v/>
      </c>
      <c r="L238" s="15" t="str">
        <f aca="false">IF(AND(K238&lt;&gt;"",P237&lt;&gt;""),K238/P237,IF(K238&lt;&gt;"",K238/$D$2,""))</f>
        <v/>
      </c>
      <c r="M238" s="12"/>
      <c r="N238" s="12"/>
      <c r="O238" s="12"/>
      <c r="P238" s="16" t="str">
        <f aca="false">IF(K238&lt;&gt;"",P237+K238,IF(B238&lt;&gt;"",P237,""))</f>
        <v/>
      </c>
      <c r="Q238" s="17" t="str">
        <f aca="false">IF(P238&lt;&gt;"",MIN(0,P238-MAX($P$4:P238)),"")</f>
        <v/>
      </c>
    </row>
    <row r="239" customFormat="false" ht="15" hidden="false" customHeight="true" outlineLevel="0" collapsed="false">
      <c r="A239" s="11" t="str">
        <f aca="false">IF(B239&lt;&gt;"",COUNTA($B$4:B239),"")</f>
        <v/>
      </c>
      <c r="B239" s="20"/>
      <c r="C239" s="20"/>
      <c r="D239" s="20"/>
      <c r="E239" s="20"/>
      <c r="F239" s="20"/>
      <c r="G239" s="20"/>
      <c r="H239" s="20"/>
      <c r="I239" s="21"/>
      <c r="J239" s="20"/>
      <c r="K239" s="14" t="str">
        <f aca="false">IF(AND(I239&lt;&gt;"",H239&lt;&gt;"",J239&lt;&gt;""),IF(J239="W",I239*H239,IF(J239="L",-I239,IF(J239="P",I239*H239*0.5,""))),"")</f>
        <v/>
      </c>
      <c r="L239" s="15" t="str">
        <f aca="false">IF(AND(K239&lt;&gt;"",P238&lt;&gt;""),K239/P238,IF(K239&lt;&gt;"",K239/$D$2,""))</f>
        <v/>
      </c>
      <c r="M239" s="20"/>
      <c r="N239" s="20"/>
      <c r="O239" s="20"/>
      <c r="P239" s="16" t="str">
        <f aca="false">IF(K239&lt;&gt;"",P238+K239,IF(B239&lt;&gt;"",P238,""))</f>
        <v/>
      </c>
      <c r="Q239" s="17" t="str">
        <f aca="false">IF(P239&lt;&gt;"",MIN(0,P239-MAX($P$4:P239)),"")</f>
        <v/>
      </c>
    </row>
    <row r="240" customFormat="false" ht="15" hidden="false" customHeight="true" outlineLevel="0" collapsed="false">
      <c r="A240" s="11" t="str">
        <f aca="false">IF(B240&lt;&gt;"",COUNTA($B$4:B240),"")</f>
        <v/>
      </c>
      <c r="B240" s="12"/>
      <c r="C240" s="12"/>
      <c r="D240" s="12"/>
      <c r="E240" s="12"/>
      <c r="F240" s="12"/>
      <c r="G240" s="12"/>
      <c r="H240" s="12"/>
      <c r="I240" s="13"/>
      <c r="J240" s="12"/>
      <c r="K240" s="14" t="str">
        <f aca="false">IF(AND(I240&lt;&gt;"",H240&lt;&gt;"",J240&lt;&gt;""),IF(J240="W",I240*H240,IF(J240="L",-I240,IF(J240="P",I240*H240*0.5,""))),"")</f>
        <v/>
      </c>
      <c r="L240" s="15" t="str">
        <f aca="false">IF(AND(K240&lt;&gt;"",P239&lt;&gt;""),K240/P239,IF(K240&lt;&gt;"",K240/$D$2,""))</f>
        <v/>
      </c>
      <c r="M240" s="12"/>
      <c r="N240" s="12"/>
      <c r="O240" s="12"/>
      <c r="P240" s="16" t="str">
        <f aca="false">IF(K240&lt;&gt;"",P239+K240,IF(B240&lt;&gt;"",P239,""))</f>
        <v/>
      </c>
      <c r="Q240" s="17" t="str">
        <f aca="false">IF(P240&lt;&gt;"",MIN(0,P240-MAX($P$4:P240)),"")</f>
        <v/>
      </c>
    </row>
    <row r="241" customFormat="false" ht="15" hidden="false" customHeight="true" outlineLevel="0" collapsed="false">
      <c r="A241" s="11" t="str">
        <f aca="false">IF(B241&lt;&gt;"",COUNTA($B$4:B241),"")</f>
        <v/>
      </c>
      <c r="B241" s="20"/>
      <c r="C241" s="20"/>
      <c r="D241" s="20"/>
      <c r="E241" s="20"/>
      <c r="F241" s="20"/>
      <c r="G241" s="20"/>
      <c r="H241" s="20"/>
      <c r="I241" s="21"/>
      <c r="J241" s="20"/>
      <c r="K241" s="14" t="str">
        <f aca="false">IF(AND(I241&lt;&gt;"",H241&lt;&gt;"",J241&lt;&gt;""),IF(J241="W",I241*H241,IF(J241="L",-I241,IF(J241="P",I241*H241*0.5,""))),"")</f>
        <v/>
      </c>
      <c r="L241" s="15" t="str">
        <f aca="false">IF(AND(K241&lt;&gt;"",P240&lt;&gt;""),K241/P240,IF(K241&lt;&gt;"",K241/$D$2,""))</f>
        <v/>
      </c>
      <c r="M241" s="20"/>
      <c r="N241" s="20"/>
      <c r="O241" s="20"/>
      <c r="P241" s="16" t="str">
        <f aca="false">IF(K241&lt;&gt;"",P240+K241,IF(B241&lt;&gt;"",P240,""))</f>
        <v/>
      </c>
      <c r="Q241" s="17" t="str">
        <f aca="false">IF(P241&lt;&gt;"",MIN(0,P241-MAX($P$4:P241)),"")</f>
        <v/>
      </c>
    </row>
    <row r="242" customFormat="false" ht="15" hidden="false" customHeight="true" outlineLevel="0" collapsed="false">
      <c r="A242" s="11" t="str">
        <f aca="false">IF(B242&lt;&gt;"",COUNTA($B$4:B242),"")</f>
        <v/>
      </c>
      <c r="B242" s="12"/>
      <c r="C242" s="12"/>
      <c r="D242" s="12"/>
      <c r="E242" s="12"/>
      <c r="F242" s="12"/>
      <c r="G242" s="12"/>
      <c r="H242" s="12"/>
      <c r="I242" s="13"/>
      <c r="J242" s="12"/>
      <c r="K242" s="14" t="str">
        <f aca="false">IF(AND(I242&lt;&gt;"",H242&lt;&gt;"",J242&lt;&gt;""),IF(J242="W",I242*H242,IF(J242="L",-I242,IF(J242="P",I242*H242*0.5,""))),"")</f>
        <v/>
      </c>
      <c r="L242" s="15" t="str">
        <f aca="false">IF(AND(K242&lt;&gt;"",P241&lt;&gt;""),K242/P241,IF(K242&lt;&gt;"",K242/$D$2,""))</f>
        <v/>
      </c>
      <c r="M242" s="12"/>
      <c r="N242" s="12"/>
      <c r="O242" s="12"/>
      <c r="P242" s="16" t="str">
        <f aca="false">IF(K242&lt;&gt;"",P241+K242,IF(B242&lt;&gt;"",P241,""))</f>
        <v/>
      </c>
      <c r="Q242" s="17" t="str">
        <f aca="false">IF(P242&lt;&gt;"",MIN(0,P242-MAX($P$4:P242)),"")</f>
        <v/>
      </c>
    </row>
    <row r="243" customFormat="false" ht="15" hidden="false" customHeight="true" outlineLevel="0" collapsed="false">
      <c r="A243" s="11" t="str">
        <f aca="false">IF(B243&lt;&gt;"",COUNTA($B$4:B243),"")</f>
        <v/>
      </c>
      <c r="B243" s="20"/>
      <c r="C243" s="20"/>
      <c r="D243" s="20"/>
      <c r="E243" s="20"/>
      <c r="F243" s="20"/>
      <c r="G243" s="20"/>
      <c r="H243" s="20"/>
      <c r="I243" s="21"/>
      <c r="J243" s="20"/>
      <c r="K243" s="14" t="str">
        <f aca="false">IF(AND(I243&lt;&gt;"",H243&lt;&gt;"",J243&lt;&gt;""),IF(J243="W",I243*H243,IF(J243="L",-I243,IF(J243="P",I243*H243*0.5,""))),"")</f>
        <v/>
      </c>
      <c r="L243" s="15" t="str">
        <f aca="false">IF(AND(K243&lt;&gt;"",P242&lt;&gt;""),K243/P242,IF(K243&lt;&gt;"",K243/$D$2,""))</f>
        <v/>
      </c>
      <c r="M243" s="20"/>
      <c r="N243" s="20"/>
      <c r="O243" s="20"/>
      <c r="P243" s="16" t="str">
        <f aca="false">IF(K243&lt;&gt;"",P242+K243,IF(B243&lt;&gt;"",P242,""))</f>
        <v/>
      </c>
      <c r="Q243" s="17" t="str">
        <f aca="false">IF(P243&lt;&gt;"",MIN(0,P243-MAX($P$4:P243)),"")</f>
        <v/>
      </c>
    </row>
    <row r="244" customFormat="false" ht="15" hidden="false" customHeight="true" outlineLevel="0" collapsed="false">
      <c r="A244" s="11" t="str">
        <f aca="false">IF(B244&lt;&gt;"",COUNTA($B$4:B244),"")</f>
        <v/>
      </c>
      <c r="B244" s="12"/>
      <c r="C244" s="12"/>
      <c r="D244" s="12"/>
      <c r="E244" s="12"/>
      <c r="F244" s="12"/>
      <c r="G244" s="12"/>
      <c r="H244" s="12"/>
      <c r="I244" s="13"/>
      <c r="J244" s="12"/>
      <c r="K244" s="14" t="str">
        <f aca="false">IF(AND(I244&lt;&gt;"",H244&lt;&gt;"",J244&lt;&gt;""),IF(J244="W",I244*H244,IF(J244="L",-I244,IF(J244="P",I244*H244*0.5,""))),"")</f>
        <v/>
      </c>
      <c r="L244" s="15" t="str">
        <f aca="false">IF(AND(K244&lt;&gt;"",P243&lt;&gt;""),K244/P243,IF(K244&lt;&gt;"",K244/$D$2,""))</f>
        <v/>
      </c>
      <c r="M244" s="12"/>
      <c r="N244" s="12"/>
      <c r="O244" s="12"/>
      <c r="P244" s="16" t="str">
        <f aca="false">IF(K244&lt;&gt;"",P243+K244,IF(B244&lt;&gt;"",P243,""))</f>
        <v/>
      </c>
      <c r="Q244" s="17" t="str">
        <f aca="false">IF(P244&lt;&gt;"",MIN(0,P244-MAX($P$4:P244)),"")</f>
        <v/>
      </c>
    </row>
    <row r="245" customFormat="false" ht="15" hidden="false" customHeight="true" outlineLevel="0" collapsed="false">
      <c r="A245" s="11" t="str">
        <f aca="false">IF(B245&lt;&gt;"",COUNTA($B$4:B245),"")</f>
        <v/>
      </c>
      <c r="B245" s="20"/>
      <c r="C245" s="20"/>
      <c r="D245" s="20"/>
      <c r="E245" s="20"/>
      <c r="F245" s="20"/>
      <c r="G245" s="20"/>
      <c r="H245" s="20"/>
      <c r="I245" s="21"/>
      <c r="J245" s="20"/>
      <c r="K245" s="14" t="str">
        <f aca="false">IF(AND(I245&lt;&gt;"",H245&lt;&gt;"",J245&lt;&gt;""),IF(J245="W",I245*H245,IF(J245="L",-I245,IF(J245="P",I245*H245*0.5,""))),"")</f>
        <v/>
      </c>
      <c r="L245" s="15" t="str">
        <f aca="false">IF(AND(K245&lt;&gt;"",P244&lt;&gt;""),K245/P244,IF(K245&lt;&gt;"",K245/$D$2,""))</f>
        <v/>
      </c>
      <c r="M245" s="20"/>
      <c r="N245" s="20"/>
      <c r="O245" s="20"/>
      <c r="P245" s="16" t="str">
        <f aca="false">IF(K245&lt;&gt;"",P244+K245,IF(B245&lt;&gt;"",P244,""))</f>
        <v/>
      </c>
      <c r="Q245" s="17" t="str">
        <f aca="false">IF(P245&lt;&gt;"",MIN(0,P245-MAX($P$4:P245)),"")</f>
        <v/>
      </c>
    </row>
    <row r="246" customFormat="false" ht="15" hidden="false" customHeight="true" outlineLevel="0" collapsed="false">
      <c r="A246" s="11" t="str">
        <f aca="false">IF(B246&lt;&gt;"",COUNTA($B$4:B246),"")</f>
        <v/>
      </c>
      <c r="B246" s="12"/>
      <c r="C246" s="12"/>
      <c r="D246" s="12"/>
      <c r="E246" s="12"/>
      <c r="F246" s="12"/>
      <c r="G246" s="12"/>
      <c r="H246" s="12"/>
      <c r="I246" s="13"/>
      <c r="J246" s="12"/>
      <c r="K246" s="14" t="str">
        <f aca="false">IF(AND(I246&lt;&gt;"",H246&lt;&gt;"",J246&lt;&gt;""),IF(J246="W",I246*H246,IF(J246="L",-I246,IF(J246="P",I246*H246*0.5,""))),"")</f>
        <v/>
      </c>
      <c r="L246" s="15" t="str">
        <f aca="false">IF(AND(K246&lt;&gt;"",P245&lt;&gt;""),K246/P245,IF(K246&lt;&gt;"",K246/$D$2,""))</f>
        <v/>
      </c>
      <c r="M246" s="12"/>
      <c r="N246" s="12"/>
      <c r="O246" s="12"/>
      <c r="P246" s="16" t="str">
        <f aca="false">IF(K246&lt;&gt;"",P245+K246,IF(B246&lt;&gt;"",P245,""))</f>
        <v/>
      </c>
      <c r="Q246" s="17" t="str">
        <f aca="false">IF(P246&lt;&gt;"",MIN(0,P246-MAX($P$4:P246)),"")</f>
        <v/>
      </c>
    </row>
    <row r="247" customFormat="false" ht="15" hidden="false" customHeight="true" outlineLevel="0" collapsed="false">
      <c r="A247" s="11" t="str">
        <f aca="false">IF(B247&lt;&gt;"",COUNTA($B$4:B247),"")</f>
        <v/>
      </c>
      <c r="B247" s="20"/>
      <c r="C247" s="20"/>
      <c r="D247" s="20"/>
      <c r="E247" s="20"/>
      <c r="F247" s="20"/>
      <c r="G247" s="20"/>
      <c r="H247" s="20"/>
      <c r="I247" s="21"/>
      <c r="J247" s="20"/>
      <c r="K247" s="14" t="str">
        <f aca="false">IF(AND(I247&lt;&gt;"",H247&lt;&gt;"",J247&lt;&gt;""),IF(J247="W",I247*H247,IF(J247="L",-I247,IF(J247="P",I247*H247*0.5,""))),"")</f>
        <v/>
      </c>
      <c r="L247" s="15" t="str">
        <f aca="false">IF(AND(K247&lt;&gt;"",P246&lt;&gt;""),K247/P246,IF(K247&lt;&gt;"",K247/$D$2,""))</f>
        <v/>
      </c>
      <c r="M247" s="20"/>
      <c r="N247" s="20"/>
      <c r="O247" s="20"/>
      <c r="P247" s="16" t="str">
        <f aca="false">IF(K247&lt;&gt;"",P246+K247,IF(B247&lt;&gt;"",P246,""))</f>
        <v/>
      </c>
      <c r="Q247" s="17" t="str">
        <f aca="false">IF(P247&lt;&gt;"",MIN(0,P247-MAX($P$4:P247)),"")</f>
        <v/>
      </c>
    </row>
    <row r="248" customFormat="false" ht="15" hidden="false" customHeight="true" outlineLevel="0" collapsed="false">
      <c r="A248" s="11" t="str">
        <f aca="false">IF(B248&lt;&gt;"",COUNTA($B$4:B248),"")</f>
        <v/>
      </c>
      <c r="B248" s="12"/>
      <c r="C248" s="12"/>
      <c r="D248" s="12"/>
      <c r="E248" s="12"/>
      <c r="F248" s="12"/>
      <c r="G248" s="12"/>
      <c r="H248" s="12"/>
      <c r="I248" s="13"/>
      <c r="J248" s="12"/>
      <c r="K248" s="14" t="str">
        <f aca="false">IF(AND(I248&lt;&gt;"",H248&lt;&gt;"",J248&lt;&gt;""),IF(J248="W",I248*H248,IF(J248="L",-I248,IF(J248="P",I248*H248*0.5,""))),"")</f>
        <v/>
      </c>
      <c r="L248" s="15" t="str">
        <f aca="false">IF(AND(K248&lt;&gt;"",P247&lt;&gt;""),K248/P247,IF(K248&lt;&gt;"",K248/$D$2,""))</f>
        <v/>
      </c>
      <c r="M248" s="12"/>
      <c r="N248" s="12"/>
      <c r="O248" s="12"/>
      <c r="P248" s="16" t="str">
        <f aca="false">IF(K248&lt;&gt;"",P247+K248,IF(B248&lt;&gt;"",P247,""))</f>
        <v/>
      </c>
      <c r="Q248" s="17" t="str">
        <f aca="false">IF(P248&lt;&gt;"",MIN(0,P248-MAX($P$4:P248)),"")</f>
        <v/>
      </c>
    </row>
    <row r="249" customFormat="false" ht="15" hidden="false" customHeight="true" outlineLevel="0" collapsed="false">
      <c r="A249" s="11" t="str">
        <f aca="false">IF(B249&lt;&gt;"",COUNTA($B$4:B249),"")</f>
        <v/>
      </c>
      <c r="B249" s="20"/>
      <c r="C249" s="20"/>
      <c r="D249" s="20"/>
      <c r="E249" s="20"/>
      <c r="F249" s="20"/>
      <c r="G249" s="20"/>
      <c r="H249" s="20"/>
      <c r="I249" s="21"/>
      <c r="J249" s="20"/>
      <c r="K249" s="14" t="str">
        <f aca="false">IF(AND(I249&lt;&gt;"",H249&lt;&gt;"",J249&lt;&gt;""),IF(J249="W",I249*H249,IF(J249="L",-I249,IF(J249="P",I249*H249*0.5,""))),"")</f>
        <v/>
      </c>
      <c r="L249" s="15" t="str">
        <f aca="false">IF(AND(K249&lt;&gt;"",P248&lt;&gt;""),K249/P248,IF(K249&lt;&gt;"",K249/$D$2,""))</f>
        <v/>
      </c>
      <c r="M249" s="20"/>
      <c r="N249" s="20"/>
      <c r="O249" s="20"/>
      <c r="P249" s="16" t="str">
        <f aca="false">IF(K249&lt;&gt;"",P248+K249,IF(B249&lt;&gt;"",P248,""))</f>
        <v/>
      </c>
      <c r="Q249" s="17" t="str">
        <f aca="false">IF(P249&lt;&gt;"",MIN(0,P249-MAX($P$4:P249)),"")</f>
        <v/>
      </c>
    </row>
    <row r="250" customFormat="false" ht="15" hidden="false" customHeight="true" outlineLevel="0" collapsed="false">
      <c r="A250" s="11" t="str">
        <f aca="false">IF(B250&lt;&gt;"",COUNTA($B$4:B250),"")</f>
        <v/>
      </c>
      <c r="B250" s="12"/>
      <c r="C250" s="12"/>
      <c r="D250" s="12"/>
      <c r="E250" s="12"/>
      <c r="F250" s="12"/>
      <c r="G250" s="12"/>
      <c r="H250" s="12"/>
      <c r="I250" s="13"/>
      <c r="J250" s="12"/>
      <c r="K250" s="14" t="str">
        <f aca="false">IF(AND(I250&lt;&gt;"",H250&lt;&gt;"",J250&lt;&gt;""),IF(J250="W",I250*H250,IF(J250="L",-I250,IF(J250="P",I250*H250*0.5,""))),"")</f>
        <v/>
      </c>
      <c r="L250" s="15" t="str">
        <f aca="false">IF(AND(K250&lt;&gt;"",P249&lt;&gt;""),K250/P249,IF(K250&lt;&gt;"",K250/$D$2,""))</f>
        <v/>
      </c>
      <c r="M250" s="12"/>
      <c r="N250" s="12"/>
      <c r="O250" s="12"/>
      <c r="P250" s="16" t="str">
        <f aca="false">IF(K250&lt;&gt;"",P249+K250,IF(B250&lt;&gt;"",P249,""))</f>
        <v/>
      </c>
      <c r="Q250" s="17" t="str">
        <f aca="false">IF(P250&lt;&gt;"",MIN(0,P250-MAX($P$4:P250)),"")</f>
        <v/>
      </c>
    </row>
    <row r="251" customFormat="false" ht="15" hidden="false" customHeight="true" outlineLevel="0" collapsed="false">
      <c r="A251" s="11" t="str">
        <f aca="false">IF(B251&lt;&gt;"",COUNTA($B$4:B251),"")</f>
        <v/>
      </c>
      <c r="B251" s="20"/>
      <c r="C251" s="20"/>
      <c r="D251" s="20"/>
      <c r="E251" s="20"/>
      <c r="F251" s="20"/>
      <c r="G251" s="20"/>
      <c r="H251" s="20"/>
      <c r="I251" s="21"/>
      <c r="J251" s="20"/>
      <c r="K251" s="14" t="str">
        <f aca="false">IF(AND(I251&lt;&gt;"",H251&lt;&gt;"",J251&lt;&gt;""),IF(J251="W",I251*H251,IF(J251="L",-I251,IF(J251="P",I251*H251*0.5,""))),"")</f>
        <v/>
      </c>
      <c r="L251" s="15" t="str">
        <f aca="false">IF(AND(K251&lt;&gt;"",P250&lt;&gt;""),K251/P250,IF(K251&lt;&gt;"",K251/$D$2,""))</f>
        <v/>
      </c>
      <c r="M251" s="20"/>
      <c r="N251" s="20"/>
      <c r="O251" s="20"/>
      <c r="P251" s="16" t="str">
        <f aca="false">IF(K251&lt;&gt;"",P250+K251,IF(B251&lt;&gt;"",P250,""))</f>
        <v/>
      </c>
      <c r="Q251" s="17" t="str">
        <f aca="false">IF(P251&lt;&gt;"",MIN(0,P251-MAX($P$4:P251)),"")</f>
        <v/>
      </c>
    </row>
    <row r="252" customFormat="false" ht="15" hidden="false" customHeight="true" outlineLevel="0" collapsed="false">
      <c r="A252" s="11" t="str">
        <f aca="false">IF(B252&lt;&gt;"",COUNTA($B$4:B252),"")</f>
        <v/>
      </c>
      <c r="B252" s="12"/>
      <c r="C252" s="12"/>
      <c r="D252" s="12"/>
      <c r="E252" s="12"/>
      <c r="F252" s="12"/>
      <c r="G252" s="12"/>
      <c r="H252" s="12"/>
      <c r="I252" s="13"/>
      <c r="J252" s="12"/>
      <c r="K252" s="14" t="str">
        <f aca="false">IF(AND(I252&lt;&gt;"",H252&lt;&gt;"",J252&lt;&gt;""),IF(J252="W",I252*H252,IF(J252="L",-I252,IF(J252="P",I252*H252*0.5,""))),"")</f>
        <v/>
      </c>
      <c r="L252" s="15" t="str">
        <f aca="false">IF(AND(K252&lt;&gt;"",P251&lt;&gt;""),K252/P251,IF(K252&lt;&gt;"",K252/$D$2,""))</f>
        <v/>
      </c>
      <c r="M252" s="12"/>
      <c r="N252" s="12"/>
      <c r="O252" s="12"/>
      <c r="P252" s="16" t="str">
        <f aca="false">IF(K252&lt;&gt;"",P251+K252,IF(B252&lt;&gt;"",P251,""))</f>
        <v/>
      </c>
      <c r="Q252" s="17" t="str">
        <f aca="false">IF(P252&lt;&gt;"",MIN(0,P252-MAX($P$4:P252)),"")</f>
        <v/>
      </c>
    </row>
    <row r="253" customFormat="false" ht="15" hidden="false" customHeight="true" outlineLevel="0" collapsed="false">
      <c r="A253" s="11" t="str">
        <f aca="false">IF(B253&lt;&gt;"",COUNTA($B$4:B253),"")</f>
        <v/>
      </c>
      <c r="B253" s="20"/>
      <c r="C253" s="20"/>
      <c r="D253" s="20"/>
      <c r="E253" s="20"/>
      <c r="F253" s="20"/>
      <c r="G253" s="20"/>
      <c r="H253" s="20"/>
      <c r="I253" s="21"/>
      <c r="J253" s="20"/>
      <c r="K253" s="14" t="str">
        <f aca="false">IF(AND(I253&lt;&gt;"",H253&lt;&gt;"",J253&lt;&gt;""),IF(J253="W",I253*H253,IF(J253="L",-I253,IF(J253="P",I253*H253*0.5,""))),"")</f>
        <v/>
      </c>
      <c r="L253" s="15" t="str">
        <f aca="false">IF(AND(K253&lt;&gt;"",P252&lt;&gt;""),K253/P252,IF(K253&lt;&gt;"",K253/$D$2,""))</f>
        <v/>
      </c>
      <c r="M253" s="20"/>
      <c r="N253" s="20"/>
      <c r="O253" s="20"/>
      <c r="P253" s="16" t="str">
        <f aca="false">IF(K253&lt;&gt;"",P252+K253,IF(B253&lt;&gt;"",P252,""))</f>
        <v/>
      </c>
      <c r="Q253" s="17" t="str">
        <f aca="false">IF(P253&lt;&gt;"",MIN(0,P253-MAX($P$4:P253)),"")</f>
        <v/>
      </c>
    </row>
    <row r="254" customFormat="false" ht="15" hidden="false" customHeight="true" outlineLevel="0" collapsed="false">
      <c r="A254" s="11" t="str">
        <f aca="false">IF(B254&lt;&gt;"",COUNTA($B$4:B254),"")</f>
        <v/>
      </c>
      <c r="B254" s="12"/>
      <c r="C254" s="12"/>
      <c r="D254" s="12"/>
      <c r="E254" s="12"/>
      <c r="F254" s="12"/>
      <c r="G254" s="12"/>
      <c r="H254" s="12"/>
      <c r="I254" s="13"/>
      <c r="J254" s="12"/>
      <c r="K254" s="14" t="str">
        <f aca="false">IF(AND(I254&lt;&gt;"",H254&lt;&gt;"",J254&lt;&gt;""),IF(J254="W",I254*H254,IF(J254="L",-I254,IF(J254="P",I254*H254*0.5,""))),"")</f>
        <v/>
      </c>
      <c r="L254" s="15" t="str">
        <f aca="false">IF(AND(K254&lt;&gt;"",P253&lt;&gt;""),K254/P253,IF(K254&lt;&gt;"",K254/$D$2,""))</f>
        <v/>
      </c>
      <c r="M254" s="12"/>
      <c r="N254" s="12"/>
      <c r="O254" s="12"/>
      <c r="P254" s="16" t="str">
        <f aca="false">IF(K254&lt;&gt;"",P253+K254,IF(B254&lt;&gt;"",P253,""))</f>
        <v/>
      </c>
      <c r="Q254" s="17" t="str">
        <f aca="false">IF(P254&lt;&gt;"",MIN(0,P254-MAX($P$4:P254)),"")</f>
        <v/>
      </c>
    </row>
    <row r="255" customFormat="false" ht="15" hidden="false" customHeight="true" outlineLevel="0" collapsed="false">
      <c r="A255" s="11" t="str">
        <f aca="false">IF(B255&lt;&gt;"",COUNTA($B$4:B255),"")</f>
        <v/>
      </c>
      <c r="B255" s="20"/>
      <c r="C255" s="20"/>
      <c r="D255" s="20"/>
      <c r="E255" s="20"/>
      <c r="F255" s="20"/>
      <c r="G255" s="20"/>
      <c r="H255" s="20"/>
      <c r="I255" s="21"/>
      <c r="J255" s="20"/>
      <c r="K255" s="14" t="str">
        <f aca="false">IF(AND(I255&lt;&gt;"",H255&lt;&gt;"",J255&lt;&gt;""),IF(J255="W",I255*H255,IF(J255="L",-I255,IF(J255="P",I255*H255*0.5,""))),"")</f>
        <v/>
      </c>
      <c r="L255" s="15" t="str">
        <f aca="false">IF(AND(K255&lt;&gt;"",P254&lt;&gt;""),K255/P254,IF(K255&lt;&gt;"",K255/$D$2,""))</f>
        <v/>
      </c>
      <c r="M255" s="20"/>
      <c r="N255" s="20"/>
      <c r="O255" s="20"/>
      <c r="P255" s="16" t="str">
        <f aca="false">IF(K255&lt;&gt;"",P254+K255,IF(B255&lt;&gt;"",P254,""))</f>
        <v/>
      </c>
      <c r="Q255" s="17" t="str">
        <f aca="false">IF(P255&lt;&gt;"",MIN(0,P255-MAX($P$4:P255)),"")</f>
        <v/>
      </c>
    </row>
    <row r="256" customFormat="false" ht="15" hidden="false" customHeight="true" outlineLevel="0" collapsed="false">
      <c r="A256" s="11" t="str">
        <f aca="false">IF(B256&lt;&gt;"",COUNTA($B$4:B256),"")</f>
        <v/>
      </c>
      <c r="B256" s="12"/>
      <c r="C256" s="12"/>
      <c r="D256" s="12"/>
      <c r="E256" s="12"/>
      <c r="F256" s="12"/>
      <c r="G256" s="12"/>
      <c r="H256" s="12"/>
      <c r="I256" s="13"/>
      <c r="J256" s="12"/>
      <c r="K256" s="14" t="str">
        <f aca="false">IF(AND(I256&lt;&gt;"",H256&lt;&gt;"",J256&lt;&gt;""),IF(J256="W",I256*H256,IF(J256="L",-I256,IF(J256="P",I256*H256*0.5,""))),"")</f>
        <v/>
      </c>
      <c r="L256" s="15" t="str">
        <f aca="false">IF(AND(K256&lt;&gt;"",P255&lt;&gt;""),K256/P255,IF(K256&lt;&gt;"",K256/$D$2,""))</f>
        <v/>
      </c>
      <c r="M256" s="12"/>
      <c r="N256" s="12"/>
      <c r="O256" s="12"/>
      <c r="P256" s="16" t="str">
        <f aca="false">IF(K256&lt;&gt;"",P255+K256,IF(B256&lt;&gt;"",P255,""))</f>
        <v/>
      </c>
      <c r="Q256" s="17" t="str">
        <f aca="false">IF(P256&lt;&gt;"",MIN(0,P256-MAX($P$4:P256)),"")</f>
        <v/>
      </c>
    </row>
    <row r="257" customFormat="false" ht="15" hidden="false" customHeight="true" outlineLevel="0" collapsed="false">
      <c r="A257" s="11" t="str">
        <f aca="false">IF(B257&lt;&gt;"",COUNTA($B$4:B257),"")</f>
        <v/>
      </c>
      <c r="B257" s="20"/>
      <c r="C257" s="20"/>
      <c r="D257" s="20"/>
      <c r="E257" s="20"/>
      <c r="F257" s="20"/>
      <c r="G257" s="20"/>
      <c r="H257" s="20"/>
      <c r="I257" s="21"/>
      <c r="J257" s="20"/>
      <c r="K257" s="14" t="str">
        <f aca="false">IF(AND(I257&lt;&gt;"",H257&lt;&gt;"",J257&lt;&gt;""),IF(J257="W",I257*H257,IF(J257="L",-I257,IF(J257="P",I257*H257*0.5,""))),"")</f>
        <v/>
      </c>
      <c r="L257" s="15" t="str">
        <f aca="false">IF(AND(K257&lt;&gt;"",P256&lt;&gt;""),K257/P256,IF(K257&lt;&gt;"",K257/$D$2,""))</f>
        <v/>
      </c>
      <c r="M257" s="20"/>
      <c r="N257" s="20"/>
      <c r="O257" s="20"/>
      <c r="P257" s="16" t="str">
        <f aca="false">IF(K257&lt;&gt;"",P256+K257,IF(B257&lt;&gt;"",P256,""))</f>
        <v/>
      </c>
      <c r="Q257" s="17" t="str">
        <f aca="false">IF(P257&lt;&gt;"",MIN(0,P257-MAX($P$4:P257)),"")</f>
        <v/>
      </c>
    </row>
    <row r="258" customFormat="false" ht="15" hidden="false" customHeight="true" outlineLevel="0" collapsed="false">
      <c r="A258" s="11" t="str">
        <f aca="false">IF(B258&lt;&gt;"",COUNTA($B$4:B258),"")</f>
        <v/>
      </c>
      <c r="B258" s="12"/>
      <c r="C258" s="12"/>
      <c r="D258" s="12"/>
      <c r="E258" s="12"/>
      <c r="F258" s="12"/>
      <c r="G258" s="12"/>
      <c r="H258" s="12"/>
      <c r="I258" s="13"/>
      <c r="J258" s="12"/>
      <c r="K258" s="14" t="str">
        <f aca="false">IF(AND(I258&lt;&gt;"",H258&lt;&gt;"",J258&lt;&gt;""),IF(J258="W",I258*H258,IF(J258="L",-I258,IF(J258="P",I258*H258*0.5,""))),"")</f>
        <v/>
      </c>
      <c r="L258" s="15" t="str">
        <f aca="false">IF(AND(K258&lt;&gt;"",P257&lt;&gt;""),K258/P257,IF(K258&lt;&gt;"",K258/$D$2,""))</f>
        <v/>
      </c>
      <c r="M258" s="12"/>
      <c r="N258" s="12"/>
      <c r="O258" s="12"/>
      <c r="P258" s="16" t="str">
        <f aca="false">IF(K258&lt;&gt;"",P257+K258,IF(B258&lt;&gt;"",P257,""))</f>
        <v/>
      </c>
      <c r="Q258" s="17" t="str">
        <f aca="false">IF(P258&lt;&gt;"",MIN(0,P258-MAX($P$4:P258)),"")</f>
        <v/>
      </c>
    </row>
    <row r="259" customFormat="false" ht="15" hidden="false" customHeight="true" outlineLevel="0" collapsed="false">
      <c r="A259" s="11" t="str">
        <f aca="false">IF(B259&lt;&gt;"",COUNTA($B$4:B259),"")</f>
        <v/>
      </c>
      <c r="B259" s="20"/>
      <c r="C259" s="20"/>
      <c r="D259" s="20"/>
      <c r="E259" s="20"/>
      <c r="F259" s="20"/>
      <c r="G259" s="20"/>
      <c r="H259" s="20"/>
      <c r="I259" s="21"/>
      <c r="J259" s="20"/>
      <c r="K259" s="14" t="str">
        <f aca="false">IF(AND(I259&lt;&gt;"",H259&lt;&gt;"",J259&lt;&gt;""),IF(J259="W",I259*H259,IF(J259="L",-I259,IF(J259="P",I259*H259*0.5,""))),"")</f>
        <v/>
      </c>
      <c r="L259" s="15" t="str">
        <f aca="false">IF(AND(K259&lt;&gt;"",P258&lt;&gt;""),K259/P258,IF(K259&lt;&gt;"",K259/$D$2,""))</f>
        <v/>
      </c>
      <c r="M259" s="20"/>
      <c r="N259" s="20"/>
      <c r="O259" s="20"/>
      <c r="P259" s="16" t="str">
        <f aca="false">IF(K259&lt;&gt;"",P258+K259,IF(B259&lt;&gt;"",P258,""))</f>
        <v/>
      </c>
      <c r="Q259" s="17" t="str">
        <f aca="false">IF(P259&lt;&gt;"",MIN(0,P259-MAX($P$4:P259)),"")</f>
        <v/>
      </c>
    </row>
    <row r="260" customFormat="false" ht="15" hidden="false" customHeight="true" outlineLevel="0" collapsed="false">
      <c r="A260" s="11" t="str">
        <f aca="false">IF(B260&lt;&gt;"",COUNTA($B$4:B260),"")</f>
        <v/>
      </c>
      <c r="B260" s="12"/>
      <c r="C260" s="12"/>
      <c r="D260" s="12"/>
      <c r="E260" s="12"/>
      <c r="F260" s="12"/>
      <c r="G260" s="12"/>
      <c r="H260" s="12"/>
      <c r="I260" s="13"/>
      <c r="J260" s="12"/>
      <c r="K260" s="14" t="str">
        <f aca="false">IF(AND(I260&lt;&gt;"",H260&lt;&gt;"",J260&lt;&gt;""),IF(J260="W",I260*H260,IF(J260="L",-I260,IF(J260="P",I260*H260*0.5,""))),"")</f>
        <v/>
      </c>
      <c r="L260" s="15" t="str">
        <f aca="false">IF(AND(K260&lt;&gt;"",P259&lt;&gt;""),K260/P259,IF(K260&lt;&gt;"",K260/$D$2,""))</f>
        <v/>
      </c>
      <c r="M260" s="12"/>
      <c r="N260" s="12"/>
      <c r="O260" s="12"/>
      <c r="P260" s="16" t="str">
        <f aca="false">IF(K260&lt;&gt;"",P259+K260,IF(B260&lt;&gt;"",P259,""))</f>
        <v/>
      </c>
      <c r="Q260" s="17" t="str">
        <f aca="false">IF(P260&lt;&gt;"",MIN(0,P260-MAX($P$4:P260)),"")</f>
        <v/>
      </c>
    </row>
    <row r="261" customFormat="false" ht="15" hidden="false" customHeight="true" outlineLevel="0" collapsed="false">
      <c r="A261" s="11" t="str">
        <f aca="false">IF(B261&lt;&gt;"",COUNTA($B$4:B261),"")</f>
        <v/>
      </c>
      <c r="B261" s="20"/>
      <c r="C261" s="20"/>
      <c r="D261" s="20"/>
      <c r="E261" s="20"/>
      <c r="F261" s="20"/>
      <c r="G261" s="20"/>
      <c r="H261" s="20"/>
      <c r="I261" s="21"/>
      <c r="J261" s="20"/>
      <c r="K261" s="14" t="str">
        <f aca="false">IF(AND(I261&lt;&gt;"",H261&lt;&gt;"",J261&lt;&gt;""),IF(J261="W",I261*H261,IF(J261="L",-I261,IF(J261="P",I261*H261*0.5,""))),"")</f>
        <v/>
      </c>
      <c r="L261" s="15" t="str">
        <f aca="false">IF(AND(K261&lt;&gt;"",P260&lt;&gt;""),K261/P260,IF(K261&lt;&gt;"",K261/$D$2,""))</f>
        <v/>
      </c>
      <c r="M261" s="20"/>
      <c r="N261" s="20"/>
      <c r="O261" s="20"/>
      <c r="P261" s="16" t="str">
        <f aca="false">IF(K261&lt;&gt;"",P260+K261,IF(B261&lt;&gt;"",P260,""))</f>
        <v/>
      </c>
      <c r="Q261" s="17" t="str">
        <f aca="false">IF(P261&lt;&gt;"",MIN(0,P261-MAX($P$4:P261)),"")</f>
        <v/>
      </c>
    </row>
    <row r="262" customFormat="false" ht="15" hidden="false" customHeight="true" outlineLevel="0" collapsed="false">
      <c r="A262" s="11" t="str">
        <f aca="false">IF(B262&lt;&gt;"",COUNTA($B$4:B262),"")</f>
        <v/>
      </c>
      <c r="B262" s="12"/>
      <c r="C262" s="12"/>
      <c r="D262" s="12"/>
      <c r="E262" s="12"/>
      <c r="F262" s="12"/>
      <c r="G262" s="12"/>
      <c r="H262" s="12"/>
      <c r="I262" s="13"/>
      <c r="J262" s="12"/>
      <c r="K262" s="14" t="str">
        <f aca="false">IF(AND(I262&lt;&gt;"",H262&lt;&gt;"",J262&lt;&gt;""),IF(J262="W",I262*H262,IF(J262="L",-I262,IF(J262="P",I262*H262*0.5,""))),"")</f>
        <v/>
      </c>
      <c r="L262" s="15" t="str">
        <f aca="false">IF(AND(K262&lt;&gt;"",P261&lt;&gt;""),K262/P261,IF(K262&lt;&gt;"",K262/$D$2,""))</f>
        <v/>
      </c>
      <c r="M262" s="12"/>
      <c r="N262" s="12"/>
      <c r="O262" s="12"/>
      <c r="P262" s="16" t="str">
        <f aca="false">IF(K262&lt;&gt;"",P261+K262,IF(B262&lt;&gt;"",P261,""))</f>
        <v/>
      </c>
      <c r="Q262" s="17" t="str">
        <f aca="false">IF(P262&lt;&gt;"",MIN(0,P262-MAX($P$4:P262)),"")</f>
        <v/>
      </c>
    </row>
    <row r="263" customFormat="false" ht="15" hidden="false" customHeight="true" outlineLevel="0" collapsed="false">
      <c r="A263" s="11" t="str">
        <f aca="false">IF(B263&lt;&gt;"",COUNTA($B$4:B263),"")</f>
        <v/>
      </c>
      <c r="B263" s="20"/>
      <c r="C263" s="20"/>
      <c r="D263" s="20"/>
      <c r="E263" s="20"/>
      <c r="F263" s="20"/>
      <c r="G263" s="20"/>
      <c r="H263" s="20"/>
      <c r="I263" s="21"/>
      <c r="J263" s="20"/>
      <c r="K263" s="14" t="str">
        <f aca="false">IF(AND(I263&lt;&gt;"",H263&lt;&gt;"",J263&lt;&gt;""),IF(J263="W",I263*H263,IF(J263="L",-I263,IF(J263="P",I263*H263*0.5,""))),"")</f>
        <v/>
      </c>
      <c r="L263" s="15" t="str">
        <f aca="false">IF(AND(K263&lt;&gt;"",P262&lt;&gt;""),K263/P262,IF(K263&lt;&gt;"",K263/$D$2,""))</f>
        <v/>
      </c>
      <c r="M263" s="20"/>
      <c r="N263" s="20"/>
      <c r="O263" s="20"/>
      <c r="P263" s="16" t="str">
        <f aca="false">IF(K263&lt;&gt;"",P262+K263,IF(B263&lt;&gt;"",P262,""))</f>
        <v/>
      </c>
      <c r="Q263" s="17" t="str">
        <f aca="false">IF(P263&lt;&gt;"",MIN(0,P263-MAX($P$4:P263)),"")</f>
        <v/>
      </c>
    </row>
    <row r="264" customFormat="false" ht="15" hidden="false" customHeight="true" outlineLevel="0" collapsed="false">
      <c r="A264" s="11" t="str">
        <f aca="false">IF(B264&lt;&gt;"",COUNTA($B$4:B264),"")</f>
        <v/>
      </c>
      <c r="B264" s="12"/>
      <c r="C264" s="12"/>
      <c r="D264" s="12"/>
      <c r="E264" s="12"/>
      <c r="F264" s="12"/>
      <c r="G264" s="12"/>
      <c r="H264" s="12"/>
      <c r="I264" s="13"/>
      <c r="J264" s="12"/>
      <c r="K264" s="14" t="str">
        <f aca="false">IF(AND(I264&lt;&gt;"",H264&lt;&gt;"",J264&lt;&gt;""),IF(J264="W",I264*H264,IF(J264="L",-I264,IF(J264="P",I264*H264*0.5,""))),"")</f>
        <v/>
      </c>
      <c r="L264" s="15" t="str">
        <f aca="false">IF(AND(K264&lt;&gt;"",P263&lt;&gt;""),K264/P263,IF(K264&lt;&gt;"",K264/$D$2,""))</f>
        <v/>
      </c>
      <c r="M264" s="12"/>
      <c r="N264" s="12"/>
      <c r="O264" s="12"/>
      <c r="P264" s="16" t="str">
        <f aca="false">IF(K264&lt;&gt;"",P263+K264,IF(B264&lt;&gt;"",P263,""))</f>
        <v/>
      </c>
      <c r="Q264" s="17" t="str">
        <f aca="false">IF(P264&lt;&gt;"",MIN(0,P264-MAX($P$4:P264)),"")</f>
        <v/>
      </c>
    </row>
    <row r="265" customFormat="false" ht="15" hidden="false" customHeight="true" outlineLevel="0" collapsed="false">
      <c r="A265" s="11" t="str">
        <f aca="false">IF(B265&lt;&gt;"",COUNTA($B$4:B265),"")</f>
        <v/>
      </c>
      <c r="B265" s="20"/>
      <c r="C265" s="20"/>
      <c r="D265" s="20"/>
      <c r="E265" s="20"/>
      <c r="F265" s="20"/>
      <c r="G265" s="20"/>
      <c r="H265" s="20"/>
      <c r="I265" s="21"/>
      <c r="J265" s="20"/>
      <c r="K265" s="14" t="str">
        <f aca="false">IF(AND(I265&lt;&gt;"",H265&lt;&gt;"",J265&lt;&gt;""),IF(J265="W",I265*H265,IF(J265="L",-I265,IF(J265="P",I265*H265*0.5,""))),"")</f>
        <v/>
      </c>
      <c r="L265" s="15" t="str">
        <f aca="false">IF(AND(K265&lt;&gt;"",P264&lt;&gt;""),K265/P264,IF(K265&lt;&gt;"",K265/$D$2,""))</f>
        <v/>
      </c>
      <c r="M265" s="20"/>
      <c r="N265" s="20"/>
      <c r="O265" s="20"/>
      <c r="P265" s="16" t="str">
        <f aca="false">IF(K265&lt;&gt;"",P264+K265,IF(B265&lt;&gt;"",P264,""))</f>
        <v/>
      </c>
      <c r="Q265" s="17" t="str">
        <f aca="false">IF(P265&lt;&gt;"",MIN(0,P265-MAX($P$4:P265)),"")</f>
        <v/>
      </c>
    </row>
    <row r="266" customFormat="false" ht="15" hidden="false" customHeight="true" outlineLevel="0" collapsed="false">
      <c r="A266" s="11" t="str">
        <f aca="false">IF(B266&lt;&gt;"",COUNTA($B$4:B266),"")</f>
        <v/>
      </c>
      <c r="B266" s="12"/>
      <c r="C266" s="12"/>
      <c r="D266" s="12"/>
      <c r="E266" s="12"/>
      <c r="F266" s="12"/>
      <c r="G266" s="12"/>
      <c r="H266" s="12"/>
      <c r="I266" s="13"/>
      <c r="J266" s="12"/>
      <c r="K266" s="14" t="str">
        <f aca="false">IF(AND(I266&lt;&gt;"",H266&lt;&gt;"",J266&lt;&gt;""),IF(J266="W",I266*H266,IF(J266="L",-I266,IF(J266="P",I266*H266*0.5,""))),"")</f>
        <v/>
      </c>
      <c r="L266" s="15" t="str">
        <f aca="false">IF(AND(K266&lt;&gt;"",P265&lt;&gt;""),K266/P265,IF(K266&lt;&gt;"",K266/$D$2,""))</f>
        <v/>
      </c>
      <c r="M266" s="12"/>
      <c r="N266" s="12"/>
      <c r="O266" s="12"/>
      <c r="P266" s="16" t="str">
        <f aca="false">IF(K266&lt;&gt;"",P265+K266,IF(B266&lt;&gt;"",P265,""))</f>
        <v/>
      </c>
      <c r="Q266" s="17" t="str">
        <f aca="false">IF(P266&lt;&gt;"",MIN(0,P266-MAX($P$4:P266)),"")</f>
        <v/>
      </c>
    </row>
    <row r="267" customFormat="false" ht="15" hidden="false" customHeight="true" outlineLevel="0" collapsed="false">
      <c r="A267" s="11" t="str">
        <f aca="false">IF(B267&lt;&gt;"",COUNTA($B$4:B267),"")</f>
        <v/>
      </c>
      <c r="B267" s="20"/>
      <c r="C267" s="20"/>
      <c r="D267" s="20"/>
      <c r="E267" s="20"/>
      <c r="F267" s="20"/>
      <c r="G267" s="20"/>
      <c r="H267" s="20"/>
      <c r="I267" s="21"/>
      <c r="J267" s="20"/>
      <c r="K267" s="14" t="str">
        <f aca="false">IF(AND(I267&lt;&gt;"",H267&lt;&gt;"",J267&lt;&gt;""),IF(J267="W",I267*H267,IF(J267="L",-I267,IF(J267="P",I267*H267*0.5,""))),"")</f>
        <v/>
      </c>
      <c r="L267" s="15" t="str">
        <f aca="false">IF(AND(K267&lt;&gt;"",P266&lt;&gt;""),K267/P266,IF(K267&lt;&gt;"",K267/$D$2,""))</f>
        <v/>
      </c>
      <c r="M267" s="20"/>
      <c r="N267" s="20"/>
      <c r="O267" s="20"/>
      <c r="P267" s="16" t="str">
        <f aca="false">IF(K267&lt;&gt;"",P266+K267,IF(B267&lt;&gt;"",P266,""))</f>
        <v/>
      </c>
      <c r="Q267" s="17" t="str">
        <f aca="false">IF(P267&lt;&gt;"",MIN(0,P267-MAX($P$4:P267)),"")</f>
        <v/>
      </c>
    </row>
    <row r="268" customFormat="false" ht="15" hidden="false" customHeight="true" outlineLevel="0" collapsed="false">
      <c r="A268" s="11" t="str">
        <f aca="false">IF(B268&lt;&gt;"",COUNTA($B$4:B268),"")</f>
        <v/>
      </c>
      <c r="B268" s="12"/>
      <c r="C268" s="12"/>
      <c r="D268" s="12"/>
      <c r="E268" s="12"/>
      <c r="F268" s="12"/>
      <c r="G268" s="12"/>
      <c r="H268" s="12"/>
      <c r="I268" s="13"/>
      <c r="J268" s="12"/>
      <c r="K268" s="14" t="str">
        <f aca="false">IF(AND(I268&lt;&gt;"",H268&lt;&gt;"",J268&lt;&gt;""),IF(J268="W",I268*H268,IF(J268="L",-I268,IF(J268="P",I268*H268*0.5,""))),"")</f>
        <v/>
      </c>
      <c r="L268" s="15" t="str">
        <f aca="false">IF(AND(K268&lt;&gt;"",P267&lt;&gt;""),K268/P267,IF(K268&lt;&gt;"",K268/$D$2,""))</f>
        <v/>
      </c>
      <c r="M268" s="12"/>
      <c r="N268" s="12"/>
      <c r="O268" s="12"/>
      <c r="P268" s="16" t="str">
        <f aca="false">IF(K268&lt;&gt;"",P267+K268,IF(B268&lt;&gt;"",P267,""))</f>
        <v/>
      </c>
      <c r="Q268" s="17" t="str">
        <f aca="false">IF(P268&lt;&gt;"",MIN(0,P268-MAX($P$4:P268)),"")</f>
        <v/>
      </c>
    </row>
    <row r="269" customFormat="false" ht="15" hidden="false" customHeight="true" outlineLevel="0" collapsed="false">
      <c r="A269" s="11" t="str">
        <f aca="false">IF(B269&lt;&gt;"",COUNTA($B$4:B269),"")</f>
        <v/>
      </c>
      <c r="B269" s="20"/>
      <c r="C269" s="20"/>
      <c r="D269" s="20"/>
      <c r="E269" s="20"/>
      <c r="F269" s="20"/>
      <c r="G269" s="20"/>
      <c r="H269" s="20"/>
      <c r="I269" s="21"/>
      <c r="J269" s="20"/>
      <c r="K269" s="14" t="str">
        <f aca="false">IF(AND(I269&lt;&gt;"",H269&lt;&gt;"",J269&lt;&gt;""),IF(J269="W",I269*H269,IF(J269="L",-I269,IF(J269="P",I269*H269*0.5,""))),"")</f>
        <v/>
      </c>
      <c r="L269" s="15" t="str">
        <f aca="false">IF(AND(K269&lt;&gt;"",P268&lt;&gt;""),K269/P268,IF(K269&lt;&gt;"",K269/$D$2,""))</f>
        <v/>
      </c>
      <c r="M269" s="20"/>
      <c r="N269" s="20"/>
      <c r="O269" s="20"/>
      <c r="P269" s="16" t="str">
        <f aca="false">IF(K269&lt;&gt;"",P268+K269,IF(B269&lt;&gt;"",P268,""))</f>
        <v/>
      </c>
      <c r="Q269" s="17" t="str">
        <f aca="false">IF(P269&lt;&gt;"",MIN(0,P269-MAX($P$4:P269)),"")</f>
        <v/>
      </c>
    </row>
    <row r="270" customFormat="false" ht="15" hidden="false" customHeight="true" outlineLevel="0" collapsed="false">
      <c r="A270" s="11" t="str">
        <f aca="false">IF(B270&lt;&gt;"",COUNTA($B$4:B270),"")</f>
        <v/>
      </c>
      <c r="B270" s="12"/>
      <c r="C270" s="12"/>
      <c r="D270" s="12"/>
      <c r="E270" s="12"/>
      <c r="F270" s="12"/>
      <c r="G270" s="12"/>
      <c r="H270" s="12"/>
      <c r="I270" s="13"/>
      <c r="J270" s="12"/>
      <c r="K270" s="14" t="str">
        <f aca="false">IF(AND(I270&lt;&gt;"",H270&lt;&gt;"",J270&lt;&gt;""),IF(J270="W",I270*H270,IF(J270="L",-I270,IF(J270="P",I270*H270*0.5,""))),"")</f>
        <v/>
      </c>
      <c r="L270" s="15" t="str">
        <f aca="false">IF(AND(K270&lt;&gt;"",P269&lt;&gt;""),K270/P269,IF(K270&lt;&gt;"",K270/$D$2,""))</f>
        <v/>
      </c>
      <c r="M270" s="12"/>
      <c r="N270" s="12"/>
      <c r="O270" s="12"/>
      <c r="P270" s="16" t="str">
        <f aca="false">IF(K270&lt;&gt;"",P269+K270,IF(B270&lt;&gt;"",P269,""))</f>
        <v/>
      </c>
      <c r="Q270" s="17" t="str">
        <f aca="false">IF(P270&lt;&gt;"",MIN(0,P270-MAX($P$4:P270)),"")</f>
        <v/>
      </c>
    </row>
    <row r="271" customFormat="false" ht="15" hidden="false" customHeight="true" outlineLevel="0" collapsed="false">
      <c r="A271" s="11" t="str">
        <f aca="false">IF(B271&lt;&gt;"",COUNTA($B$4:B271),"")</f>
        <v/>
      </c>
      <c r="B271" s="20"/>
      <c r="C271" s="20"/>
      <c r="D271" s="20"/>
      <c r="E271" s="20"/>
      <c r="F271" s="20"/>
      <c r="G271" s="20"/>
      <c r="H271" s="20"/>
      <c r="I271" s="21"/>
      <c r="J271" s="20"/>
      <c r="K271" s="14" t="str">
        <f aca="false">IF(AND(I271&lt;&gt;"",H271&lt;&gt;"",J271&lt;&gt;""),IF(J271="W",I271*H271,IF(J271="L",-I271,IF(J271="P",I271*H271*0.5,""))),"")</f>
        <v/>
      </c>
      <c r="L271" s="15" t="str">
        <f aca="false">IF(AND(K271&lt;&gt;"",P270&lt;&gt;""),K271/P270,IF(K271&lt;&gt;"",K271/$D$2,""))</f>
        <v/>
      </c>
      <c r="M271" s="20"/>
      <c r="N271" s="20"/>
      <c r="O271" s="20"/>
      <c r="P271" s="16" t="str">
        <f aca="false">IF(K271&lt;&gt;"",P270+K271,IF(B271&lt;&gt;"",P270,""))</f>
        <v/>
      </c>
      <c r="Q271" s="17" t="str">
        <f aca="false">IF(P271&lt;&gt;"",MIN(0,P271-MAX($P$4:P271)),"")</f>
        <v/>
      </c>
    </row>
    <row r="272" customFormat="false" ht="15" hidden="false" customHeight="true" outlineLevel="0" collapsed="false">
      <c r="A272" s="11" t="str">
        <f aca="false">IF(B272&lt;&gt;"",COUNTA($B$4:B272),"")</f>
        <v/>
      </c>
      <c r="B272" s="12"/>
      <c r="C272" s="12"/>
      <c r="D272" s="12"/>
      <c r="E272" s="12"/>
      <c r="F272" s="12"/>
      <c r="G272" s="12"/>
      <c r="H272" s="12"/>
      <c r="I272" s="13"/>
      <c r="J272" s="12"/>
      <c r="K272" s="14" t="str">
        <f aca="false">IF(AND(I272&lt;&gt;"",H272&lt;&gt;"",J272&lt;&gt;""),IF(J272="W",I272*H272,IF(J272="L",-I272,IF(J272="P",I272*H272*0.5,""))),"")</f>
        <v/>
      </c>
      <c r="L272" s="15" t="str">
        <f aca="false">IF(AND(K272&lt;&gt;"",P271&lt;&gt;""),K272/P271,IF(K272&lt;&gt;"",K272/$D$2,""))</f>
        <v/>
      </c>
      <c r="M272" s="12"/>
      <c r="N272" s="12"/>
      <c r="O272" s="12"/>
      <c r="P272" s="16" t="str">
        <f aca="false">IF(K272&lt;&gt;"",P271+K272,IF(B272&lt;&gt;"",P271,""))</f>
        <v/>
      </c>
      <c r="Q272" s="17" t="str">
        <f aca="false">IF(P272&lt;&gt;"",MIN(0,P272-MAX($P$4:P272)),"")</f>
        <v/>
      </c>
    </row>
    <row r="273" customFormat="false" ht="15" hidden="false" customHeight="true" outlineLevel="0" collapsed="false">
      <c r="A273" s="11" t="str">
        <f aca="false">IF(B273&lt;&gt;"",COUNTA($B$4:B273),"")</f>
        <v/>
      </c>
      <c r="B273" s="20"/>
      <c r="C273" s="20"/>
      <c r="D273" s="20"/>
      <c r="E273" s="20"/>
      <c r="F273" s="20"/>
      <c r="G273" s="20"/>
      <c r="H273" s="20"/>
      <c r="I273" s="21"/>
      <c r="J273" s="20"/>
      <c r="K273" s="14" t="str">
        <f aca="false">IF(AND(I273&lt;&gt;"",H273&lt;&gt;"",J273&lt;&gt;""),IF(J273="W",I273*H273,IF(J273="L",-I273,IF(J273="P",I273*H273*0.5,""))),"")</f>
        <v/>
      </c>
      <c r="L273" s="15" t="str">
        <f aca="false">IF(AND(K273&lt;&gt;"",P272&lt;&gt;""),K273/P272,IF(K273&lt;&gt;"",K273/$D$2,""))</f>
        <v/>
      </c>
      <c r="M273" s="20"/>
      <c r="N273" s="20"/>
      <c r="O273" s="20"/>
      <c r="P273" s="16" t="str">
        <f aca="false">IF(K273&lt;&gt;"",P272+K273,IF(B273&lt;&gt;"",P272,""))</f>
        <v/>
      </c>
      <c r="Q273" s="17" t="str">
        <f aca="false">IF(P273&lt;&gt;"",MIN(0,P273-MAX($P$4:P273)),"")</f>
        <v/>
      </c>
    </row>
    <row r="274" customFormat="false" ht="15" hidden="false" customHeight="true" outlineLevel="0" collapsed="false">
      <c r="A274" s="11" t="str">
        <f aca="false">IF(B274&lt;&gt;"",COUNTA($B$4:B274),"")</f>
        <v/>
      </c>
      <c r="B274" s="12"/>
      <c r="C274" s="12"/>
      <c r="D274" s="12"/>
      <c r="E274" s="12"/>
      <c r="F274" s="12"/>
      <c r="G274" s="12"/>
      <c r="H274" s="12"/>
      <c r="I274" s="13"/>
      <c r="J274" s="12"/>
      <c r="K274" s="14" t="str">
        <f aca="false">IF(AND(I274&lt;&gt;"",H274&lt;&gt;"",J274&lt;&gt;""),IF(J274="W",I274*H274,IF(J274="L",-I274,IF(J274="P",I274*H274*0.5,""))),"")</f>
        <v/>
      </c>
      <c r="L274" s="15" t="str">
        <f aca="false">IF(AND(K274&lt;&gt;"",P273&lt;&gt;""),K274/P273,IF(K274&lt;&gt;"",K274/$D$2,""))</f>
        <v/>
      </c>
      <c r="M274" s="12"/>
      <c r="N274" s="12"/>
      <c r="O274" s="12"/>
      <c r="P274" s="16" t="str">
        <f aca="false">IF(K274&lt;&gt;"",P273+K274,IF(B274&lt;&gt;"",P273,""))</f>
        <v/>
      </c>
      <c r="Q274" s="17" t="str">
        <f aca="false">IF(P274&lt;&gt;"",MIN(0,P274-MAX($P$4:P274)),"")</f>
        <v/>
      </c>
    </row>
    <row r="275" customFormat="false" ht="15" hidden="false" customHeight="true" outlineLevel="0" collapsed="false">
      <c r="A275" s="11" t="str">
        <f aca="false">IF(B275&lt;&gt;"",COUNTA($B$4:B275),"")</f>
        <v/>
      </c>
      <c r="B275" s="20"/>
      <c r="C275" s="20"/>
      <c r="D275" s="20"/>
      <c r="E275" s="20"/>
      <c r="F275" s="20"/>
      <c r="G275" s="20"/>
      <c r="H275" s="20"/>
      <c r="I275" s="21"/>
      <c r="J275" s="20"/>
      <c r="K275" s="14" t="str">
        <f aca="false">IF(AND(I275&lt;&gt;"",H275&lt;&gt;"",J275&lt;&gt;""),IF(J275="W",I275*H275,IF(J275="L",-I275,IF(J275="P",I275*H275*0.5,""))),"")</f>
        <v/>
      </c>
      <c r="L275" s="15" t="str">
        <f aca="false">IF(AND(K275&lt;&gt;"",P274&lt;&gt;""),K275/P274,IF(K275&lt;&gt;"",K275/$D$2,""))</f>
        <v/>
      </c>
      <c r="M275" s="20"/>
      <c r="N275" s="20"/>
      <c r="O275" s="20"/>
      <c r="P275" s="16" t="str">
        <f aca="false">IF(K275&lt;&gt;"",P274+K275,IF(B275&lt;&gt;"",P274,""))</f>
        <v/>
      </c>
      <c r="Q275" s="17" t="str">
        <f aca="false">IF(P275&lt;&gt;"",MIN(0,P275-MAX($P$4:P275)),"")</f>
        <v/>
      </c>
    </row>
    <row r="276" customFormat="false" ht="15" hidden="false" customHeight="true" outlineLevel="0" collapsed="false">
      <c r="A276" s="11" t="str">
        <f aca="false">IF(B276&lt;&gt;"",COUNTA($B$4:B276),"")</f>
        <v/>
      </c>
      <c r="B276" s="12"/>
      <c r="C276" s="12"/>
      <c r="D276" s="12"/>
      <c r="E276" s="12"/>
      <c r="F276" s="12"/>
      <c r="G276" s="12"/>
      <c r="H276" s="12"/>
      <c r="I276" s="13"/>
      <c r="J276" s="12"/>
      <c r="K276" s="14" t="str">
        <f aca="false">IF(AND(I276&lt;&gt;"",H276&lt;&gt;"",J276&lt;&gt;""),IF(J276="W",I276*H276,IF(J276="L",-I276,IF(J276="P",I276*H276*0.5,""))),"")</f>
        <v/>
      </c>
      <c r="L276" s="15" t="str">
        <f aca="false">IF(AND(K276&lt;&gt;"",P275&lt;&gt;""),K276/P275,IF(K276&lt;&gt;"",K276/$D$2,""))</f>
        <v/>
      </c>
      <c r="M276" s="12"/>
      <c r="N276" s="12"/>
      <c r="O276" s="12"/>
      <c r="P276" s="16" t="str">
        <f aca="false">IF(K276&lt;&gt;"",P275+K276,IF(B276&lt;&gt;"",P275,""))</f>
        <v/>
      </c>
      <c r="Q276" s="17" t="str">
        <f aca="false">IF(P276&lt;&gt;"",MIN(0,P276-MAX($P$4:P276)),"")</f>
        <v/>
      </c>
    </row>
    <row r="277" customFormat="false" ht="15" hidden="false" customHeight="true" outlineLevel="0" collapsed="false">
      <c r="A277" s="11" t="str">
        <f aca="false">IF(B277&lt;&gt;"",COUNTA($B$4:B277),"")</f>
        <v/>
      </c>
      <c r="B277" s="20"/>
      <c r="C277" s="20"/>
      <c r="D277" s="20"/>
      <c r="E277" s="20"/>
      <c r="F277" s="20"/>
      <c r="G277" s="20"/>
      <c r="H277" s="20"/>
      <c r="I277" s="21"/>
      <c r="J277" s="20"/>
      <c r="K277" s="14" t="str">
        <f aca="false">IF(AND(I277&lt;&gt;"",H277&lt;&gt;"",J277&lt;&gt;""),IF(J277="W",I277*H277,IF(J277="L",-I277,IF(J277="P",I277*H277*0.5,""))),"")</f>
        <v/>
      </c>
      <c r="L277" s="15" t="str">
        <f aca="false">IF(AND(K277&lt;&gt;"",P276&lt;&gt;""),K277/P276,IF(K277&lt;&gt;"",K277/$D$2,""))</f>
        <v/>
      </c>
      <c r="M277" s="20"/>
      <c r="N277" s="20"/>
      <c r="O277" s="20"/>
      <c r="P277" s="16" t="str">
        <f aca="false">IF(K277&lt;&gt;"",P276+K277,IF(B277&lt;&gt;"",P276,""))</f>
        <v/>
      </c>
      <c r="Q277" s="17" t="str">
        <f aca="false">IF(P277&lt;&gt;"",MIN(0,P277-MAX($P$4:P277)),"")</f>
        <v/>
      </c>
    </row>
    <row r="278" customFormat="false" ht="15" hidden="false" customHeight="true" outlineLevel="0" collapsed="false">
      <c r="A278" s="11" t="str">
        <f aca="false">IF(B278&lt;&gt;"",COUNTA($B$4:B278),"")</f>
        <v/>
      </c>
      <c r="B278" s="12"/>
      <c r="C278" s="12"/>
      <c r="D278" s="12"/>
      <c r="E278" s="12"/>
      <c r="F278" s="12"/>
      <c r="G278" s="12"/>
      <c r="H278" s="12"/>
      <c r="I278" s="13"/>
      <c r="J278" s="12"/>
      <c r="K278" s="14" t="str">
        <f aca="false">IF(AND(I278&lt;&gt;"",H278&lt;&gt;"",J278&lt;&gt;""),IF(J278="W",I278*H278,IF(J278="L",-I278,IF(J278="P",I278*H278*0.5,""))),"")</f>
        <v/>
      </c>
      <c r="L278" s="15" t="str">
        <f aca="false">IF(AND(K278&lt;&gt;"",P277&lt;&gt;""),K278/P277,IF(K278&lt;&gt;"",K278/$D$2,""))</f>
        <v/>
      </c>
      <c r="M278" s="12"/>
      <c r="N278" s="12"/>
      <c r="O278" s="12"/>
      <c r="P278" s="16" t="str">
        <f aca="false">IF(K278&lt;&gt;"",P277+K278,IF(B278&lt;&gt;"",P277,""))</f>
        <v/>
      </c>
      <c r="Q278" s="17" t="str">
        <f aca="false">IF(P278&lt;&gt;"",MIN(0,P278-MAX($P$4:P278)),"")</f>
        <v/>
      </c>
    </row>
    <row r="279" customFormat="false" ht="15" hidden="false" customHeight="true" outlineLevel="0" collapsed="false">
      <c r="A279" s="11" t="str">
        <f aca="false">IF(B279&lt;&gt;"",COUNTA($B$4:B279),"")</f>
        <v/>
      </c>
      <c r="B279" s="20"/>
      <c r="C279" s="20"/>
      <c r="D279" s="20"/>
      <c r="E279" s="20"/>
      <c r="F279" s="20"/>
      <c r="G279" s="20"/>
      <c r="H279" s="20"/>
      <c r="I279" s="21"/>
      <c r="J279" s="20"/>
      <c r="K279" s="14" t="str">
        <f aca="false">IF(AND(I279&lt;&gt;"",H279&lt;&gt;"",J279&lt;&gt;""),IF(J279="W",I279*H279,IF(J279="L",-I279,IF(J279="P",I279*H279*0.5,""))),"")</f>
        <v/>
      </c>
      <c r="L279" s="15" t="str">
        <f aca="false">IF(AND(K279&lt;&gt;"",P278&lt;&gt;""),K279/P278,IF(K279&lt;&gt;"",K279/$D$2,""))</f>
        <v/>
      </c>
      <c r="M279" s="20"/>
      <c r="N279" s="20"/>
      <c r="O279" s="20"/>
      <c r="P279" s="16" t="str">
        <f aca="false">IF(K279&lt;&gt;"",P278+K279,IF(B279&lt;&gt;"",P278,""))</f>
        <v/>
      </c>
      <c r="Q279" s="17" t="str">
        <f aca="false">IF(P279&lt;&gt;"",MIN(0,P279-MAX($P$4:P279)),"")</f>
        <v/>
      </c>
    </row>
    <row r="280" customFormat="false" ht="15" hidden="false" customHeight="true" outlineLevel="0" collapsed="false">
      <c r="A280" s="11" t="str">
        <f aca="false">IF(B280&lt;&gt;"",COUNTA($B$4:B280),"")</f>
        <v/>
      </c>
      <c r="B280" s="12"/>
      <c r="C280" s="12"/>
      <c r="D280" s="12"/>
      <c r="E280" s="12"/>
      <c r="F280" s="12"/>
      <c r="G280" s="12"/>
      <c r="H280" s="12"/>
      <c r="I280" s="13"/>
      <c r="J280" s="12"/>
      <c r="K280" s="14" t="str">
        <f aca="false">IF(AND(I280&lt;&gt;"",H280&lt;&gt;"",J280&lt;&gt;""),IF(J280="W",I280*H280,IF(J280="L",-I280,IF(J280="P",I280*H280*0.5,""))),"")</f>
        <v/>
      </c>
      <c r="L280" s="15" t="str">
        <f aca="false">IF(AND(K280&lt;&gt;"",P279&lt;&gt;""),K280/P279,IF(K280&lt;&gt;"",K280/$D$2,""))</f>
        <v/>
      </c>
      <c r="M280" s="12"/>
      <c r="N280" s="12"/>
      <c r="O280" s="12"/>
      <c r="P280" s="16" t="str">
        <f aca="false">IF(K280&lt;&gt;"",P279+K280,IF(B280&lt;&gt;"",P279,""))</f>
        <v/>
      </c>
      <c r="Q280" s="17" t="str">
        <f aca="false">IF(P280&lt;&gt;"",MIN(0,P280-MAX($P$4:P280)),"")</f>
        <v/>
      </c>
    </row>
    <row r="281" customFormat="false" ht="15" hidden="false" customHeight="true" outlineLevel="0" collapsed="false">
      <c r="A281" s="11" t="str">
        <f aca="false">IF(B281&lt;&gt;"",COUNTA($B$4:B281),"")</f>
        <v/>
      </c>
      <c r="B281" s="20"/>
      <c r="C281" s="20"/>
      <c r="D281" s="20"/>
      <c r="E281" s="20"/>
      <c r="F281" s="20"/>
      <c r="G281" s="20"/>
      <c r="H281" s="20"/>
      <c r="I281" s="21"/>
      <c r="J281" s="20"/>
      <c r="K281" s="14" t="str">
        <f aca="false">IF(AND(I281&lt;&gt;"",H281&lt;&gt;"",J281&lt;&gt;""),IF(J281="W",I281*H281,IF(J281="L",-I281,IF(J281="P",I281*H281*0.5,""))),"")</f>
        <v/>
      </c>
      <c r="L281" s="15" t="str">
        <f aca="false">IF(AND(K281&lt;&gt;"",P280&lt;&gt;""),K281/P280,IF(K281&lt;&gt;"",K281/$D$2,""))</f>
        <v/>
      </c>
      <c r="M281" s="20"/>
      <c r="N281" s="20"/>
      <c r="O281" s="20"/>
      <c r="P281" s="16" t="str">
        <f aca="false">IF(K281&lt;&gt;"",P280+K281,IF(B281&lt;&gt;"",P280,""))</f>
        <v/>
      </c>
      <c r="Q281" s="17" t="str">
        <f aca="false">IF(P281&lt;&gt;"",MIN(0,P281-MAX($P$4:P281)),"")</f>
        <v/>
      </c>
    </row>
    <row r="282" customFormat="false" ht="15" hidden="false" customHeight="true" outlineLevel="0" collapsed="false">
      <c r="A282" s="11" t="str">
        <f aca="false">IF(B282&lt;&gt;"",COUNTA($B$4:B282),"")</f>
        <v/>
      </c>
      <c r="B282" s="12"/>
      <c r="C282" s="12"/>
      <c r="D282" s="12"/>
      <c r="E282" s="12"/>
      <c r="F282" s="12"/>
      <c r="G282" s="12"/>
      <c r="H282" s="12"/>
      <c r="I282" s="13"/>
      <c r="J282" s="12"/>
      <c r="K282" s="14" t="str">
        <f aca="false">IF(AND(I282&lt;&gt;"",H282&lt;&gt;"",J282&lt;&gt;""),IF(J282="W",I282*H282,IF(J282="L",-I282,IF(J282="P",I282*H282*0.5,""))),"")</f>
        <v/>
      </c>
      <c r="L282" s="15" t="str">
        <f aca="false">IF(AND(K282&lt;&gt;"",P281&lt;&gt;""),K282/P281,IF(K282&lt;&gt;"",K282/$D$2,""))</f>
        <v/>
      </c>
      <c r="M282" s="12"/>
      <c r="N282" s="12"/>
      <c r="O282" s="12"/>
      <c r="P282" s="16" t="str">
        <f aca="false">IF(K282&lt;&gt;"",P281+K282,IF(B282&lt;&gt;"",P281,""))</f>
        <v/>
      </c>
      <c r="Q282" s="17" t="str">
        <f aca="false">IF(P282&lt;&gt;"",MIN(0,P282-MAX($P$4:P282)),"")</f>
        <v/>
      </c>
    </row>
    <row r="283" customFormat="false" ht="15" hidden="false" customHeight="true" outlineLevel="0" collapsed="false">
      <c r="A283" s="11" t="str">
        <f aca="false">IF(B283&lt;&gt;"",COUNTA($B$4:B283),"")</f>
        <v/>
      </c>
      <c r="B283" s="20"/>
      <c r="C283" s="20"/>
      <c r="D283" s="20"/>
      <c r="E283" s="20"/>
      <c r="F283" s="20"/>
      <c r="G283" s="20"/>
      <c r="H283" s="20"/>
      <c r="I283" s="21"/>
      <c r="J283" s="20"/>
      <c r="K283" s="14" t="str">
        <f aca="false">IF(AND(I283&lt;&gt;"",H283&lt;&gt;"",J283&lt;&gt;""),IF(J283="W",I283*H283,IF(J283="L",-I283,IF(J283="P",I283*H283*0.5,""))),"")</f>
        <v/>
      </c>
      <c r="L283" s="15" t="str">
        <f aca="false">IF(AND(K283&lt;&gt;"",P282&lt;&gt;""),K283/P282,IF(K283&lt;&gt;"",K283/$D$2,""))</f>
        <v/>
      </c>
      <c r="M283" s="20"/>
      <c r="N283" s="20"/>
      <c r="O283" s="20"/>
      <c r="P283" s="16" t="str">
        <f aca="false">IF(K283&lt;&gt;"",P282+K283,IF(B283&lt;&gt;"",P282,""))</f>
        <v/>
      </c>
      <c r="Q283" s="17" t="str">
        <f aca="false">IF(P283&lt;&gt;"",MIN(0,P283-MAX($P$4:P283)),"")</f>
        <v/>
      </c>
    </row>
    <row r="284" customFormat="false" ht="15" hidden="false" customHeight="true" outlineLevel="0" collapsed="false">
      <c r="A284" s="11" t="str">
        <f aca="false">IF(B284&lt;&gt;"",COUNTA($B$4:B284),"")</f>
        <v/>
      </c>
      <c r="B284" s="12"/>
      <c r="C284" s="12"/>
      <c r="D284" s="12"/>
      <c r="E284" s="12"/>
      <c r="F284" s="12"/>
      <c r="G284" s="12"/>
      <c r="H284" s="12"/>
      <c r="I284" s="13"/>
      <c r="J284" s="12"/>
      <c r="K284" s="14" t="str">
        <f aca="false">IF(AND(I284&lt;&gt;"",H284&lt;&gt;"",J284&lt;&gt;""),IF(J284="W",I284*H284,IF(J284="L",-I284,IF(J284="P",I284*H284*0.5,""))),"")</f>
        <v/>
      </c>
      <c r="L284" s="15" t="str">
        <f aca="false">IF(AND(K284&lt;&gt;"",P283&lt;&gt;""),K284/P283,IF(K284&lt;&gt;"",K284/$D$2,""))</f>
        <v/>
      </c>
      <c r="M284" s="12"/>
      <c r="N284" s="12"/>
      <c r="O284" s="12"/>
      <c r="P284" s="16" t="str">
        <f aca="false">IF(K284&lt;&gt;"",P283+K284,IF(B284&lt;&gt;"",P283,""))</f>
        <v/>
      </c>
      <c r="Q284" s="17" t="str">
        <f aca="false">IF(P284&lt;&gt;"",MIN(0,P284-MAX($P$4:P284)),"")</f>
        <v/>
      </c>
    </row>
    <row r="285" customFormat="false" ht="15" hidden="false" customHeight="true" outlineLevel="0" collapsed="false">
      <c r="A285" s="11" t="str">
        <f aca="false">IF(B285&lt;&gt;"",COUNTA($B$4:B285),"")</f>
        <v/>
      </c>
      <c r="B285" s="20"/>
      <c r="C285" s="20"/>
      <c r="D285" s="20"/>
      <c r="E285" s="20"/>
      <c r="F285" s="20"/>
      <c r="G285" s="20"/>
      <c r="H285" s="20"/>
      <c r="I285" s="21"/>
      <c r="J285" s="20"/>
      <c r="K285" s="14" t="str">
        <f aca="false">IF(AND(I285&lt;&gt;"",H285&lt;&gt;"",J285&lt;&gt;""),IF(J285="W",I285*H285,IF(J285="L",-I285,IF(J285="P",I285*H285*0.5,""))),"")</f>
        <v/>
      </c>
      <c r="L285" s="15" t="str">
        <f aca="false">IF(AND(K285&lt;&gt;"",P284&lt;&gt;""),K285/P284,IF(K285&lt;&gt;"",K285/$D$2,""))</f>
        <v/>
      </c>
      <c r="M285" s="20"/>
      <c r="N285" s="20"/>
      <c r="O285" s="20"/>
      <c r="P285" s="16" t="str">
        <f aca="false">IF(K285&lt;&gt;"",P284+K285,IF(B285&lt;&gt;"",P284,""))</f>
        <v/>
      </c>
      <c r="Q285" s="17" t="str">
        <f aca="false">IF(P285&lt;&gt;"",MIN(0,P285-MAX($P$4:P285)),"")</f>
        <v/>
      </c>
    </row>
    <row r="286" customFormat="false" ht="15" hidden="false" customHeight="true" outlineLevel="0" collapsed="false">
      <c r="A286" s="11" t="str">
        <f aca="false">IF(B286&lt;&gt;"",COUNTA($B$4:B286),"")</f>
        <v/>
      </c>
      <c r="B286" s="12"/>
      <c r="C286" s="12"/>
      <c r="D286" s="12"/>
      <c r="E286" s="12"/>
      <c r="F286" s="12"/>
      <c r="G286" s="12"/>
      <c r="H286" s="12"/>
      <c r="I286" s="13"/>
      <c r="J286" s="12"/>
      <c r="K286" s="14" t="str">
        <f aca="false">IF(AND(I286&lt;&gt;"",H286&lt;&gt;"",J286&lt;&gt;""),IF(J286="W",I286*H286,IF(J286="L",-I286,IF(J286="P",I286*H286*0.5,""))),"")</f>
        <v/>
      </c>
      <c r="L286" s="15" t="str">
        <f aca="false">IF(AND(K286&lt;&gt;"",P285&lt;&gt;""),K286/P285,IF(K286&lt;&gt;"",K286/$D$2,""))</f>
        <v/>
      </c>
      <c r="M286" s="12"/>
      <c r="N286" s="12"/>
      <c r="O286" s="12"/>
      <c r="P286" s="16" t="str">
        <f aca="false">IF(K286&lt;&gt;"",P285+K286,IF(B286&lt;&gt;"",P285,""))</f>
        <v/>
      </c>
      <c r="Q286" s="17" t="str">
        <f aca="false">IF(P286&lt;&gt;"",MIN(0,P286-MAX($P$4:P286)),"")</f>
        <v/>
      </c>
    </row>
    <row r="287" customFormat="false" ht="15" hidden="false" customHeight="true" outlineLevel="0" collapsed="false">
      <c r="A287" s="11" t="str">
        <f aca="false">IF(B287&lt;&gt;"",COUNTA($B$4:B287),"")</f>
        <v/>
      </c>
      <c r="B287" s="20"/>
      <c r="C287" s="20"/>
      <c r="D287" s="20"/>
      <c r="E287" s="20"/>
      <c r="F287" s="20"/>
      <c r="G287" s="20"/>
      <c r="H287" s="20"/>
      <c r="I287" s="21"/>
      <c r="J287" s="20"/>
      <c r="K287" s="14" t="str">
        <f aca="false">IF(AND(I287&lt;&gt;"",H287&lt;&gt;"",J287&lt;&gt;""),IF(J287="W",I287*H287,IF(J287="L",-I287,IF(J287="P",I287*H287*0.5,""))),"")</f>
        <v/>
      </c>
      <c r="L287" s="15" t="str">
        <f aca="false">IF(AND(K287&lt;&gt;"",P286&lt;&gt;""),K287/P286,IF(K287&lt;&gt;"",K287/$D$2,""))</f>
        <v/>
      </c>
      <c r="M287" s="20"/>
      <c r="N287" s="20"/>
      <c r="O287" s="20"/>
      <c r="P287" s="16" t="str">
        <f aca="false">IF(K287&lt;&gt;"",P286+K287,IF(B287&lt;&gt;"",P286,""))</f>
        <v/>
      </c>
      <c r="Q287" s="17" t="str">
        <f aca="false">IF(P287&lt;&gt;"",MIN(0,P287-MAX($P$4:P287)),"")</f>
        <v/>
      </c>
    </row>
    <row r="288" customFormat="false" ht="15" hidden="false" customHeight="true" outlineLevel="0" collapsed="false">
      <c r="A288" s="11" t="str">
        <f aca="false">IF(B288&lt;&gt;"",COUNTA($B$4:B288),"")</f>
        <v/>
      </c>
      <c r="B288" s="12"/>
      <c r="C288" s="12"/>
      <c r="D288" s="12"/>
      <c r="E288" s="12"/>
      <c r="F288" s="12"/>
      <c r="G288" s="12"/>
      <c r="H288" s="12"/>
      <c r="I288" s="13"/>
      <c r="J288" s="12"/>
      <c r="K288" s="14" t="str">
        <f aca="false">IF(AND(I288&lt;&gt;"",H288&lt;&gt;"",J288&lt;&gt;""),IF(J288="W",I288*H288,IF(J288="L",-I288,IF(J288="P",I288*H288*0.5,""))),"")</f>
        <v/>
      </c>
      <c r="L288" s="15" t="str">
        <f aca="false">IF(AND(K288&lt;&gt;"",P287&lt;&gt;""),K288/P287,IF(K288&lt;&gt;"",K288/$D$2,""))</f>
        <v/>
      </c>
      <c r="M288" s="12"/>
      <c r="N288" s="12"/>
      <c r="O288" s="12"/>
      <c r="P288" s="16" t="str">
        <f aca="false">IF(K288&lt;&gt;"",P287+K288,IF(B288&lt;&gt;"",P287,""))</f>
        <v/>
      </c>
      <c r="Q288" s="17" t="str">
        <f aca="false">IF(P288&lt;&gt;"",MIN(0,P288-MAX($P$4:P288)),"")</f>
        <v/>
      </c>
    </row>
    <row r="289" customFormat="false" ht="15" hidden="false" customHeight="true" outlineLevel="0" collapsed="false">
      <c r="A289" s="11" t="str">
        <f aca="false">IF(B289&lt;&gt;"",COUNTA($B$4:B289),"")</f>
        <v/>
      </c>
      <c r="B289" s="20"/>
      <c r="C289" s="20"/>
      <c r="D289" s="20"/>
      <c r="E289" s="20"/>
      <c r="F289" s="20"/>
      <c r="G289" s="20"/>
      <c r="H289" s="20"/>
      <c r="I289" s="21"/>
      <c r="J289" s="20"/>
      <c r="K289" s="14" t="str">
        <f aca="false">IF(AND(I289&lt;&gt;"",H289&lt;&gt;"",J289&lt;&gt;""),IF(J289="W",I289*H289,IF(J289="L",-I289,IF(J289="P",I289*H289*0.5,""))),"")</f>
        <v/>
      </c>
      <c r="L289" s="15" t="str">
        <f aca="false">IF(AND(K289&lt;&gt;"",P288&lt;&gt;""),K289/P288,IF(K289&lt;&gt;"",K289/$D$2,""))</f>
        <v/>
      </c>
      <c r="M289" s="20"/>
      <c r="N289" s="20"/>
      <c r="O289" s="20"/>
      <c r="P289" s="16" t="str">
        <f aca="false">IF(K289&lt;&gt;"",P288+K289,IF(B289&lt;&gt;"",P288,""))</f>
        <v/>
      </c>
      <c r="Q289" s="17" t="str">
        <f aca="false">IF(P289&lt;&gt;"",MIN(0,P289-MAX($P$4:P289)),"")</f>
        <v/>
      </c>
    </row>
    <row r="290" customFormat="false" ht="15" hidden="false" customHeight="true" outlineLevel="0" collapsed="false">
      <c r="A290" s="11" t="str">
        <f aca="false">IF(B290&lt;&gt;"",COUNTA($B$4:B290),"")</f>
        <v/>
      </c>
      <c r="B290" s="12"/>
      <c r="C290" s="12"/>
      <c r="D290" s="12"/>
      <c r="E290" s="12"/>
      <c r="F290" s="12"/>
      <c r="G290" s="12"/>
      <c r="H290" s="12"/>
      <c r="I290" s="13"/>
      <c r="J290" s="12"/>
      <c r="K290" s="14" t="str">
        <f aca="false">IF(AND(I290&lt;&gt;"",H290&lt;&gt;"",J290&lt;&gt;""),IF(J290="W",I290*H290,IF(J290="L",-I290,IF(J290="P",I290*H290*0.5,""))),"")</f>
        <v/>
      </c>
      <c r="L290" s="15" t="str">
        <f aca="false">IF(AND(K290&lt;&gt;"",P289&lt;&gt;""),K290/P289,IF(K290&lt;&gt;"",K290/$D$2,""))</f>
        <v/>
      </c>
      <c r="M290" s="12"/>
      <c r="N290" s="12"/>
      <c r="O290" s="12"/>
      <c r="P290" s="16" t="str">
        <f aca="false">IF(K290&lt;&gt;"",P289+K290,IF(B290&lt;&gt;"",P289,""))</f>
        <v/>
      </c>
      <c r="Q290" s="17" t="str">
        <f aca="false">IF(P290&lt;&gt;"",MIN(0,P290-MAX($P$4:P290)),"")</f>
        <v/>
      </c>
    </row>
    <row r="291" customFormat="false" ht="15" hidden="false" customHeight="true" outlineLevel="0" collapsed="false">
      <c r="A291" s="11" t="str">
        <f aca="false">IF(B291&lt;&gt;"",COUNTA($B$4:B291),"")</f>
        <v/>
      </c>
      <c r="B291" s="20"/>
      <c r="C291" s="20"/>
      <c r="D291" s="20"/>
      <c r="E291" s="20"/>
      <c r="F291" s="20"/>
      <c r="G291" s="20"/>
      <c r="H291" s="20"/>
      <c r="I291" s="21"/>
      <c r="J291" s="20"/>
      <c r="K291" s="14" t="str">
        <f aca="false">IF(AND(I291&lt;&gt;"",H291&lt;&gt;"",J291&lt;&gt;""),IF(J291="W",I291*H291,IF(J291="L",-I291,IF(J291="P",I291*H291*0.5,""))),"")</f>
        <v/>
      </c>
      <c r="L291" s="15" t="str">
        <f aca="false">IF(AND(K291&lt;&gt;"",P290&lt;&gt;""),K291/P290,IF(K291&lt;&gt;"",K291/$D$2,""))</f>
        <v/>
      </c>
      <c r="M291" s="20"/>
      <c r="N291" s="20"/>
      <c r="O291" s="20"/>
      <c r="P291" s="16" t="str">
        <f aca="false">IF(K291&lt;&gt;"",P290+K291,IF(B291&lt;&gt;"",P290,""))</f>
        <v/>
      </c>
      <c r="Q291" s="17" t="str">
        <f aca="false">IF(P291&lt;&gt;"",MIN(0,P291-MAX($P$4:P291)),"")</f>
        <v/>
      </c>
    </row>
    <row r="292" customFormat="false" ht="15" hidden="false" customHeight="true" outlineLevel="0" collapsed="false">
      <c r="A292" s="11" t="str">
        <f aca="false">IF(B292&lt;&gt;"",COUNTA($B$4:B292),"")</f>
        <v/>
      </c>
      <c r="B292" s="12"/>
      <c r="C292" s="12"/>
      <c r="D292" s="12"/>
      <c r="E292" s="12"/>
      <c r="F292" s="12"/>
      <c r="G292" s="12"/>
      <c r="H292" s="12"/>
      <c r="I292" s="13"/>
      <c r="J292" s="12"/>
      <c r="K292" s="14" t="str">
        <f aca="false">IF(AND(I292&lt;&gt;"",H292&lt;&gt;"",J292&lt;&gt;""),IF(J292="W",I292*H292,IF(J292="L",-I292,IF(J292="P",I292*H292*0.5,""))),"")</f>
        <v/>
      </c>
      <c r="L292" s="15" t="str">
        <f aca="false">IF(AND(K292&lt;&gt;"",P291&lt;&gt;""),K292/P291,IF(K292&lt;&gt;"",K292/$D$2,""))</f>
        <v/>
      </c>
      <c r="M292" s="12"/>
      <c r="N292" s="12"/>
      <c r="O292" s="12"/>
      <c r="P292" s="16" t="str">
        <f aca="false">IF(K292&lt;&gt;"",P291+K292,IF(B292&lt;&gt;"",P291,""))</f>
        <v/>
      </c>
      <c r="Q292" s="17" t="str">
        <f aca="false">IF(P292&lt;&gt;"",MIN(0,P292-MAX($P$4:P292)),"")</f>
        <v/>
      </c>
    </row>
    <row r="293" customFormat="false" ht="15" hidden="false" customHeight="true" outlineLevel="0" collapsed="false">
      <c r="A293" s="11" t="str">
        <f aca="false">IF(B293&lt;&gt;"",COUNTA($B$4:B293),"")</f>
        <v/>
      </c>
      <c r="B293" s="20"/>
      <c r="C293" s="20"/>
      <c r="D293" s="20"/>
      <c r="E293" s="20"/>
      <c r="F293" s="20"/>
      <c r="G293" s="20"/>
      <c r="H293" s="20"/>
      <c r="I293" s="21"/>
      <c r="J293" s="20"/>
      <c r="K293" s="14" t="str">
        <f aca="false">IF(AND(I293&lt;&gt;"",H293&lt;&gt;"",J293&lt;&gt;""),IF(J293="W",I293*H293,IF(J293="L",-I293,IF(J293="P",I293*H293*0.5,""))),"")</f>
        <v/>
      </c>
      <c r="L293" s="15" t="str">
        <f aca="false">IF(AND(K293&lt;&gt;"",P292&lt;&gt;""),K293/P292,IF(K293&lt;&gt;"",K293/$D$2,""))</f>
        <v/>
      </c>
      <c r="M293" s="20"/>
      <c r="N293" s="20"/>
      <c r="O293" s="20"/>
      <c r="P293" s="16" t="str">
        <f aca="false">IF(K293&lt;&gt;"",P292+K293,IF(B293&lt;&gt;"",P292,""))</f>
        <v/>
      </c>
      <c r="Q293" s="17" t="str">
        <f aca="false">IF(P293&lt;&gt;"",MIN(0,P293-MAX($P$4:P293)),"")</f>
        <v/>
      </c>
    </row>
    <row r="294" customFormat="false" ht="15" hidden="false" customHeight="true" outlineLevel="0" collapsed="false">
      <c r="A294" s="11" t="str">
        <f aca="false">IF(B294&lt;&gt;"",COUNTA($B$4:B294),"")</f>
        <v/>
      </c>
      <c r="B294" s="12"/>
      <c r="C294" s="12"/>
      <c r="D294" s="12"/>
      <c r="E294" s="12"/>
      <c r="F294" s="12"/>
      <c r="G294" s="12"/>
      <c r="H294" s="12"/>
      <c r="I294" s="13"/>
      <c r="J294" s="12"/>
      <c r="K294" s="14" t="str">
        <f aca="false">IF(AND(I294&lt;&gt;"",H294&lt;&gt;"",J294&lt;&gt;""),IF(J294="W",I294*H294,IF(J294="L",-I294,IF(J294="P",I294*H294*0.5,""))),"")</f>
        <v/>
      </c>
      <c r="L294" s="15" t="str">
        <f aca="false">IF(AND(K294&lt;&gt;"",P293&lt;&gt;""),K294/P293,IF(K294&lt;&gt;"",K294/$D$2,""))</f>
        <v/>
      </c>
      <c r="M294" s="12"/>
      <c r="N294" s="12"/>
      <c r="O294" s="12"/>
      <c r="P294" s="16" t="str">
        <f aca="false">IF(K294&lt;&gt;"",P293+K294,IF(B294&lt;&gt;"",P293,""))</f>
        <v/>
      </c>
      <c r="Q294" s="17" t="str">
        <f aca="false">IF(P294&lt;&gt;"",MIN(0,P294-MAX($P$4:P294)),"")</f>
        <v/>
      </c>
    </row>
    <row r="295" customFormat="false" ht="15" hidden="false" customHeight="true" outlineLevel="0" collapsed="false">
      <c r="A295" s="11" t="str">
        <f aca="false">IF(B295&lt;&gt;"",COUNTA($B$4:B295),"")</f>
        <v/>
      </c>
      <c r="B295" s="20"/>
      <c r="C295" s="20"/>
      <c r="D295" s="20"/>
      <c r="E295" s="20"/>
      <c r="F295" s="20"/>
      <c r="G295" s="20"/>
      <c r="H295" s="20"/>
      <c r="I295" s="21"/>
      <c r="J295" s="20"/>
      <c r="K295" s="14" t="str">
        <f aca="false">IF(AND(I295&lt;&gt;"",H295&lt;&gt;"",J295&lt;&gt;""),IF(J295="W",I295*H295,IF(J295="L",-I295,IF(J295="P",I295*H295*0.5,""))),"")</f>
        <v/>
      </c>
      <c r="L295" s="15" t="str">
        <f aca="false">IF(AND(K295&lt;&gt;"",P294&lt;&gt;""),K295/P294,IF(K295&lt;&gt;"",K295/$D$2,""))</f>
        <v/>
      </c>
      <c r="M295" s="20"/>
      <c r="N295" s="20"/>
      <c r="O295" s="20"/>
      <c r="P295" s="16" t="str">
        <f aca="false">IF(K295&lt;&gt;"",P294+K295,IF(B295&lt;&gt;"",P294,""))</f>
        <v/>
      </c>
      <c r="Q295" s="17" t="str">
        <f aca="false">IF(P295&lt;&gt;"",MIN(0,P295-MAX($P$4:P295)),"")</f>
        <v/>
      </c>
    </row>
    <row r="296" customFormat="false" ht="15" hidden="false" customHeight="true" outlineLevel="0" collapsed="false">
      <c r="A296" s="11" t="str">
        <f aca="false">IF(B296&lt;&gt;"",COUNTA($B$4:B296),"")</f>
        <v/>
      </c>
      <c r="B296" s="12"/>
      <c r="C296" s="12"/>
      <c r="D296" s="12"/>
      <c r="E296" s="12"/>
      <c r="F296" s="12"/>
      <c r="G296" s="12"/>
      <c r="H296" s="12"/>
      <c r="I296" s="13"/>
      <c r="J296" s="12"/>
      <c r="K296" s="14" t="str">
        <f aca="false">IF(AND(I296&lt;&gt;"",H296&lt;&gt;"",J296&lt;&gt;""),IF(J296="W",I296*H296,IF(J296="L",-I296,IF(J296="P",I296*H296*0.5,""))),"")</f>
        <v/>
      </c>
      <c r="L296" s="15" t="str">
        <f aca="false">IF(AND(K296&lt;&gt;"",P295&lt;&gt;""),K296/P295,IF(K296&lt;&gt;"",K296/$D$2,""))</f>
        <v/>
      </c>
      <c r="M296" s="12"/>
      <c r="N296" s="12"/>
      <c r="O296" s="12"/>
      <c r="P296" s="16" t="str">
        <f aca="false">IF(K296&lt;&gt;"",P295+K296,IF(B296&lt;&gt;"",P295,""))</f>
        <v/>
      </c>
      <c r="Q296" s="17" t="str">
        <f aca="false">IF(P296&lt;&gt;"",MIN(0,P296-MAX($P$4:P296)),"")</f>
        <v/>
      </c>
    </row>
    <row r="297" customFormat="false" ht="15" hidden="false" customHeight="true" outlineLevel="0" collapsed="false">
      <c r="A297" s="11" t="str">
        <f aca="false">IF(B297&lt;&gt;"",COUNTA($B$4:B297),"")</f>
        <v/>
      </c>
      <c r="B297" s="20"/>
      <c r="C297" s="20"/>
      <c r="D297" s="20"/>
      <c r="E297" s="20"/>
      <c r="F297" s="20"/>
      <c r="G297" s="20"/>
      <c r="H297" s="20"/>
      <c r="I297" s="21"/>
      <c r="J297" s="20"/>
      <c r="K297" s="14" t="str">
        <f aca="false">IF(AND(I297&lt;&gt;"",H297&lt;&gt;"",J297&lt;&gt;""),IF(J297="W",I297*H297,IF(J297="L",-I297,IF(J297="P",I297*H297*0.5,""))),"")</f>
        <v/>
      </c>
      <c r="L297" s="15" t="str">
        <f aca="false">IF(AND(K297&lt;&gt;"",P296&lt;&gt;""),K297/P296,IF(K297&lt;&gt;"",K297/$D$2,""))</f>
        <v/>
      </c>
      <c r="M297" s="20"/>
      <c r="N297" s="20"/>
      <c r="O297" s="20"/>
      <c r="P297" s="16" t="str">
        <f aca="false">IF(K297&lt;&gt;"",P296+K297,IF(B297&lt;&gt;"",P296,""))</f>
        <v/>
      </c>
      <c r="Q297" s="17" t="str">
        <f aca="false">IF(P297&lt;&gt;"",MIN(0,P297-MAX($P$4:P297)),"")</f>
        <v/>
      </c>
    </row>
    <row r="298" customFormat="false" ht="15" hidden="false" customHeight="true" outlineLevel="0" collapsed="false">
      <c r="A298" s="11" t="str">
        <f aca="false">IF(B298&lt;&gt;"",COUNTA($B$4:B298),"")</f>
        <v/>
      </c>
      <c r="B298" s="12"/>
      <c r="C298" s="12"/>
      <c r="D298" s="12"/>
      <c r="E298" s="12"/>
      <c r="F298" s="12"/>
      <c r="G298" s="12"/>
      <c r="H298" s="12"/>
      <c r="I298" s="13"/>
      <c r="J298" s="12"/>
      <c r="K298" s="14" t="str">
        <f aca="false">IF(AND(I298&lt;&gt;"",H298&lt;&gt;"",J298&lt;&gt;""),IF(J298="W",I298*H298,IF(J298="L",-I298,IF(J298="P",I298*H298*0.5,""))),"")</f>
        <v/>
      </c>
      <c r="L298" s="15" t="str">
        <f aca="false">IF(AND(K298&lt;&gt;"",P297&lt;&gt;""),K298/P297,IF(K298&lt;&gt;"",K298/$D$2,""))</f>
        <v/>
      </c>
      <c r="M298" s="12"/>
      <c r="N298" s="12"/>
      <c r="O298" s="12"/>
      <c r="P298" s="16" t="str">
        <f aca="false">IF(K298&lt;&gt;"",P297+K298,IF(B298&lt;&gt;"",P297,""))</f>
        <v/>
      </c>
      <c r="Q298" s="17" t="str">
        <f aca="false">IF(P298&lt;&gt;"",MIN(0,P298-MAX($P$4:P298)),"")</f>
        <v/>
      </c>
    </row>
    <row r="299" customFormat="false" ht="15" hidden="false" customHeight="true" outlineLevel="0" collapsed="false">
      <c r="A299" s="11" t="str">
        <f aca="false">IF(B299&lt;&gt;"",COUNTA($B$4:B299),"")</f>
        <v/>
      </c>
      <c r="B299" s="20"/>
      <c r="C299" s="20"/>
      <c r="D299" s="20"/>
      <c r="E299" s="20"/>
      <c r="F299" s="20"/>
      <c r="G299" s="20"/>
      <c r="H299" s="20"/>
      <c r="I299" s="21"/>
      <c r="J299" s="20"/>
      <c r="K299" s="14" t="str">
        <f aca="false">IF(AND(I299&lt;&gt;"",H299&lt;&gt;"",J299&lt;&gt;""),IF(J299="W",I299*H299,IF(J299="L",-I299,IF(J299="P",I299*H299*0.5,""))),"")</f>
        <v/>
      </c>
      <c r="L299" s="15" t="str">
        <f aca="false">IF(AND(K299&lt;&gt;"",P298&lt;&gt;""),K299/P298,IF(K299&lt;&gt;"",K299/$D$2,""))</f>
        <v/>
      </c>
      <c r="M299" s="20"/>
      <c r="N299" s="20"/>
      <c r="O299" s="20"/>
      <c r="P299" s="16" t="str">
        <f aca="false">IF(K299&lt;&gt;"",P298+K299,IF(B299&lt;&gt;"",P298,""))</f>
        <v/>
      </c>
      <c r="Q299" s="17" t="str">
        <f aca="false">IF(P299&lt;&gt;"",MIN(0,P299-MAX($P$4:P299)),"")</f>
        <v/>
      </c>
    </row>
    <row r="300" customFormat="false" ht="15" hidden="false" customHeight="true" outlineLevel="0" collapsed="false">
      <c r="A300" s="11" t="str">
        <f aca="false">IF(B300&lt;&gt;"",COUNTA($B$4:B300),"")</f>
        <v/>
      </c>
      <c r="B300" s="12"/>
      <c r="C300" s="12"/>
      <c r="D300" s="12"/>
      <c r="E300" s="12"/>
      <c r="F300" s="12"/>
      <c r="G300" s="12"/>
      <c r="H300" s="12"/>
      <c r="I300" s="13"/>
      <c r="J300" s="12"/>
      <c r="K300" s="14" t="str">
        <f aca="false">IF(AND(I300&lt;&gt;"",H300&lt;&gt;"",J300&lt;&gt;""),IF(J300="W",I300*H300,IF(J300="L",-I300,IF(J300="P",I300*H300*0.5,""))),"")</f>
        <v/>
      </c>
      <c r="L300" s="15" t="str">
        <f aca="false">IF(AND(K300&lt;&gt;"",P299&lt;&gt;""),K300/P299,IF(K300&lt;&gt;"",K300/$D$2,""))</f>
        <v/>
      </c>
      <c r="M300" s="12"/>
      <c r="N300" s="12"/>
      <c r="O300" s="12"/>
      <c r="P300" s="16" t="str">
        <f aca="false">IF(K300&lt;&gt;"",P299+K300,IF(B300&lt;&gt;"",P299,""))</f>
        <v/>
      </c>
      <c r="Q300" s="17" t="str">
        <f aca="false">IF(P300&lt;&gt;"",MIN(0,P300-MAX($P$4:P300)),"")</f>
        <v/>
      </c>
    </row>
    <row r="301" customFormat="false" ht="15" hidden="false" customHeight="true" outlineLevel="0" collapsed="false">
      <c r="A301" s="11" t="str">
        <f aca="false">IF(B301&lt;&gt;"",COUNTA($B$4:B301),"")</f>
        <v/>
      </c>
      <c r="B301" s="20"/>
      <c r="C301" s="20"/>
      <c r="D301" s="20"/>
      <c r="E301" s="20"/>
      <c r="F301" s="20"/>
      <c r="G301" s="20"/>
      <c r="H301" s="20"/>
      <c r="I301" s="21"/>
      <c r="J301" s="20"/>
      <c r="K301" s="14" t="str">
        <f aca="false">IF(AND(I301&lt;&gt;"",H301&lt;&gt;"",J301&lt;&gt;""),IF(J301="W",I301*H301,IF(J301="L",-I301,IF(J301="P",I301*H301*0.5,""))),"")</f>
        <v/>
      </c>
      <c r="L301" s="15" t="str">
        <f aca="false">IF(AND(K301&lt;&gt;"",P300&lt;&gt;""),K301/P300,IF(K301&lt;&gt;"",K301/$D$2,""))</f>
        <v/>
      </c>
      <c r="M301" s="20"/>
      <c r="N301" s="20"/>
      <c r="O301" s="20"/>
      <c r="P301" s="16" t="str">
        <f aca="false">IF(K301&lt;&gt;"",P300+K301,IF(B301&lt;&gt;"",P300,""))</f>
        <v/>
      </c>
      <c r="Q301" s="17" t="str">
        <f aca="false">IF(P301&lt;&gt;"",MIN(0,P301-MAX($P$4:P301)),"")</f>
        <v/>
      </c>
    </row>
    <row r="302" customFormat="false" ht="15" hidden="false" customHeight="true" outlineLevel="0" collapsed="false">
      <c r="A302" s="11" t="str">
        <f aca="false">IF(B302&lt;&gt;"",COUNTA($B$4:B302),"")</f>
        <v/>
      </c>
      <c r="B302" s="12"/>
      <c r="C302" s="12"/>
      <c r="D302" s="12"/>
      <c r="E302" s="12"/>
      <c r="F302" s="12"/>
      <c r="G302" s="12"/>
      <c r="H302" s="12"/>
      <c r="I302" s="13"/>
      <c r="J302" s="12"/>
      <c r="K302" s="14" t="str">
        <f aca="false">IF(AND(I302&lt;&gt;"",H302&lt;&gt;"",J302&lt;&gt;""),IF(J302="W",I302*H302,IF(J302="L",-I302,IF(J302="P",I302*H302*0.5,""))),"")</f>
        <v/>
      </c>
      <c r="L302" s="15" t="str">
        <f aca="false">IF(AND(K302&lt;&gt;"",P301&lt;&gt;""),K302/P301,IF(K302&lt;&gt;"",K302/$D$2,""))</f>
        <v/>
      </c>
      <c r="M302" s="12"/>
      <c r="N302" s="12"/>
      <c r="O302" s="12"/>
      <c r="P302" s="16" t="str">
        <f aca="false">IF(K302&lt;&gt;"",P301+K302,IF(B302&lt;&gt;"",P301,""))</f>
        <v/>
      </c>
      <c r="Q302" s="17" t="str">
        <f aca="false">IF(P302&lt;&gt;"",MIN(0,P302-MAX($P$4:P302)),"")</f>
        <v/>
      </c>
    </row>
    <row r="303" customFormat="false" ht="15" hidden="false" customHeight="true" outlineLevel="0" collapsed="false">
      <c r="A303" s="11" t="str">
        <f aca="false">IF(B303&lt;&gt;"",COUNTA($B$4:B303),"")</f>
        <v/>
      </c>
      <c r="B303" s="20"/>
      <c r="C303" s="20"/>
      <c r="D303" s="20"/>
      <c r="E303" s="20"/>
      <c r="F303" s="20"/>
      <c r="G303" s="20"/>
      <c r="H303" s="20"/>
      <c r="I303" s="21"/>
      <c r="J303" s="20"/>
      <c r="K303" s="14" t="str">
        <f aca="false">IF(AND(I303&lt;&gt;"",H303&lt;&gt;"",J303&lt;&gt;""),IF(J303="W",I303*H303,IF(J303="L",-I303,IF(J303="P",I303*H303*0.5,""))),"")</f>
        <v/>
      </c>
      <c r="L303" s="15" t="str">
        <f aca="false">IF(AND(K303&lt;&gt;"",P302&lt;&gt;""),K303/P302,IF(K303&lt;&gt;"",K303/$D$2,""))</f>
        <v/>
      </c>
      <c r="M303" s="20"/>
      <c r="N303" s="20"/>
      <c r="O303" s="20"/>
      <c r="P303" s="16" t="str">
        <f aca="false">IF(K303&lt;&gt;"",P302+K303,IF(B303&lt;&gt;"",P302,""))</f>
        <v/>
      </c>
      <c r="Q303" s="17" t="str">
        <f aca="false">IF(P303&lt;&gt;"",MIN(0,P303-MAX($P$4:P303)),"")</f>
        <v/>
      </c>
    </row>
    <row r="304" customFormat="false" ht="15" hidden="false" customHeight="true" outlineLevel="0" collapsed="false">
      <c r="A304" s="11" t="str">
        <f aca="false">IF(B304&lt;&gt;"",COUNTA($B$4:B304),"")</f>
        <v/>
      </c>
      <c r="B304" s="12"/>
      <c r="C304" s="12"/>
      <c r="D304" s="12"/>
      <c r="E304" s="12"/>
      <c r="F304" s="12"/>
      <c r="G304" s="12"/>
      <c r="H304" s="12"/>
      <c r="I304" s="13"/>
      <c r="J304" s="12"/>
      <c r="K304" s="14" t="str">
        <f aca="false">IF(AND(I304&lt;&gt;"",H304&lt;&gt;"",J304&lt;&gt;""),IF(J304="W",I304*H304,IF(J304="L",-I304,IF(J304="P",I304*H304*0.5,""))),"")</f>
        <v/>
      </c>
      <c r="L304" s="15" t="str">
        <f aca="false">IF(AND(K304&lt;&gt;"",P303&lt;&gt;""),K304/P303,IF(K304&lt;&gt;"",K304/$D$2,""))</f>
        <v/>
      </c>
      <c r="M304" s="12"/>
      <c r="N304" s="12"/>
      <c r="O304" s="12"/>
      <c r="P304" s="16" t="str">
        <f aca="false">IF(K304&lt;&gt;"",P303+K304,IF(B304&lt;&gt;"",P303,""))</f>
        <v/>
      </c>
      <c r="Q304" s="17" t="str">
        <f aca="false">IF(P304&lt;&gt;"",MIN(0,P304-MAX($P$4:P304)),"")</f>
        <v/>
      </c>
    </row>
    <row r="305" customFormat="false" ht="15" hidden="false" customHeight="true" outlineLevel="0" collapsed="false">
      <c r="A305" s="11" t="str">
        <f aca="false">IF(B305&lt;&gt;"",COUNTA($B$4:B305),"")</f>
        <v/>
      </c>
      <c r="B305" s="20"/>
      <c r="C305" s="20"/>
      <c r="D305" s="20"/>
      <c r="E305" s="20"/>
      <c r="F305" s="20"/>
      <c r="G305" s="20"/>
      <c r="H305" s="20"/>
      <c r="I305" s="21"/>
      <c r="J305" s="20"/>
      <c r="K305" s="14" t="str">
        <f aca="false">IF(AND(I305&lt;&gt;"",H305&lt;&gt;"",J305&lt;&gt;""),IF(J305="W",I305*H305,IF(J305="L",-I305,IF(J305="P",I305*H305*0.5,""))),"")</f>
        <v/>
      </c>
      <c r="L305" s="15" t="str">
        <f aca="false">IF(AND(K305&lt;&gt;"",P304&lt;&gt;""),K305/P304,IF(K305&lt;&gt;"",K305/$D$2,""))</f>
        <v/>
      </c>
      <c r="M305" s="20"/>
      <c r="N305" s="20"/>
      <c r="O305" s="20"/>
      <c r="P305" s="16" t="str">
        <f aca="false">IF(K305&lt;&gt;"",P304+K305,IF(B305&lt;&gt;"",P304,""))</f>
        <v/>
      </c>
      <c r="Q305" s="17" t="str">
        <f aca="false">IF(P305&lt;&gt;"",MIN(0,P305-MAX($P$4:P305)),"")</f>
        <v/>
      </c>
    </row>
    <row r="306" customFormat="false" ht="15" hidden="false" customHeight="true" outlineLevel="0" collapsed="false">
      <c r="A306" s="11" t="str">
        <f aca="false">IF(B306&lt;&gt;"",COUNTA($B$4:B306),"")</f>
        <v/>
      </c>
      <c r="B306" s="12"/>
      <c r="C306" s="12"/>
      <c r="D306" s="12"/>
      <c r="E306" s="12"/>
      <c r="F306" s="12"/>
      <c r="G306" s="12"/>
      <c r="H306" s="12"/>
      <c r="I306" s="13"/>
      <c r="J306" s="12"/>
      <c r="K306" s="14" t="str">
        <f aca="false">IF(AND(I306&lt;&gt;"",H306&lt;&gt;"",J306&lt;&gt;""),IF(J306="W",I306*H306,IF(J306="L",-I306,IF(J306="P",I306*H306*0.5,""))),"")</f>
        <v/>
      </c>
      <c r="L306" s="15" t="str">
        <f aca="false">IF(AND(K306&lt;&gt;"",P305&lt;&gt;""),K306/P305,IF(K306&lt;&gt;"",K306/$D$2,""))</f>
        <v/>
      </c>
      <c r="M306" s="12"/>
      <c r="N306" s="12"/>
      <c r="O306" s="12"/>
      <c r="P306" s="16" t="str">
        <f aca="false">IF(K306&lt;&gt;"",P305+K306,IF(B306&lt;&gt;"",P305,""))</f>
        <v/>
      </c>
      <c r="Q306" s="17" t="str">
        <f aca="false">IF(P306&lt;&gt;"",MIN(0,P306-MAX($P$4:P306)),"")</f>
        <v/>
      </c>
    </row>
    <row r="307" customFormat="false" ht="15" hidden="false" customHeight="true" outlineLevel="0" collapsed="false">
      <c r="A307" s="11" t="str">
        <f aca="false">IF(B307&lt;&gt;"",COUNTA($B$4:B307),"")</f>
        <v/>
      </c>
      <c r="B307" s="20"/>
      <c r="C307" s="20"/>
      <c r="D307" s="20"/>
      <c r="E307" s="20"/>
      <c r="F307" s="20"/>
      <c r="G307" s="20"/>
      <c r="H307" s="20"/>
      <c r="I307" s="21"/>
      <c r="J307" s="20"/>
      <c r="K307" s="14" t="str">
        <f aca="false">IF(AND(I307&lt;&gt;"",H307&lt;&gt;"",J307&lt;&gt;""),IF(J307="W",I307*H307,IF(J307="L",-I307,IF(J307="P",I307*H307*0.5,""))),"")</f>
        <v/>
      </c>
      <c r="L307" s="15" t="str">
        <f aca="false">IF(AND(K307&lt;&gt;"",P306&lt;&gt;""),K307/P306,IF(K307&lt;&gt;"",K307/$D$2,""))</f>
        <v/>
      </c>
      <c r="M307" s="20"/>
      <c r="N307" s="20"/>
      <c r="O307" s="20"/>
      <c r="P307" s="16" t="str">
        <f aca="false">IF(K307&lt;&gt;"",P306+K307,IF(B307&lt;&gt;"",P306,""))</f>
        <v/>
      </c>
      <c r="Q307" s="17" t="str">
        <f aca="false">IF(P307&lt;&gt;"",MIN(0,P307-MAX($P$4:P307)),"")</f>
        <v/>
      </c>
    </row>
    <row r="308" customFormat="false" ht="15" hidden="false" customHeight="true" outlineLevel="0" collapsed="false">
      <c r="A308" s="11" t="str">
        <f aca="false">IF(B308&lt;&gt;"",COUNTA($B$4:B308),"")</f>
        <v/>
      </c>
      <c r="B308" s="12"/>
      <c r="C308" s="12"/>
      <c r="D308" s="12"/>
      <c r="E308" s="12"/>
      <c r="F308" s="12"/>
      <c r="G308" s="12"/>
      <c r="H308" s="12"/>
      <c r="I308" s="13"/>
      <c r="J308" s="12"/>
      <c r="K308" s="14" t="str">
        <f aca="false">IF(AND(I308&lt;&gt;"",H308&lt;&gt;"",J308&lt;&gt;""),IF(J308="W",I308*H308,IF(J308="L",-I308,IF(J308="P",I308*H308*0.5,""))),"")</f>
        <v/>
      </c>
      <c r="L308" s="15" t="str">
        <f aca="false">IF(AND(K308&lt;&gt;"",P307&lt;&gt;""),K308/P307,IF(K308&lt;&gt;"",K308/$D$2,""))</f>
        <v/>
      </c>
      <c r="M308" s="12"/>
      <c r="N308" s="12"/>
      <c r="O308" s="12"/>
      <c r="P308" s="16" t="str">
        <f aca="false">IF(K308&lt;&gt;"",P307+K308,IF(B308&lt;&gt;"",P307,""))</f>
        <v/>
      </c>
      <c r="Q308" s="17" t="str">
        <f aca="false">IF(P308&lt;&gt;"",MIN(0,P308-MAX($P$4:P308)),"")</f>
        <v/>
      </c>
    </row>
    <row r="309" customFormat="false" ht="15" hidden="false" customHeight="true" outlineLevel="0" collapsed="false">
      <c r="A309" s="11" t="str">
        <f aca="false">IF(B309&lt;&gt;"",COUNTA($B$4:B309),"")</f>
        <v/>
      </c>
      <c r="B309" s="20"/>
      <c r="C309" s="20"/>
      <c r="D309" s="20"/>
      <c r="E309" s="20"/>
      <c r="F309" s="20"/>
      <c r="G309" s="20"/>
      <c r="H309" s="20"/>
      <c r="I309" s="21"/>
      <c r="J309" s="20"/>
      <c r="K309" s="14" t="str">
        <f aca="false">IF(AND(I309&lt;&gt;"",H309&lt;&gt;"",J309&lt;&gt;""),IF(J309="W",I309*H309,IF(J309="L",-I309,IF(J309="P",I309*H309*0.5,""))),"")</f>
        <v/>
      </c>
      <c r="L309" s="15" t="str">
        <f aca="false">IF(AND(K309&lt;&gt;"",P308&lt;&gt;""),K309/P308,IF(K309&lt;&gt;"",K309/$D$2,""))</f>
        <v/>
      </c>
      <c r="M309" s="20"/>
      <c r="N309" s="20"/>
      <c r="O309" s="20"/>
      <c r="P309" s="16" t="str">
        <f aca="false">IF(K309&lt;&gt;"",P308+K309,IF(B309&lt;&gt;"",P308,""))</f>
        <v/>
      </c>
      <c r="Q309" s="17" t="str">
        <f aca="false">IF(P309&lt;&gt;"",MIN(0,P309-MAX($P$4:P309)),"")</f>
        <v/>
      </c>
    </row>
    <row r="310" customFormat="false" ht="15" hidden="false" customHeight="true" outlineLevel="0" collapsed="false">
      <c r="A310" s="11" t="str">
        <f aca="false">IF(B310&lt;&gt;"",COUNTA($B$4:B310),"")</f>
        <v/>
      </c>
      <c r="B310" s="12"/>
      <c r="C310" s="12"/>
      <c r="D310" s="12"/>
      <c r="E310" s="12"/>
      <c r="F310" s="12"/>
      <c r="G310" s="12"/>
      <c r="H310" s="12"/>
      <c r="I310" s="13"/>
      <c r="J310" s="12"/>
      <c r="K310" s="14" t="str">
        <f aca="false">IF(AND(I310&lt;&gt;"",H310&lt;&gt;"",J310&lt;&gt;""),IF(J310="W",I310*H310,IF(J310="L",-I310,IF(J310="P",I310*H310*0.5,""))),"")</f>
        <v/>
      </c>
      <c r="L310" s="15" t="str">
        <f aca="false">IF(AND(K310&lt;&gt;"",P309&lt;&gt;""),K310/P309,IF(K310&lt;&gt;"",K310/$D$2,""))</f>
        <v/>
      </c>
      <c r="M310" s="12"/>
      <c r="N310" s="12"/>
      <c r="O310" s="12"/>
      <c r="P310" s="16" t="str">
        <f aca="false">IF(K310&lt;&gt;"",P309+K310,IF(B310&lt;&gt;"",P309,""))</f>
        <v/>
      </c>
      <c r="Q310" s="17" t="str">
        <f aca="false">IF(P310&lt;&gt;"",MIN(0,P310-MAX($P$4:P310)),"")</f>
        <v/>
      </c>
    </row>
    <row r="311" customFormat="false" ht="15" hidden="false" customHeight="true" outlineLevel="0" collapsed="false">
      <c r="A311" s="11" t="str">
        <f aca="false">IF(B311&lt;&gt;"",COUNTA($B$4:B311),"")</f>
        <v/>
      </c>
      <c r="B311" s="20"/>
      <c r="C311" s="20"/>
      <c r="D311" s="20"/>
      <c r="E311" s="20"/>
      <c r="F311" s="20"/>
      <c r="G311" s="20"/>
      <c r="H311" s="20"/>
      <c r="I311" s="21"/>
      <c r="J311" s="20"/>
      <c r="K311" s="14" t="str">
        <f aca="false">IF(AND(I311&lt;&gt;"",H311&lt;&gt;"",J311&lt;&gt;""),IF(J311="W",I311*H311,IF(J311="L",-I311,IF(J311="P",I311*H311*0.5,""))),"")</f>
        <v/>
      </c>
      <c r="L311" s="15" t="str">
        <f aca="false">IF(AND(K311&lt;&gt;"",P310&lt;&gt;""),K311/P310,IF(K311&lt;&gt;"",K311/$D$2,""))</f>
        <v/>
      </c>
      <c r="M311" s="20"/>
      <c r="N311" s="20"/>
      <c r="O311" s="20"/>
      <c r="P311" s="16" t="str">
        <f aca="false">IF(K311&lt;&gt;"",P310+K311,IF(B311&lt;&gt;"",P310,""))</f>
        <v/>
      </c>
      <c r="Q311" s="17" t="str">
        <f aca="false">IF(P311&lt;&gt;"",MIN(0,P311-MAX($P$4:P311)),"")</f>
        <v/>
      </c>
    </row>
    <row r="312" customFormat="false" ht="15" hidden="false" customHeight="true" outlineLevel="0" collapsed="false">
      <c r="A312" s="11" t="str">
        <f aca="false">IF(B312&lt;&gt;"",COUNTA($B$4:B312),"")</f>
        <v/>
      </c>
      <c r="B312" s="12"/>
      <c r="C312" s="12"/>
      <c r="D312" s="12"/>
      <c r="E312" s="12"/>
      <c r="F312" s="12"/>
      <c r="G312" s="12"/>
      <c r="H312" s="12"/>
      <c r="I312" s="13"/>
      <c r="J312" s="12"/>
      <c r="K312" s="14" t="str">
        <f aca="false">IF(AND(I312&lt;&gt;"",H312&lt;&gt;"",J312&lt;&gt;""),IF(J312="W",I312*H312,IF(J312="L",-I312,IF(J312="P",I312*H312*0.5,""))),"")</f>
        <v/>
      </c>
      <c r="L312" s="15" t="str">
        <f aca="false">IF(AND(K312&lt;&gt;"",P311&lt;&gt;""),K312/P311,IF(K312&lt;&gt;"",K312/$D$2,""))</f>
        <v/>
      </c>
      <c r="M312" s="12"/>
      <c r="N312" s="12"/>
      <c r="O312" s="12"/>
      <c r="P312" s="16" t="str">
        <f aca="false">IF(K312&lt;&gt;"",P311+K312,IF(B312&lt;&gt;"",P311,""))</f>
        <v/>
      </c>
      <c r="Q312" s="17" t="str">
        <f aca="false">IF(P312&lt;&gt;"",MIN(0,P312-MAX($P$4:P312)),"")</f>
        <v/>
      </c>
    </row>
    <row r="313" customFormat="false" ht="15" hidden="false" customHeight="true" outlineLevel="0" collapsed="false">
      <c r="A313" s="11" t="str">
        <f aca="false">IF(B313&lt;&gt;"",COUNTA($B$4:B313),"")</f>
        <v/>
      </c>
      <c r="B313" s="20"/>
      <c r="C313" s="20"/>
      <c r="D313" s="20"/>
      <c r="E313" s="20"/>
      <c r="F313" s="20"/>
      <c r="G313" s="20"/>
      <c r="H313" s="20"/>
      <c r="I313" s="21"/>
      <c r="J313" s="20"/>
      <c r="K313" s="14" t="str">
        <f aca="false">IF(AND(I313&lt;&gt;"",H313&lt;&gt;"",J313&lt;&gt;""),IF(J313="W",I313*H313,IF(J313="L",-I313,IF(J313="P",I313*H313*0.5,""))),"")</f>
        <v/>
      </c>
      <c r="L313" s="15" t="str">
        <f aca="false">IF(AND(K313&lt;&gt;"",P312&lt;&gt;""),K313/P312,IF(K313&lt;&gt;"",K313/$D$2,""))</f>
        <v/>
      </c>
      <c r="M313" s="20"/>
      <c r="N313" s="20"/>
      <c r="O313" s="20"/>
      <c r="P313" s="16" t="str">
        <f aca="false">IF(K313&lt;&gt;"",P312+K313,IF(B313&lt;&gt;"",P312,""))</f>
        <v/>
      </c>
      <c r="Q313" s="17" t="str">
        <f aca="false">IF(P313&lt;&gt;"",MIN(0,P313-MAX($P$4:P313)),"")</f>
        <v/>
      </c>
    </row>
    <row r="314" customFormat="false" ht="15" hidden="false" customHeight="true" outlineLevel="0" collapsed="false">
      <c r="A314" s="11" t="str">
        <f aca="false">IF(B314&lt;&gt;"",COUNTA($B$4:B314),"")</f>
        <v/>
      </c>
      <c r="B314" s="12"/>
      <c r="C314" s="12"/>
      <c r="D314" s="12"/>
      <c r="E314" s="12"/>
      <c r="F314" s="12"/>
      <c r="G314" s="12"/>
      <c r="H314" s="12"/>
      <c r="I314" s="13"/>
      <c r="J314" s="12"/>
      <c r="K314" s="14" t="str">
        <f aca="false">IF(AND(I314&lt;&gt;"",H314&lt;&gt;"",J314&lt;&gt;""),IF(J314="W",I314*H314,IF(J314="L",-I314,IF(J314="P",I314*H314*0.5,""))),"")</f>
        <v/>
      </c>
      <c r="L314" s="15" t="str">
        <f aca="false">IF(AND(K314&lt;&gt;"",P313&lt;&gt;""),K314/P313,IF(K314&lt;&gt;"",K314/$D$2,""))</f>
        <v/>
      </c>
      <c r="M314" s="12"/>
      <c r="N314" s="12"/>
      <c r="O314" s="12"/>
      <c r="P314" s="16" t="str">
        <f aca="false">IF(K314&lt;&gt;"",P313+K314,IF(B314&lt;&gt;"",P313,""))</f>
        <v/>
      </c>
      <c r="Q314" s="17" t="str">
        <f aca="false">IF(P314&lt;&gt;"",MIN(0,P314-MAX($P$4:P314)),"")</f>
        <v/>
      </c>
    </row>
    <row r="315" customFormat="false" ht="15" hidden="false" customHeight="true" outlineLevel="0" collapsed="false">
      <c r="A315" s="11" t="str">
        <f aca="false">IF(B315&lt;&gt;"",COUNTA($B$4:B315),"")</f>
        <v/>
      </c>
      <c r="B315" s="20"/>
      <c r="C315" s="20"/>
      <c r="D315" s="20"/>
      <c r="E315" s="20"/>
      <c r="F315" s="20"/>
      <c r="G315" s="20"/>
      <c r="H315" s="20"/>
      <c r="I315" s="21"/>
      <c r="J315" s="20"/>
      <c r="K315" s="14" t="str">
        <f aca="false">IF(AND(I315&lt;&gt;"",H315&lt;&gt;"",J315&lt;&gt;""),IF(J315="W",I315*H315,IF(J315="L",-I315,IF(J315="P",I315*H315*0.5,""))),"")</f>
        <v/>
      </c>
      <c r="L315" s="15" t="str">
        <f aca="false">IF(AND(K315&lt;&gt;"",P314&lt;&gt;""),K315/P314,IF(K315&lt;&gt;"",K315/$D$2,""))</f>
        <v/>
      </c>
      <c r="M315" s="20"/>
      <c r="N315" s="20"/>
      <c r="O315" s="20"/>
      <c r="P315" s="16" t="str">
        <f aca="false">IF(K315&lt;&gt;"",P314+K315,IF(B315&lt;&gt;"",P314,""))</f>
        <v/>
      </c>
      <c r="Q315" s="17" t="str">
        <f aca="false">IF(P315&lt;&gt;"",MIN(0,P315-MAX($P$4:P315)),"")</f>
        <v/>
      </c>
    </row>
    <row r="316" customFormat="false" ht="15" hidden="false" customHeight="true" outlineLevel="0" collapsed="false">
      <c r="A316" s="11" t="str">
        <f aca="false">IF(B316&lt;&gt;"",COUNTA($B$4:B316),"")</f>
        <v/>
      </c>
      <c r="B316" s="12"/>
      <c r="C316" s="12"/>
      <c r="D316" s="12"/>
      <c r="E316" s="12"/>
      <c r="F316" s="12"/>
      <c r="G316" s="12"/>
      <c r="H316" s="12"/>
      <c r="I316" s="13"/>
      <c r="J316" s="12"/>
      <c r="K316" s="14" t="str">
        <f aca="false">IF(AND(I316&lt;&gt;"",H316&lt;&gt;"",J316&lt;&gt;""),IF(J316="W",I316*H316,IF(J316="L",-I316,IF(J316="P",I316*H316*0.5,""))),"")</f>
        <v/>
      </c>
      <c r="L316" s="15" t="str">
        <f aca="false">IF(AND(K316&lt;&gt;"",P315&lt;&gt;""),K316/P315,IF(K316&lt;&gt;"",K316/$D$2,""))</f>
        <v/>
      </c>
      <c r="M316" s="12"/>
      <c r="N316" s="12"/>
      <c r="O316" s="12"/>
      <c r="P316" s="16" t="str">
        <f aca="false">IF(K316&lt;&gt;"",P315+K316,IF(B316&lt;&gt;"",P315,""))</f>
        <v/>
      </c>
      <c r="Q316" s="17" t="str">
        <f aca="false">IF(P316&lt;&gt;"",MIN(0,P316-MAX($P$4:P316)),"")</f>
        <v/>
      </c>
    </row>
    <row r="317" customFormat="false" ht="15" hidden="false" customHeight="true" outlineLevel="0" collapsed="false">
      <c r="A317" s="11" t="str">
        <f aca="false">IF(B317&lt;&gt;"",COUNTA($B$4:B317),"")</f>
        <v/>
      </c>
      <c r="B317" s="20"/>
      <c r="C317" s="20"/>
      <c r="D317" s="20"/>
      <c r="E317" s="20"/>
      <c r="F317" s="20"/>
      <c r="G317" s="20"/>
      <c r="H317" s="20"/>
      <c r="I317" s="21"/>
      <c r="J317" s="20"/>
      <c r="K317" s="14" t="str">
        <f aca="false">IF(AND(I317&lt;&gt;"",H317&lt;&gt;"",J317&lt;&gt;""),IF(J317="W",I317*H317,IF(J317="L",-I317,IF(J317="P",I317*H317*0.5,""))),"")</f>
        <v/>
      </c>
      <c r="L317" s="15" t="str">
        <f aca="false">IF(AND(K317&lt;&gt;"",P316&lt;&gt;""),K317/P316,IF(K317&lt;&gt;"",K317/$D$2,""))</f>
        <v/>
      </c>
      <c r="M317" s="20"/>
      <c r="N317" s="20"/>
      <c r="O317" s="20"/>
      <c r="P317" s="16" t="str">
        <f aca="false">IF(K317&lt;&gt;"",P316+K317,IF(B317&lt;&gt;"",P316,""))</f>
        <v/>
      </c>
      <c r="Q317" s="17" t="str">
        <f aca="false">IF(P317&lt;&gt;"",MIN(0,P317-MAX($P$4:P317)),"")</f>
        <v/>
      </c>
    </row>
    <row r="318" customFormat="false" ht="15" hidden="false" customHeight="true" outlineLevel="0" collapsed="false">
      <c r="A318" s="11" t="str">
        <f aca="false">IF(B318&lt;&gt;"",COUNTA($B$4:B318),"")</f>
        <v/>
      </c>
      <c r="B318" s="12"/>
      <c r="C318" s="12"/>
      <c r="D318" s="12"/>
      <c r="E318" s="12"/>
      <c r="F318" s="12"/>
      <c r="G318" s="12"/>
      <c r="H318" s="12"/>
      <c r="I318" s="13"/>
      <c r="J318" s="12"/>
      <c r="K318" s="14" t="str">
        <f aca="false">IF(AND(I318&lt;&gt;"",H318&lt;&gt;"",J318&lt;&gt;""),IF(J318="W",I318*H318,IF(J318="L",-I318,IF(J318="P",I318*H318*0.5,""))),"")</f>
        <v/>
      </c>
      <c r="L318" s="15" t="str">
        <f aca="false">IF(AND(K318&lt;&gt;"",P317&lt;&gt;""),K318/P317,IF(K318&lt;&gt;"",K318/$D$2,""))</f>
        <v/>
      </c>
      <c r="M318" s="12"/>
      <c r="N318" s="12"/>
      <c r="O318" s="12"/>
      <c r="P318" s="16" t="str">
        <f aca="false">IF(K318&lt;&gt;"",P317+K318,IF(B318&lt;&gt;"",P317,""))</f>
        <v/>
      </c>
      <c r="Q318" s="17" t="str">
        <f aca="false">IF(P318&lt;&gt;"",MIN(0,P318-MAX($P$4:P318)),"")</f>
        <v/>
      </c>
    </row>
    <row r="319" customFormat="false" ht="15" hidden="false" customHeight="true" outlineLevel="0" collapsed="false">
      <c r="A319" s="11" t="str">
        <f aca="false">IF(B319&lt;&gt;"",COUNTA($B$4:B319),"")</f>
        <v/>
      </c>
      <c r="B319" s="20"/>
      <c r="C319" s="20"/>
      <c r="D319" s="20"/>
      <c r="E319" s="20"/>
      <c r="F319" s="20"/>
      <c r="G319" s="20"/>
      <c r="H319" s="20"/>
      <c r="I319" s="21"/>
      <c r="J319" s="20"/>
      <c r="K319" s="14" t="str">
        <f aca="false">IF(AND(I319&lt;&gt;"",H319&lt;&gt;"",J319&lt;&gt;""),IF(J319="W",I319*H319,IF(J319="L",-I319,IF(J319="P",I319*H319*0.5,""))),"")</f>
        <v/>
      </c>
      <c r="L319" s="15" t="str">
        <f aca="false">IF(AND(K319&lt;&gt;"",P318&lt;&gt;""),K319/P318,IF(K319&lt;&gt;"",K319/$D$2,""))</f>
        <v/>
      </c>
      <c r="M319" s="20"/>
      <c r="N319" s="20"/>
      <c r="O319" s="20"/>
      <c r="P319" s="16" t="str">
        <f aca="false">IF(K319&lt;&gt;"",P318+K319,IF(B319&lt;&gt;"",P318,""))</f>
        <v/>
      </c>
      <c r="Q319" s="17" t="str">
        <f aca="false">IF(P319&lt;&gt;"",MIN(0,P319-MAX($P$4:P319)),"")</f>
        <v/>
      </c>
    </row>
    <row r="320" customFormat="false" ht="15" hidden="false" customHeight="true" outlineLevel="0" collapsed="false">
      <c r="A320" s="11" t="str">
        <f aca="false">IF(B320&lt;&gt;"",COUNTA($B$4:B320),"")</f>
        <v/>
      </c>
      <c r="B320" s="12"/>
      <c r="C320" s="12"/>
      <c r="D320" s="12"/>
      <c r="E320" s="12"/>
      <c r="F320" s="12"/>
      <c r="G320" s="12"/>
      <c r="H320" s="12"/>
      <c r="I320" s="13"/>
      <c r="J320" s="12"/>
      <c r="K320" s="14" t="str">
        <f aca="false">IF(AND(I320&lt;&gt;"",H320&lt;&gt;"",J320&lt;&gt;""),IF(J320="W",I320*H320,IF(J320="L",-I320,IF(J320="P",I320*H320*0.5,""))),"")</f>
        <v/>
      </c>
      <c r="L320" s="15" t="str">
        <f aca="false">IF(AND(K320&lt;&gt;"",P319&lt;&gt;""),K320/P319,IF(K320&lt;&gt;"",K320/$D$2,""))</f>
        <v/>
      </c>
      <c r="M320" s="12"/>
      <c r="N320" s="12"/>
      <c r="O320" s="12"/>
      <c r="P320" s="16" t="str">
        <f aca="false">IF(K320&lt;&gt;"",P319+K320,IF(B320&lt;&gt;"",P319,""))</f>
        <v/>
      </c>
      <c r="Q320" s="17" t="str">
        <f aca="false">IF(P320&lt;&gt;"",MIN(0,P320-MAX($P$4:P320)),"")</f>
        <v/>
      </c>
    </row>
    <row r="321" customFormat="false" ht="15" hidden="false" customHeight="true" outlineLevel="0" collapsed="false">
      <c r="A321" s="11" t="str">
        <f aca="false">IF(B321&lt;&gt;"",COUNTA($B$4:B321),"")</f>
        <v/>
      </c>
      <c r="B321" s="20"/>
      <c r="C321" s="20"/>
      <c r="D321" s="20"/>
      <c r="E321" s="20"/>
      <c r="F321" s="20"/>
      <c r="G321" s="20"/>
      <c r="H321" s="20"/>
      <c r="I321" s="21"/>
      <c r="J321" s="20"/>
      <c r="K321" s="14" t="str">
        <f aca="false">IF(AND(I321&lt;&gt;"",H321&lt;&gt;"",J321&lt;&gt;""),IF(J321="W",I321*H321,IF(J321="L",-I321,IF(J321="P",I321*H321*0.5,""))),"")</f>
        <v/>
      </c>
      <c r="L321" s="15" t="str">
        <f aca="false">IF(AND(K321&lt;&gt;"",P320&lt;&gt;""),K321/P320,IF(K321&lt;&gt;"",K321/$D$2,""))</f>
        <v/>
      </c>
      <c r="M321" s="20"/>
      <c r="N321" s="20"/>
      <c r="O321" s="20"/>
      <c r="P321" s="16" t="str">
        <f aca="false">IF(K321&lt;&gt;"",P320+K321,IF(B321&lt;&gt;"",P320,""))</f>
        <v/>
      </c>
      <c r="Q321" s="17" t="str">
        <f aca="false">IF(P321&lt;&gt;"",MIN(0,P321-MAX($P$4:P321)),"")</f>
        <v/>
      </c>
    </row>
    <row r="322" customFormat="false" ht="15" hidden="false" customHeight="true" outlineLevel="0" collapsed="false">
      <c r="A322" s="11" t="str">
        <f aca="false">IF(B322&lt;&gt;"",COUNTA($B$4:B322),"")</f>
        <v/>
      </c>
      <c r="B322" s="12"/>
      <c r="C322" s="12"/>
      <c r="D322" s="12"/>
      <c r="E322" s="12"/>
      <c r="F322" s="12"/>
      <c r="G322" s="12"/>
      <c r="H322" s="12"/>
      <c r="I322" s="13"/>
      <c r="J322" s="12"/>
      <c r="K322" s="14" t="str">
        <f aca="false">IF(AND(I322&lt;&gt;"",H322&lt;&gt;"",J322&lt;&gt;""),IF(J322="W",I322*H322,IF(J322="L",-I322,IF(J322="P",I322*H322*0.5,""))),"")</f>
        <v/>
      </c>
      <c r="L322" s="15" t="str">
        <f aca="false">IF(AND(K322&lt;&gt;"",P321&lt;&gt;""),K322/P321,IF(K322&lt;&gt;"",K322/$D$2,""))</f>
        <v/>
      </c>
      <c r="M322" s="12"/>
      <c r="N322" s="12"/>
      <c r="O322" s="12"/>
      <c r="P322" s="16" t="str">
        <f aca="false">IF(K322&lt;&gt;"",P321+K322,IF(B322&lt;&gt;"",P321,""))</f>
        <v/>
      </c>
      <c r="Q322" s="17" t="str">
        <f aca="false">IF(P322&lt;&gt;"",MIN(0,P322-MAX($P$4:P322)),"")</f>
        <v/>
      </c>
    </row>
    <row r="323" customFormat="false" ht="15" hidden="false" customHeight="true" outlineLevel="0" collapsed="false">
      <c r="A323" s="11" t="str">
        <f aca="false">IF(B323&lt;&gt;"",COUNTA($B$4:B323),"")</f>
        <v/>
      </c>
      <c r="B323" s="20"/>
      <c r="C323" s="20"/>
      <c r="D323" s="20"/>
      <c r="E323" s="20"/>
      <c r="F323" s="20"/>
      <c r="G323" s="20"/>
      <c r="H323" s="20"/>
      <c r="I323" s="21"/>
      <c r="J323" s="20"/>
      <c r="K323" s="14" t="str">
        <f aca="false">IF(AND(I323&lt;&gt;"",H323&lt;&gt;"",J323&lt;&gt;""),IF(J323="W",I323*H323,IF(J323="L",-I323,IF(J323="P",I323*H323*0.5,""))),"")</f>
        <v/>
      </c>
      <c r="L323" s="15" t="str">
        <f aca="false">IF(AND(K323&lt;&gt;"",P322&lt;&gt;""),K323/P322,IF(K323&lt;&gt;"",K323/$D$2,""))</f>
        <v/>
      </c>
      <c r="M323" s="20"/>
      <c r="N323" s="20"/>
      <c r="O323" s="20"/>
      <c r="P323" s="16" t="str">
        <f aca="false">IF(K323&lt;&gt;"",P322+K323,IF(B323&lt;&gt;"",P322,""))</f>
        <v/>
      </c>
      <c r="Q323" s="17" t="str">
        <f aca="false">IF(P323&lt;&gt;"",MIN(0,P323-MAX($P$4:P323)),"")</f>
        <v/>
      </c>
    </row>
    <row r="324" customFormat="false" ht="15" hidden="false" customHeight="true" outlineLevel="0" collapsed="false">
      <c r="A324" s="11" t="str">
        <f aca="false">IF(B324&lt;&gt;"",COUNTA($B$4:B324),"")</f>
        <v/>
      </c>
      <c r="B324" s="12"/>
      <c r="C324" s="12"/>
      <c r="D324" s="12"/>
      <c r="E324" s="12"/>
      <c r="F324" s="12"/>
      <c r="G324" s="12"/>
      <c r="H324" s="12"/>
      <c r="I324" s="13"/>
      <c r="J324" s="12"/>
      <c r="K324" s="14" t="str">
        <f aca="false">IF(AND(I324&lt;&gt;"",H324&lt;&gt;"",J324&lt;&gt;""),IF(J324="W",I324*H324,IF(J324="L",-I324,IF(J324="P",I324*H324*0.5,""))),"")</f>
        <v/>
      </c>
      <c r="L324" s="15" t="str">
        <f aca="false">IF(AND(K324&lt;&gt;"",P323&lt;&gt;""),K324/P323,IF(K324&lt;&gt;"",K324/$D$2,""))</f>
        <v/>
      </c>
      <c r="M324" s="12"/>
      <c r="N324" s="12"/>
      <c r="O324" s="12"/>
      <c r="P324" s="16" t="str">
        <f aca="false">IF(K324&lt;&gt;"",P323+K324,IF(B324&lt;&gt;"",P323,""))</f>
        <v/>
      </c>
      <c r="Q324" s="17" t="str">
        <f aca="false">IF(P324&lt;&gt;"",MIN(0,P324-MAX($P$4:P324)),"")</f>
        <v/>
      </c>
    </row>
    <row r="325" customFormat="false" ht="15" hidden="false" customHeight="true" outlineLevel="0" collapsed="false">
      <c r="A325" s="11" t="str">
        <f aca="false">IF(B325&lt;&gt;"",COUNTA($B$4:B325),"")</f>
        <v/>
      </c>
      <c r="B325" s="20"/>
      <c r="C325" s="20"/>
      <c r="D325" s="20"/>
      <c r="E325" s="20"/>
      <c r="F325" s="20"/>
      <c r="G325" s="20"/>
      <c r="H325" s="20"/>
      <c r="I325" s="21"/>
      <c r="J325" s="20"/>
      <c r="K325" s="14" t="str">
        <f aca="false">IF(AND(I325&lt;&gt;"",H325&lt;&gt;"",J325&lt;&gt;""),IF(J325="W",I325*H325,IF(J325="L",-I325,IF(J325="P",I325*H325*0.5,""))),"")</f>
        <v/>
      </c>
      <c r="L325" s="15" t="str">
        <f aca="false">IF(AND(K325&lt;&gt;"",P324&lt;&gt;""),K325/P324,IF(K325&lt;&gt;"",K325/$D$2,""))</f>
        <v/>
      </c>
      <c r="M325" s="20"/>
      <c r="N325" s="20"/>
      <c r="O325" s="20"/>
      <c r="P325" s="16" t="str">
        <f aca="false">IF(K325&lt;&gt;"",P324+K325,IF(B325&lt;&gt;"",P324,""))</f>
        <v/>
      </c>
      <c r="Q325" s="17" t="str">
        <f aca="false">IF(P325&lt;&gt;"",MIN(0,P325-MAX($P$4:P325)),"")</f>
        <v/>
      </c>
    </row>
    <row r="326" customFormat="false" ht="15" hidden="false" customHeight="true" outlineLevel="0" collapsed="false">
      <c r="A326" s="11" t="str">
        <f aca="false">IF(B326&lt;&gt;"",COUNTA($B$4:B326),"")</f>
        <v/>
      </c>
      <c r="B326" s="12"/>
      <c r="C326" s="12"/>
      <c r="D326" s="12"/>
      <c r="E326" s="12"/>
      <c r="F326" s="12"/>
      <c r="G326" s="12"/>
      <c r="H326" s="12"/>
      <c r="I326" s="13"/>
      <c r="J326" s="12"/>
      <c r="K326" s="14" t="str">
        <f aca="false">IF(AND(I326&lt;&gt;"",H326&lt;&gt;"",J326&lt;&gt;""),IF(J326="W",I326*H326,IF(J326="L",-I326,IF(J326="P",I326*H326*0.5,""))),"")</f>
        <v/>
      </c>
      <c r="L326" s="15" t="str">
        <f aca="false">IF(AND(K326&lt;&gt;"",P325&lt;&gt;""),K326/P325,IF(K326&lt;&gt;"",K326/$D$2,""))</f>
        <v/>
      </c>
      <c r="M326" s="12"/>
      <c r="N326" s="12"/>
      <c r="O326" s="12"/>
      <c r="P326" s="16" t="str">
        <f aca="false">IF(K326&lt;&gt;"",P325+K326,IF(B326&lt;&gt;"",P325,""))</f>
        <v/>
      </c>
      <c r="Q326" s="17" t="str">
        <f aca="false">IF(P326&lt;&gt;"",MIN(0,P326-MAX($P$4:P326)),"")</f>
        <v/>
      </c>
    </row>
    <row r="327" customFormat="false" ht="15" hidden="false" customHeight="true" outlineLevel="0" collapsed="false">
      <c r="A327" s="11" t="str">
        <f aca="false">IF(B327&lt;&gt;"",COUNTA($B$4:B327),"")</f>
        <v/>
      </c>
      <c r="B327" s="20"/>
      <c r="C327" s="20"/>
      <c r="D327" s="20"/>
      <c r="E327" s="20"/>
      <c r="F327" s="20"/>
      <c r="G327" s="20"/>
      <c r="H327" s="20"/>
      <c r="I327" s="21"/>
      <c r="J327" s="20"/>
      <c r="K327" s="14" t="str">
        <f aca="false">IF(AND(I327&lt;&gt;"",H327&lt;&gt;"",J327&lt;&gt;""),IF(J327="W",I327*H327,IF(J327="L",-I327,IF(J327="P",I327*H327*0.5,""))),"")</f>
        <v/>
      </c>
      <c r="L327" s="15" t="str">
        <f aca="false">IF(AND(K327&lt;&gt;"",P326&lt;&gt;""),K327/P326,IF(K327&lt;&gt;"",K327/$D$2,""))</f>
        <v/>
      </c>
      <c r="M327" s="20"/>
      <c r="N327" s="20"/>
      <c r="O327" s="20"/>
      <c r="P327" s="16" t="str">
        <f aca="false">IF(K327&lt;&gt;"",P326+K327,IF(B327&lt;&gt;"",P326,""))</f>
        <v/>
      </c>
      <c r="Q327" s="17" t="str">
        <f aca="false">IF(P327&lt;&gt;"",MIN(0,P327-MAX($P$4:P327)),"")</f>
        <v/>
      </c>
    </row>
    <row r="328" customFormat="false" ht="15" hidden="false" customHeight="true" outlineLevel="0" collapsed="false">
      <c r="A328" s="11" t="str">
        <f aca="false">IF(B328&lt;&gt;"",COUNTA($B$4:B328),"")</f>
        <v/>
      </c>
      <c r="B328" s="12"/>
      <c r="C328" s="12"/>
      <c r="D328" s="12"/>
      <c r="E328" s="12"/>
      <c r="F328" s="12"/>
      <c r="G328" s="12"/>
      <c r="H328" s="12"/>
      <c r="I328" s="13"/>
      <c r="J328" s="12"/>
      <c r="K328" s="14" t="str">
        <f aca="false">IF(AND(I328&lt;&gt;"",H328&lt;&gt;"",J328&lt;&gt;""),IF(J328="W",I328*H328,IF(J328="L",-I328,IF(J328="P",I328*H328*0.5,""))),"")</f>
        <v/>
      </c>
      <c r="L328" s="15" t="str">
        <f aca="false">IF(AND(K328&lt;&gt;"",P327&lt;&gt;""),K328/P327,IF(K328&lt;&gt;"",K328/$D$2,""))</f>
        <v/>
      </c>
      <c r="M328" s="12"/>
      <c r="N328" s="12"/>
      <c r="O328" s="12"/>
      <c r="P328" s="16" t="str">
        <f aca="false">IF(K328&lt;&gt;"",P327+K328,IF(B328&lt;&gt;"",P327,""))</f>
        <v/>
      </c>
      <c r="Q328" s="17" t="str">
        <f aca="false">IF(P328&lt;&gt;"",MIN(0,P328-MAX($P$4:P328)),"")</f>
        <v/>
      </c>
    </row>
    <row r="329" customFormat="false" ht="15" hidden="false" customHeight="true" outlineLevel="0" collapsed="false">
      <c r="A329" s="11" t="str">
        <f aca="false">IF(B329&lt;&gt;"",COUNTA($B$4:B329),"")</f>
        <v/>
      </c>
      <c r="B329" s="20"/>
      <c r="C329" s="20"/>
      <c r="D329" s="20"/>
      <c r="E329" s="20"/>
      <c r="F329" s="20"/>
      <c r="G329" s="20"/>
      <c r="H329" s="20"/>
      <c r="I329" s="21"/>
      <c r="J329" s="20"/>
      <c r="K329" s="14" t="str">
        <f aca="false">IF(AND(I329&lt;&gt;"",H329&lt;&gt;"",J329&lt;&gt;""),IF(J329="W",I329*H329,IF(J329="L",-I329,IF(J329="P",I329*H329*0.5,""))),"")</f>
        <v/>
      </c>
      <c r="L329" s="15" t="str">
        <f aca="false">IF(AND(K329&lt;&gt;"",P328&lt;&gt;""),K329/P328,IF(K329&lt;&gt;"",K329/$D$2,""))</f>
        <v/>
      </c>
      <c r="M329" s="20"/>
      <c r="N329" s="20"/>
      <c r="O329" s="20"/>
      <c r="P329" s="16" t="str">
        <f aca="false">IF(K329&lt;&gt;"",P328+K329,IF(B329&lt;&gt;"",P328,""))</f>
        <v/>
      </c>
      <c r="Q329" s="17" t="str">
        <f aca="false">IF(P329&lt;&gt;"",MIN(0,P329-MAX($P$4:P329)),"")</f>
        <v/>
      </c>
    </row>
    <row r="330" customFormat="false" ht="15" hidden="false" customHeight="true" outlineLevel="0" collapsed="false">
      <c r="A330" s="11" t="str">
        <f aca="false">IF(B330&lt;&gt;"",COUNTA($B$4:B330),"")</f>
        <v/>
      </c>
      <c r="B330" s="12"/>
      <c r="C330" s="12"/>
      <c r="D330" s="12"/>
      <c r="E330" s="12"/>
      <c r="F330" s="12"/>
      <c r="G330" s="12"/>
      <c r="H330" s="12"/>
      <c r="I330" s="13"/>
      <c r="J330" s="12"/>
      <c r="K330" s="14" t="str">
        <f aca="false">IF(AND(I330&lt;&gt;"",H330&lt;&gt;"",J330&lt;&gt;""),IF(J330="W",I330*H330,IF(J330="L",-I330,IF(J330="P",I330*H330*0.5,""))),"")</f>
        <v/>
      </c>
      <c r="L330" s="15" t="str">
        <f aca="false">IF(AND(K330&lt;&gt;"",P329&lt;&gt;""),K330/P329,IF(K330&lt;&gt;"",K330/$D$2,""))</f>
        <v/>
      </c>
      <c r="M330" s="12"/>
      <c r="N330" s="12"/>
      <c r="O330" s="12"/>
      <c r="P330" s="16" t="str">
        <f aca="false">IF(K330&lt;&gt;"",P329+K330,IF(B330&lt;&gt;"",P329,""))</f>
        <v/>
      </c>
      <c r="Q330" s="17" t="str">
        <f aca="false">IF(P330&lt;&gt;"",MIN(0,P330-MAX($P$4:P330)),"")</f>
        <v/>
      </c>
    </row>
    <row r="331" customFormat="false" ht="15" hidden="false" customHeight="true" outlineLevel="0" collapsed="false">
      <c r="A331" s="11" t="str">
        <f aca="false">IF(B331&lt;&gt;"",COUNTA($B$4:B331),"")</f>
        <v/>
      </c>
      <c r="B331" s="20"/>
      <c r="C331" s="20"/>
      <c r="D331" s="20"/>
      <c r="E331" s="20"/>
      <c r="F331" s="20"/>
      <c r="G331" s="20"/>
      <c r="H331" s="20"/>
      <c r="I331" s="21"/>
      <c r="J331" s="20"/>
      <c r="K331" s="14" t="str">
        <f aca="false">IF(AND(I331&lt;&gt;"",H331&lt;&gt;"",J331&lt;&gt;""),IF(J331="W",I331*H331,IF(J331="L",-I331,IF(J331="P",I331*H331*0.5,""))),"")</f>
        <v/>
      </c>
      <c r="L331" s="15" t="str">
        <f aca="false">IF(AND(K331&lt;&gt;"",P330&lt;&gt;""),K331/P330,IF(K331&lt;&gt;"",K331/$D$2,""))</f>
        <v/>
      </c>
      <c r="M331" s="20"/>
      <c r="N331" s="20"/>
      <c r="O331" s="20"/>
      <c r="P331" s="16" t="str">
        <f aca="false">IF(K331&lt;&gt;"",P330+K331,IF(B331&lt;&gt;"",P330,""))</f>
        <v/>
      </c>
      <c r="Q331" s="17" t="str">
        <f aca="false">IF(P331&lt;&gt;"",MIN(0,P331-MAX($P$4:P331)),"")</f>
        <v/>
      </c>
    </row>
    <row r="332" customFormat="false" ht="15" hidden="false" customHeight="true" outlineLevel="0" collapsed="false">
      <c r="A332" s="11" t="str">
        <f aca="false">IF(B332&lt;&gt;"",COUNTA($B$4:B332),"")</f>
        <v/>
      </c>
      <c r="B332" s="12"/>
      <c r="C332" s="12"/>
      <c r="D332" s="12"/>
      <c r="E332" s="12"/>
      <c r="F332" s="12"/>
      <c r="G332" s="12"/>
      <c r="H332" s="12"/>
      <c r="I332" s="13"/>
      <c r="J332" s="12"/>
      <c r="K332" s="14" t="str">
        <f aca="false">IF(AND(I332&lt;&gt;"",H332&lt;&gt;"",J332&lt;&gt;""),IF(J332="W",I332*H332,IF(J332="L",-I332,IF(J332="P",I332*H332*0.5,""))),"")</f>
        <v/>
      </c>
      <c r="L332" s="15" t="str">
        <f aca="false">IF(AND(K332&lt;&gt;"",P331&lt;&gt;""),K332/P331,IF(K332&lt;&gt;"",K332/$D$2,""))</f>
        <v/>
      </c>
      <c r="M332" s="12"/>
      <c r="N332" s="12"/>
      <c r="O332" s="12"/>
      <c r="P332" s="16" t="str">
        <f aca="false">IF(K332&lt;&gt;"",P331+K332,IF(B332&lt;&gt;"",P331,""))</f>
        <v/>
      </c>
      <c r="Q332" s="17" t="str">
        <f aca="false">IF(P332&lt;&gt;"",MIN(0,P332-MAX($P$4:P332)),"")</f>
        <v/>
      </c>
    </row>
    <row r="333" customFormat="false" ht="15" hidden="false" customHeight="true" outlineLevel="0" collapsed="false">
      <c r="A333" s="11" t="str">
        <f aca="false">IF(B333&lt;&gt;"",COUNTA($B$4:B333),"")</f>
        <v/>
      </c>
      <c r="B333" s="20"/>
      <c r="C333" s="20"/>
      <c r="D333" s="20"/>
      <c r="E333" s="20"/>
      <c r="F333" s="20"/>
      <c r="G333" s="20"/>
      <c r="H333" s="20"/>
      <c r="I333" s="21"/>
      <c r="J333" s="20"/>
      <c r="K333" s="14" t="str">
        <f aca="false">IF(AND(I333&lt;&gt;"",H333&lt;&gt;"",J333&lt;&gt;""),IF(J333="W",I333*H333,IF(J333="L",-I333,IF(J333="P",I333*H333*0.5,""))),"")</f>
        <v/>
      </c>
      <c r="L333" s="15" t="str">
        <f aca="false">IF(AND(K333&lt;&gt;"",P332&lt;&gt;""),K333/P332,IF(K333&lt;&gt;"",K333/$D$2,""))</f>
        <v/>
      </c>
      <c r="M333" s="20"/>
      <c r="N333" s="20"/>
      <c r="O333" s="20"/>
      <c r="P333" s="16" t="str">
        <f aca="false">IF(K333&lt;&gt;"",P332+K333,IF(B333&lt;&gt;"",P332,""))</f>
        <v/>
      </c>
      <c r="Q333" s="17" t="str">
        <f aca="false">IF(P333&lt;&gt;"",MIN(0,P333-MAX($P$4:P333)),"")</f>
        <v/>
      </c>
    </row>
    <row r="334" customFormat="false" ht="15" hidden="false" customHeight="true" outlineLevel="0" collapsed="false">
      <c r="A334" s="11" t="str">
        <f aca="false">IF(B334&lt;&gt;"",COUNTA($B$4:B334),"")</f>
        <v/>
      </c>
      <c r="B334" s="12"/>
      <c r="C334" s="12"/>
      <c r="D334" s="12"/>
      <c r="E334" s="12"/>
      <c r="F334" s="12"/>
      <c r="G334" s="12"/>
      <c r="H334" s="12"/>
      <c r="I334" s="13"/>
      <c r="J334" s="12"/>
      <c r="K334" s="14" t="str">
        <f aca="false">IF(AND(I334&lt;&gt;"",H334&lt;&gt;"",J334&lt;&gt;""),IF(J334="W",I334*H334,IF(J334="L",-I334,IF(J334="P",I334*H334*0.5,""))),"")</f>
        <v/>
      </c>
      <c r="L334" s="15" t="str">
        <f aca="false">IF(AND(K334&lt;&gt;"",P333&lt;&gt;""),K334/P333,IF(K334&lt;&gt;"",K334/$D$2,""))</f>
        <v/>
      </c>
      <c r="M334" s="12"/>
      <c r="N334" s="12"/>
      <c r="O334" s="12"/>
      <c r="P334" s="16" t="str">
        <f aca="false">IF(K334&lt;&gt;"",P333+K334,IF(B334&lt;&gt;"",P333,""))</f>
        <v/>
      </c>
      <c r="Q334" s="17" t="str">
        <f aca="false">IF(P334&lt;&gt;"",MIN(0,P334-MAX($P$4:P334)),"")</f>
        <v/>
      </c>
    </row>
    <row r="335" customFormat="false" ht="15" hidden="false" customHeight="true" outlineLevel="0" collapsed="false">
      <c r="A335" s="11" t="str">
        <f aca="false">IF(B335&lt;&gt;"",COUNTA($B$4:B335),"")</f>
        <v/>
      </c>
      <c r="B335" s="20"/>
      <c r="C335" s="20"/>
      <c r="D335" s="20"/>
      <c r="E335" s="20"/>
      <c r="F335" s="20"/>
      <c r="G335" s="20"/>
      <c r="H335" s="20"/>
      <c r="I335" s="21"/>
      <c r="J335" s="20"/>
      <c r="K335" s="14" t="str">
        <f aca="false">IF(AND(I335&lt;&gt;"",H335&lt;&gt;"",J335&lt;&gt;""),IF(J335="W",I335*H335,IF(J335="L",-I335,IF(J335="P",I335*H335*0.5,""))),"")</f>
        <v/>
      </c>
      <c r="L335" s="15" t="str">
        <f aca="false">IF(AND(K335&lt;&gt;"",P334&lt;&gt;""),K335/P334,IF(K335&lt;&gt;"",K335/$D$2,""))</f>
        <v/>
      </c>
      <c r="M335" s="20"/>
      <c r="N335" s="20"/>
      <c r="O335" s="20"/>
      <c r="P335" s="16" t="str">
        <f aca="false">IF(K335&lt;&gt;"",P334+K335,IF(B335&lt;&gt;"",P334,""))</f>
        <v/>
      </c>
      <c r="Q335" s="17" t="str">
        <f aca="false">IF(P335&lt;&gt;"",MIN(0,P335-MAX($P$4:P335)),"")</f>
        <v/>
      </c>
    </row>
    <row r="336" customFormat="false" ht="15" hidden="false" customHeight="true" outlineLevel="0" collapsed="false">
      <c r="A336" s="11" t="str">
        <f aca="false">IF(B336&lt;&gt;"",COUNTA($B$4:B336),"")</f>
        <v/>
      </c>
      <c r="B336" s="12"/>
      <c r="C336" s="12"/>
      <c r="D336" s="12"/>
      <c r="E336" s="12"/>
      <c r="F336" s="12"/>
      <c r="G336" s="12"/>
      <c r="H336" s="12"/>
      <c r="I336" s="13"/>
      <c r="J336" s="12"/>
      <c r="K336" s="14" t="str">
        <f aca="false">IF(AND(I336&lt;&gt;"",H336&lt;&gt;"",J336&lt;&gt;""),IF(J336="W",I336*H336,IF(J336="L",-I336,IF(J336="P",I336*H336*0.5,""))),"")</f>
        <v/>
      </c>
      <c r="L336" s="15" t="str">
        <f aca="false">IF(AND(K336&lt;&gt;"",P335&lt;&gt;""),K336/P335,IF(K336&lt;&gt;"",K336/$D$2,""))</f>
        <v/>
      </c>
      <c r="M336" s="12"/>
      <c r="N336" s="12"/>
      <c r="O336" s="12"/>
      <c r="P336" s="16" t="str">
        <f aca="false">IF(K336&lt;&gt;"",P335+K336,IF(B336&lt;&gt;"",P335,""))</f>
        <v/>
      </c>
      <c r="Q336" s="17" t="str">
        <f aca="false">IF(P336&lt;&gt;"",MIN(0,P336-MAX($P$4:P336)),"")</f>
        <v/>
      </c>
    </row>
    <row r="337" customFormat="false" ht="15" hidden="false" customHeight="true" outlineLevel="0" collapsed="false">
      <c r="A337" s="11" t="str">
        <f aca="false">IF(B337&lt;&gt;"",COUNTA($B$4:B337),"")</f>
        <v/>
      </c>
      <c r="B337" s="20"/>
      <c r="C337" s="20"/>
      <c r="D337" s="20"/>
      <c r="E337" s="20"/>
      <c r="F337" s="20"/>
      <c r="G337" s="20"/>
      <c r="H337" s="20"/>
      <c r="I337" s="21"/>
      <c r="J337" s="20"/>
      <c r="K337" s="14" t="str">
        <f aca="false">IF(AND(I337&lt;&gt;"",H337&lt;&gt;"",J337&lt;&gt;""),IF(J337="W",I337*H337,IF(J337="L",-I337,IF(J337="P",I337*H337*0.5,""))),"")</f>
        <v/>
      </c>
      <c r="L337" s="15" t="str">
        <f aca="false">IF(AND(K337&lt;&gt;"",P336&lt;&gt;""),K337/P336,IF(K337&lt;&gt;"",K337/$D$2,""))</f>
        <v/>
      </c>
      <c r="M337" s="20"/>
      <c r="N337" s="20"/>
      <c r="O337" s="20"/>
      <c r="P337" s="16" t="str">
        <f aca="false">IF(K337&lt;&gt;"",P336+K337,IF(B337&lt;&gt;"",P336,""))</f>
        <v/>
      </c>
      <c r="Q337" s="17" t="str">
        <f aca="false">IF(P337&lt;&gt;"",MIN(0,P337-MAX($P$4:P337)),"")</f>
        <v/>
      </c>
    </row>
    <row r="338" customFormat="false" ht="15" hidden="false" customHeight="true" outlineLevel="0" collapsed="false">
      <c r="A338" s="11" t="str">
        <f aca="false">IF(B338&lt;&gt;"",COUNTA($B$4:B338),"")</f>
        <v/>
      </c>
      <c r="B338" s="12"/>
      <c r="C338" s="12"/>
      <c r="D338" s="12"/>
      <c r="E338" s="12"/>
      <c r="F338" s="12"/>
      <c r="G338" s="12"/>
      <c r="H338" s="12"/>
      <c r="I338" s="13"/>
      <c r="J338" s="12"/>
      <c r="K338" s="14" t="str">
        <f aca="false">IF(AND(I338&lt;&gt;"",H338&lt;&gt;"",J338&lt;&gt;""),IF(J338="W",I338*H338,IF(J338="L",-I338,IF(J338="P",I338*H338*0.5,""))),"")</f>
        <v/>
      </c>
      <c r="L338" s="15" t="str">
        <f aca="false">IF(AND(K338&lt;&gt;"",P337&lt;&gt;""),K338/P337,IF(K338&lt;&gt;"",K338/$D$2,""))</f>
        <v/>
      </c>
      <c r="M338" s="12"/>
      <c r="N338" s="12"/>
      <c r="O338" s="12"/>
      <c r="P338" s="16" t="str">
        <f aca="false">IF(K338&lt;&gt;"",P337+K338,IF(B338&lt;&gt;"",P337,""))</f>
        <v/>
      </c>
      <c r="Q338" s="17" t="str">
        <f aca="false">IF(P338&lt;&gt;"",MIN(0,P338-MAX($P$4:P338)),"")</f>
        <v/>
      </c>
    </row>
    <row r="339" customFormat="false" ht="15" hidden="false" customHeight="true" outlineLevel="0" collapsed="false">
      <c r="A339" s="11" t="str">
        <f aca="false">IF(B339&lt;&gt;"",COUNTA($B$4:B339),"")</f>
        <v/>
      </c>
      <c r="B339" s="20"/>
      <c r="C339" s="20"/>
      <c r="D339" s="20"/>
      <c r="E339" s="20"/>
      <c r="F339" s="20"/>
      <c r="G339" s="20"/>
      <c r="H339" s="20"/>
      <c r="I339" s="21"/>
      <c r="J339" s="20"/>
      <c r="K339" s="14" t="str">
        <f aca="false">IF(AND(I339&lt;&gt;"",H339&lt;&gt;"",J339&lt;&gt;""),IF(J339="W",I339*H339,IF(J339="L",-I339,IF(J339="P",I339*H339*0.5,""))),"")</f>
        <v/>
      </c>
      <c r="L339" s="15" t="str">
        <f aca="false">IF(AND(K339&lt;&gt;"",P338&lt;&gt;""),K339/P338,IF(K339&lt;&gt;"",K339/$D$2,""))</f>
        <v/>
      </c>
      <c r="M339" s="20"/>
      <c r="N339" s="20"/>
      <c r="O339" s="20"/>
      <c r="P339" s="16" t="str">
        <f aca="false">IF(K339&lt;&gt;"",P338+K339,IF(B339&lt;&gt;"",P338,""))</f>
        <v/>
      </c>
      <c r="Q339" s="17" t="str">
        <f aca="false">IF(P339&lt;&gt;"",MIN(0,P339-MAX($P$4:P339)),"")</f>
        <v/>
      </c>
    </row>
    <row r="340" customFormat="false" ht="15" hidden="false" customHeight="true" outlineLevel="0" collapsed="false">
      <c r="A340" s="11" t="str">
        <f aca="false">IF(B340&lt;&gt;"",COUNTA($B$4:B340),"")</f>
        <v/>
      </c>
      <c r="B340" s="12"/>
      <c r="C340" s="12"/>
      <c r="D340" s="12"/>
      <c r="E340" s="12"/>
      <c r="F340" s="12"/>
      <c r="G340" s="12"/>
      <c r="H340" s="12"/>
      <c r="I340" s="13"/>
      <c r="J340" s="12"/>
      <c r="K340" s="14" t="str">
        <f aca="false">IF(AND(I340&lt;&gt;"",H340&lt;&gt;"",J340&lt;&gt;""),IF(J340="W",I340*H340,IF(J340="L",-I340,IF(J340="P",I340*H340*0.5,""))),"")</f>
        <v/>
      </c>
      <c r="L340" s="15" t="str">
        <f aca="false">IF(AND(K340&lt;&gt;"",P339&lt;&gt;""),K340/P339,IF(K340&lt;&gt;"",K340/$D$2,""))</f>
        <v/>
      </c>
      <c r="M340" s="12"/>
      <c r="N340" s="12"/>
      <c r="O340" s="12"/>
      <c r="P340" s="16" t="str">
        <f aca="false">IF(K340&lt;&gt;"",P339+K340,IF(B340&lt;&gt;"",P339,""))</f>
        <v/>
      </c>
      <c r="Q340" s="17" t="str">
        <f aca="false">IF(P340&lt;&gt;"",MIN(0,P340-MAX($P$4:P340)),"")</f>
        <v/>
      </c>
    </row>
    <row r="341" customFormat="false" ht="15" hidden="false" customHeight="true" outlineLevel="0" collapsed="false">
      <c r="A341" s="11" t="str">
        <f aca="false">IF(B341&lt;&gt;"",COUNTA($B$4:B341),"")</f>
        <v/>
      </c>
      <c r="B341" s="20"/>
      <c r="C341" s="20"/>
      <c r="D341" s="20"/>
      <c r="E341" s="20"/>
      <c r="F341" s="20"/>
      <c r="G341" s="20"/>
      <c r="H341" s="20"/>
      <c r="I341" s="21"/>
      <c r="J341" s="20"/>
      <c r="K341" s="14" t="str">
        <f aca="false">IF(AND(I341&lt;&gt;"",H341&lt;&gt;"",J341&lt;&gt;""),IF(J341="W",I341*H341,IF(J341="L",-I341,IF(J341="P",I341*H341*0.5,""))),"")</f>
        <v/>
      </c>
      <c r="L341" s="15" t="str">
        <f aca="false">IF(AND(K341&lt;&gt;"",P340&lt;&gt;""),K341/P340,IF(K341&lt;&gt;"",K341/$D$2,""))</f>
        <v/>
      </c>
      <c r="M341" s="20"/>
      <c r="N341" s="20"/>
      <c r="O341" s="20"/>
      <c r="P341" s="16" t="str">
        <f aca="false">IF(K341&lt;&gt;"",P340+K341,IF(B341&lt;&gt;"",P340,""))</f>
        <v/>
      </c>
      <c r="Q341" s="17" t="str">
        <f aca="false">IF(P341&lt;&gt;"",MIN(0,P341-MAX($P$4:P341)),"")</f>
        <v/>
      </c>
    </row>
    <row r="342" customFormat="false" ht="15" hidden="false" customHeight="true" outlineLevel="0" collapsed="false">
      <c r="A342" s="11" t="str">
        <f aca="false">IF(B342&lt;&gt;"",COUNTA($B$4:B342),"")</f>
        <v/>
      </c>
      <c r="B342" s="12"/>
      <c r="C342" s="12"/>
      <c r="D342" s="12"/>
      <c r="E342" s="12"/>
      <c r="F342" s="12"/>
      <c r="G342" s="12"/>
      <c r="H342" s="12"/>
      <c r="I342" s="13"/>
      <c r="J342" s="12"/>
      <c r="K342" s="14" t="str">
        <f aca="false">IF(AND(I342&lt;&gt;"",H342&lt;&gt;"",J342&lt;&gt;""),IF(J342="W",I342*H342,IF(J342="L",-I342,IF(J342="P",I342*H342*0.5,""))),"")</f>
        <v/>
      </c>
      <c r="L342" s="15" t="str">
        <f aca="false">IF(AND(K342&lt;&gt;"",P341&lt;&gt;""),K342/P341,IF(K342&lt;&gt;"",K342/$D$2,""))</f>
        <v/>
      </c>
      <c r="M342" s="12"/>
      <c r="N342" s="12"/>
      <c r="O342" s="12"/>
      <c r="P342" s="16" t="str">
        <f aca="false">IF(K342&lt;&gt;"",P341+K342,IF(B342&lt;&gt;"",P341,""))</f>
        <v/>
      </c>
      <c r="Q342" s="17" t="str">
        <f aca="false">IF(P342&lt;&gt;"",MIN(0,P342-MAX($P$4:P342)),"")</f>
        <v/>
      </c>
    </row>
    <row r="343" customFormat="false" ht="15" hidden="false" customHeight="true" outlineLevel="0" collapsed="false">
      <c r="A343" s="11" t="str">
        <f aca="false">IF(B343&lt;&gt;"",COUNTA($B$4:B343),"")</f>
        <v/>
      </c>
      <c r="B343" s="20"/>
      <c r="C343" s="20"/>
      <c r="D343" s="20"/>
      <c r="E343" s="20"/>
      <c r="F343" s="20"/>
      <c r="G343" s="20"/>
      <c r="H343" s="20"/>
      <c r="I343" s="21"/>
      <c r="J343" s="20"/>
      <c r="K343" s="14" t="str">
        <f aca="false">IF(AND(I343&lt;&gt;"",H343&lt;&gt;"",J343&lt;&gt;""),IF(J343="W",I343*H343,IF(J343="L",-I343,IF(J343="P",I343*H343*0.5,""))),"")</f>
        <v/>
      </c>
      <c r="L343" s="15" t="str">
        <f aca="false">IF(AND(K343&lt;&gt;"",P342&lt;&gt;""),K343/P342,IF(K343&lt;&gt;"",K343/$D$2,""))</f>
        <v/>
      </c>
      <c r="M343" s="20"/>
      <c r="N343" s="20"/>
      <c r="O343" s="20"/>
      <c r="P343" s="16" t="str">
        <f aca="false">IF(K343&lt;&gt;"",P342+K343,IF(B343&lt;&gt;"",P342,""))</f>
        <v/>
      </c>
      <c r="Q343" s="17" t="str">
        <f aca="false">IF(P343&lt;&gt;"",MIN(0,P343-MAX($P$4:P343)),"")</f>
        <v/>
      </c>
    </row>
    <row r="344" customFormat="false" ht="15" hidden="false" customHeight="true" outlineLevel="0" collapsed="false">
      <c r="A344" s="11" t="str">
        <f aca="false">IF(B344&lt;&gt;"",COUNTA($B$4:B344),"")</f>
        <v/>
      </c>
      <c r="B344" s="12"/>
      <c r="C344" s="12"/>
      <c r="D344" s="12"/>
      <c r="E344" s="12"/>
      <c r="F344" s="12"/>
      <c r="G344" s="12"/>
      <c r="H344" s="12"/>
      <c r="I344" s="13"/>
      <c r="J344" s="12"/>
      <c r="K344" s="14" t="str">
        <f aca="false">IF(AND(I344&lt;&gt;"",H344&lt;&gt;"",J344&lt;&gt;""),IF(J344="W",I344*H344,IF(J344="L",-I344,IF(J344="P",I344*H344*0.5,""))),"")</f>
        <v/>
      </c>
      <c r="L344" s="15" t="str">
        <f aca="false">IF(AND(K344&lt;&gt;"",P343&lt;&gt;""),K344/P343,IF(K344&lt;&gt;"",K344/$D$2,""))</f>
        <v/>
      </c>
      <c r="M344" s="12"/>
      <c r="N344" s="12"/>
      <c r="O344" s="12"/>
      <c r="P344" s="16" t="str">
        <f aca="false">IF(K344&lt;&gt;"",P343+K344,IF(B344&lt;&gt;"",P343,""))</f>
        <v/>
      </c>
      <c r="Q344" s="17" t="str">
        <f aca="false">IF(P344&lt;&gt;"",MIN(0,P344-MAX($P$4:P344)),"")</f>
        <v/>
      </c>
    </row>
    <row r="345" customFormat="false" ht="15" hidden="false" customHeight="true" outlineLevel="0" collapsed="false">
      <c r="A345" s="11" t="str">
        <f aca="false">IF(B345&lt;&gt;"",COUNTA($B$4:B345),"")</f>
        <v/>
      </c>
      <c r="B345" s="20"/>
      <c r="C345" s="20"/>
      <c r="D345" s="20"/>
      <c r="E345" s="20"/>
      <c r="F345" s="20"/>
      <c r="G345" s="20"/>
      <c r="H345" s="20"/>
      <c r="I345" s="21"/>
      <c r="J345" s="20"/>
      <c r="K345" s="14" t="str">
        <f aca="false">IF(AND(I345&lt;&gt;"",H345&lt;&gt;"",J345&lt;&gt;""),IF(J345="W",I345*H345,IF(J345="L",-I345,IF(J345="P",I345*H345*0.5,""))),"")</f>
        <v/>
      </c>
      <c r="L345" s="15" t="str">
        <f aca="false">IF(AND(K345&lt;&gt;"",P344&lt;&gt;""),K345/P344,IF(K345&lt;&gt;"",K345/$D$2,""))</f>
        <v/>
      </c>
      <c r="M345" s="20"/>
      <c r="N345" s="20"/>
      <c r="O345" s="20"/>
      <c r="P345" s="16" t="str">
        <f aca="false">IF(K345&lt;&gt;"",P344+K345,IF(B345&lt;&gt;"",P344,""))</f>
        <v/>
      </c>
      <c r="Q345" s="17" t="str">
        <f aca="false">IF(P345&lt;&gt;"",MIN(0,P345-MAX($P$4:P345)),"")</f>
        <v/>
      </c>
    </row>
    <row r="346" customFormat="false" ht="15" hidden="false" customHeight="true" outlineLevel="0" collapsed="false">
      <c r="A346" s="11" t="str">
        <f aca="false">IF(B346&lt;&gt;"",COUNTA($B$4:B346),"")</f>
        <v/>
      </c>
      <c r="B346" s="12"/>
      <c r="C346" s="12"/>
      <c r="D346" s="12"/>
      <c r="E346" s="12"/>
      <c r="F346" s="12"/>
      <c r="G346" s="12"/>
      <c r="H346" s="12"/>
      <c r="I346" s="13"/>
      <c r="J346" s="12"/>
      <c r="K346" s="14" t="str">
        <f aca="false">IF(AND(I346&lt;&gt;"",H346&lt;&gt;"",J346&lt;&gt;""),IF(J346="W",I346*H346,IF(J346="L",-I346,IF(J346="P",I346*H346*0.5,""))),"")</f>
        <v/>
      </c>
      <c r="L346" s="15" t="str">
        <f aca="false">IF(AND(K346&lt;&gt;"",P345&lt;&gt;""),K346/P345,IF(K346&lt;&gt;"",K346/$D$2,""))</f>
        <v/>
      </c>
      <c r="M346" s="12"/>
      <c r="N346" s="12"/>
      <c r="O346" s="12"/>
      <c r="P346" s="16" t="str">
        <f aca="false">IF(K346&lt;&gt;"",P345+K346,IF(B346&lt;&gt;"",P345,""))</f>
        <v/>
      </c>
      <c r="Q346" s="17" t="str">
        <f aca="false">IF(P346&lt;&gt;"",MIN(0,P346-MAX($P$4:P346)),"")</f>
        <v/>
      </c>
    </row>
    <row r="347" customFormat="false" ht="15" hidden="false" customHeight="true" outlineLevel="0" collapsed="false">
      <c r="A347" s="11" t="str">
        <f aca="false">IF(B347&lt;&gt;"",COUNTA($B$4:B347),"")</f>
        <v/>
      </c>
      <c r="B347" s="20"/>
      <c r="C347" s="20"/>
      <c r="D347" s="20"/>
      <c r="E347" s="20"/>
      <c r="F347" s="20"/>
      <c r="G347" s="20"/>
      <c r="H347" s="20"/>
      <c r="I347" s="21"/>
      <c r="J347" s="20"/>
      <c r="K347" s="14" t="str">
        <f aca="false">IF(AND(I347&lt;&gt;"",H347&lt;&gt;"",J347&lt;&gt;""),IF(J347="W",I347*H347,IF(J347="L",-I347,IF(J347="P",I347*H347*0.5,""))),"")</f>
        <v/>
      </c>
      <c r="L347" s="15" t="str">
        <f aca="false">IF(AND(K347&lt;&gt;"",P346&lt;&gt;""),K347/P346,IF(K347&lt;&gt;"",K347/$D$2,""))</f>
        <v/>
      </c>
      <c r="M347" s="20"/>
      <c r="N347" s="20"/>
      <c r="O347" s="20"/>
      <c r="P347" s="16" t="str">
        <f aca="false">IF(K347&lt;&gt;"",P346+K347,IF(B347&lt;&gt;"",P346,""))</f>
        <v/>
      </c>
      <c r="Q347" s="17" t="str">
        <f aca="false">IF(P347&lt;&gt;"",MIN(0,P347-MAX($P$4:P347)),"")</f>
        <v/>
      </c>
    </row>
    <row r="348" customFormat="false" ht="15" hidden="false" customHeight="true" outlineLevel="0" collapsed="false">
      <c r="A348" s="11" t="str">
        <f aca="false">IF(B348&lt;&gt;"",COUNTA($B$4:B348),"")</f>
        <v/>
      </c>
      <c r="B348" s="12"/>
      <c r="C348" s="12"/>
      <c r="D348" s="12"/>
      <c r="E348" s="12"/>
      <c r="F348" s="12"/>
      <c r="G348" s="12"/>
      <c r="H348" s="12"/>
      <c r="I348" s="13"/>
      <c r="J348" s="12"/>
      <c r="K348" s="14" t="str">
        <f aca="false">IF(AND(I348&lt;&gt;"",H348&lt;&gt;"",J348&lt;&gt;""),IF(J348="W",I348*H348,IF(J348="L",-I348,IF(J348="P",I348*H348*0.5,""))),"")</f>
        <v/>
      </c>
      <c r="L348" s="15" t="str">
        <f aca="false">IF(AND(K348&lt;&gt;"",P347&lt;&gt;""),K348/P347,IF(K348&lt;&gt;"",K348/$D$2,""))</f>
        <v/>
      </c>
      <c r="M348" s="12"/>
      <c r="N348" s="12"/>
      <c r="O348" s="12"/>
      <c r="P348" s="16" t="str">
        <f aca="false">IF(K348&lt;&gt;"",P347+K348,IF(B348&lt;&gt;"",P347,""))</f>
        <v/>
      </c>
      <c r="Q348" s="17" t="str">
        <f aca="false">IF(P348&lt;&gt;"",MIN(0,P348-MAX($P$4:P348)),"")</f>
        <v/>
      </c>
    </row>
    <row r="349" customFormat="false" ht="15" hidden="false" customHeight="true" outlineLevel="0" collapsed="false">
      <c r="A349" s="11" t="str">
        <f aca="false">IF(B349&lt;&gt;"",COUNTA($B$4:B349),"")</f>
        <v/>
      </c>
      <c r="B349" s="20"/>
      <c r="C349" s="20"/>
      <c r="D349" s="20"/>
      <c r="E349" s="20"/>
      <c r="F349" s="20"/>
      <c r="G349" s="20"/>
      <c r="H349" s="20"/>
      <c r="I349" s="21"/>
      <c r="J349" s="20"/>
      <c r="K349" s="14" t="str">
        <f aca="false">IF(AND(I349&lt;&gt;"",H349&lt;&gt;"",J349&lt;&gt;""),IF(J349="W",I349*H349,IF(J349="L",-I349,IF(J349="P",I349*H349*0.5,""))),"")</f>
        <v/>
      </c>
      <c r="L349" s="15" t="str">
        <f aca="false">IF(AND(K349&lt;&gt;"",P348&lt;&gt;""),K349/P348,IF(K349&lt;&gt;"",K349/$D$2,""))</f>
        <v/>
      </c>
      <c r="M349" s="20"/>
      <c r="N349" s="20"/>
      <c r="O349" s="20"/>
      <c r="P349" s="16" t="str">
        <f aca="false">IF(K349&lt;&gt;"",P348+K349,IF(B349&lt;&gt;"",P348,""))</f>
        <v/>
      </c>
      <c r="Q349" s="17" t="str">
        <f aca="false">IF(P349&lt;&gt;"",MIN(0,P349-MAX($P$4:P349)),"")</f>
        <v/>
      </c>
    </row>
    <row r="350" customFormat="false" ht="15" hidden="false" customHeight="true" outlineLevel="0" collapsed="false">
      <c r="A350" s="11" t="str">
        <f aca="false">IF(B350&lt;&gt;"",COUNTA($B$4:B350),"")</f>
        <v/>
      </c>
      <c r="B350" s="12"/>
      <c r="C350" s="12"/>
      <c r="D350" s="12"/>
      <c r="E350" s="12"/>
      <c r="F350" s="12"/>
      <c r="G350" s="12"/>
      <c r="H350" s="12"/>
      <c r="I350" s="13"/>
      <c r="J350" s="12"/>
      <c r="K350" s="14" t="str">
        <f aca="false">IF(AND(I350&lt;&gt;"",H350&lt;&gt;"",J350&lt;&gt;""),IF(J350="W",I350*H350,IF(J350="L",-I350,IF(J350="P",I350*H350*0.5,""))),"")</f>
        <v/>
      </c>
      <c r="L350" s="15" t="str">
        <f aca="false">IF(AND(K350&lt;&gt;"",P349&lt;&gt;""),K350/P349,IF(K350&lt;&gt;"",K350/$D$2,""))</f>
        <v/>
      </c>
      <c r="M350" s="12"/>
      <c r="N350" s="12"/>
      <c r="O350" s="12"/>
      <c r="P350" s="16" t="str">
        <f aca="false">IF(K350&lt;&gt;"",P349+K350,IF(B350&lt;&gt;"",P349,""))</f>
        <v/>
      </c>
      <c r="Q350" s="17" t="str">
        <f aca="false">IF(P350&lt;&gt;"",MIN(0,P350-MAX($P$4:P350)),"")</f>
        <v/>
      </c>
    </row>
    <row r="351" customFormat="false" ht="15" hidden="false" customHeight="true" outlineLevel="0" collapsed="false">
      <c r="A351" s="11" t="str">
        <f aca="false">IF(B351&lt;&gt;"",COUNTA($B$4:B351),"")</f>
        <v/>
      </c>
      <c r="B351" s="20"/>
      <c r="C351" s="20"/>
      <c r="D351" s="20"/>
      <c r="E351" s="20"/>
      <c r="F351" s="20"/>
      <c r="G351" s="20"/>
      <c r="H351" s="20"/>
      <c r="I351" s="21"/>
      <c r="J351" s="20"/>
      <c r="K351" s="14" t="str">
        <f aca="false">IF(AND(I351&lt;&gt;"",H351&lt;&gt;"",J351&lt;&gt;""),IF(J351="W",I351*H351,IF(J351="L",-I351,IF(J351="P",I351*H351*0.5,""))),"")</f>
        <v/>
      </c>
      <c r="L351" s="15" t="str">
        <f aca="false">IF(AND(K351&lt;&gt;"",P350&lt;&gt;""),K351/P350,IF(K351&lt;&gt;"",K351/$D$2,""))</f>
        <v/>
      </c>
      <c r="M351" s="20"/>
      <c r="N351" s="20"/>
      <c r="O351" s="20"/>
      <c r="P351" s="16" t="str">
        <f aca="false">IF(K351&lt;&gt;"",P350+K351,IF(B351&lt;&gt;"",P350,""))</f>
        <v/>
      </c>
      <c r="Q351" s="17" t="str">
        <f aca="false">IF(P351&lt;&gt;"",MIN(0,P351-MAX($P$4:P351)),"")</f>
        <v/>
      </c>
    </row>
    <row r="352" customFormat="false" ht="15" hidden="false" customHeight="true" outlineLevel="0" collapsed="false">
      <c r="A352" s="11" t="str">
        <f aca="false">IF(B352&lt;&gt;"",COUNTA($B$4:B352),"")</f>
        <v/>
      </c>
      <c r="B352" s="12"/>
      <c r="C352" s="12"/>
      <c r="D352" s="12"/>
      <c r="E352" s="12"/>
      <c r="F352" s="12"/>
      <c r="G352" s="12"/>
      <c r="H352" s="12"/>
      <c r="I352" s="13"/>
      <c r="J352" s="12"/>
      <c r="K352" s="14" t="str">
        <f aca="false">IF(AND(I352&lt;&gt;"",H352&lt;&gt;"",J352&lt;&gt;""),IF(J352="W",I352*H352,IF(J352="L",-I352,IF(J352="P",I352*H352*0.5,""))),"")</f>
        <v/>
      </c>
      <c r="L352" s="15" t="str">
        <f aca="false">IF(AND(K352&lt;&gt;"",P351&lt;&gt;""),K352/P351,IF(K352&lt;&gt;"",K352/$D$2,""))</f>
        <v/>
      </c>
      <c r="M352" s="12"/>
      <c r="N352" s="12"/>
      <c r="O352" s="12"/>
      <c r="P352" s="16" t="str">
        <f aca="false">IF(K352&lt;&gt;"",P351+K352,IF(B352&lt;&gt;"",P351,""))</f>
        <v/>
      </c>
      <c r="Q352" s="17" t="str">
        <f aca="false">IF(P352&lt;&gt;"",MIN(0,P352-MAX($P$4:P352)),"")</f>
        <v/>
      </c>
    </row>
    <row r="353" customFormat="false" ht="15" hidden="false" customHeight="true" outlineLevel="0" collapsed="false">
      <c r="A353" s="11" t="str">
        <f aca="false">IF(B353&lt;&gt;"",COUNTA($B$4:B353),"")</f>
        <v/>
      </c>
      <c r="B353" s="20"/>
      <c r="C353" s="20"/>
      <c r="D353" s="20"/>
      <c r="E353" s="20"/>
      <c r="F353" s="20"/>
      <c r="G353" s="20"/>
      <c r="H353" s="20"/>
      <c r="I353" s="21"/>
      <c r="J353" s="20"/>
      <c r="K353" s="14" t="str">
        <f aca="false">IF(AND(I353&lt;&gt;"",H353&lt;&gt;"",J353&lt;&gt;""),IF(J353="W",I353*H353,IF(J353="L",-I353,IF(J353="P",I353*H353*0.5,""))),"")</f>
        <v/>
      </c>
      <c r="L353" s="15" t="str">
        <f aca="false">IF(AND(K353&lt;&gt;"",P352&lt;&gt;""),K353/P352,IF(K353&lt;&gt;"",K353/$D$2,""))</f>
        <v/>
      </c>
      <c r="M353" s="20"/>
      <c r="N353" s="20"/>
      <c r="O353" s="20"/>
      <c r="P353" s="16" t="str">
        <f aca="false">IF(K353&lt;&gt;"",P352+K353,IF(B353&lt;&gt;"",P352,""))</f>
        <v/>
      </c>
      <c r="Q353" s="17" t="str">
        <f aca="false">IF(P353&lt;&gt;"",MIN(0,P353-MAX($P$4:P353)),"")</f>
        <v/>
      </c>
    </row>
    <row r="354" customFormat="false" ht="15" hidden="false" customHeight="true" outlineLevel="0" collapsed="false">
      <c r="A354" s="11" t="str">
        <f aca="false">IF(B354&lt;&gt;"",COUNTA($B$4:B354),"")</f>
        <v/>
      </c>
      <c r="B354" s="12"/>
      <c r="C354" s="12"/>
      <c r="D354" s="12"/>
      <c r="E354" s="12"/>
      <c r="F354" s="12"/>
      <c r="G354" s="12"/>
      <c r="H354" s="12"/>
      <c r="I354" s="13"/>
      <c r="J354" s="12"/>
      <c r="K354" s="14" t="str">
        <f aca="false">IF(AND(I354&lt;&gt;"",H354&lt;&gt;"",J354&lt;&gt;""),IF(J354="W",I354*H354,IF(J354="L",-I354,IF(J354="P",I354*H354*0.5,""))),"")</f>
        <v/>
      </c>
      <c r="L354" s="15" t="str">
        <f aca="false">IF(AND(K354&lt;&gt;"",P353&lt;&gt;""),K354/P353,IF(K354&lt;&gt;"",K354/$D$2,""))</f>
        <v/>
      </c>
      <c r="M354" s="12"/>
      <c r="N354" s="12"/>
      <c r="O354" s="12"/>
      <c r="P354" s="16" t="str">
        <f aca="false">IF(K354&lt;&gt;"",P353+K354,IF(B354&lt;&gt;"",P353,""))</f>
        <v/>
      </c>
      <c r="Q354" s="17" t="str">
        <f aca="false">IF(P354&lt;&gt;"",MIN(0,P354-MAX($P$4:P354)),"")</f>
        <v/>
      </c>
    </row>
    <row r="355" customFormat="false" ht="15" hidden="false" customHeight="true" outlineLevel="0" collapsed="false">
      <c r="A355" s="11" t="str">
        <f aca="false">IF(B355&lt;&gt;"",COUNTA($B$4:B355),"")</f>
        <v/>
      </c>
      <c r="B355" s="20"/>
      <c r="C355" s="20"/>
      <c r="D355" s="20"/>
      <c r="E355" s="20"/>
      <c r="F355" s="20"/>
      <c r="G355" s="20"/>
      <c r="H355" s="20"/>
      <c r="I355" s="21"/>
      <c r="J355" s="20"/>
      <c r="K355" s="14" t="str">
        <f aca="false">IF(AND(I355&lt;&gt;"",H355&lt;&gt;"",J355&lt;&gt;""),IF(J355="W",I355*H355,IF(J355="L",-I355,IF(J355="P",I355*H355*0.5,""))),"")</f>
        <v/>
      </c>
      <c r="L355" s="15" t="str">
        <f aca="false">IF(AND(K355&lt;&gt;"",P354&lt;&gt;""),K355/P354,IF(K355&lt;&gt;"",K355/$D$2,""))</f>
        <v/>
      </c>
      <c r="M355" s="20"/>
      <c r="N355" s="20"/>
      <c r="O355" s="20"/>
      <c r="P355" s="16" t="str">
        <f aca="false">IF(K355&lt;&gt;"",P354+K355,IF(B355&lt;&gt;"",P354,""))</f>
        <v/>
      </c>
      <c r="Q355" s="17" t="str">
        <f aca="false">IF(P355&lt;&gt;"",MIN(0,P355-MAX($P$4:P355)),"")</f>
        <v/>
      </c>
    </row>
    <row r="356" customFormat="false" ht="15" hidden="false" customHeight="true" outlineLevel="0" collapsed="false">
      <c r="A356" s="11" t="str">
        <f aca="false">IF(B356&lt;&gt;"",COUNTA($B$4:B356),"")</f>
        <v/>
      </c>
      <c r="B356" s="12"/>
      <c r="C356" s="12"/>
      <c r="D356" s="12"/>
      <c r="E356" s="12"/>
      <c r="F356" s="12"/>
      <c r="G356" s="12"/>
      <c r="H356" s="12"/>
      <c r="I356" s="13"/>
      <c r="J356" s="12"/>
      <c r="K356" s="14" t="str">
        <f aca="false">IF(AND(I356&lt;&gt;"",H356&lt;&gt;"",J356&lt;&gt;""),IF(J356="W",I356*H356,IF(J356="L",-I356,IF(J356="P",I356*H356*0.5,""))),"")</f>
        <v/>
      </c>
      <c r="L356" s="15" t="str">
        <f aca="false">IF(AND(K356&lt;&gt;"",P355&lt;&gt;""),K356/P355,IF(K356&lt;&gt;"",K356/$D$2,""))</f>
        <v/>
      </c>
      <c r="M356" s="12"/>
      <c r="N356" s="12"/>
      <c r="O356" s="12"/>
      <c r="P356" s="16" t="str">
        <f aca="false">IF(K356&lt;&gt;"",P355+K356,IF(B356&lt;&gt;"",P355,""))</f>
        <v/>
      </c>
      <c r="Q356" s="17" t="str">
        <f aca="false">IF(P356&lt;&gt;"",MIN(0,P356-MAX($P$4:P356)),"")</f>
        <v/>
      </c>
    </row>
    <row r="357" customFormat="false" ht="15" hidden="false" customHeight="true" outlineLevel="0" collapsed="false">
      <c r="A357" s="11" t="str">
        <f aca="false">IF(B357&lt;&gt;"",COUNTA($B$4:B357),"")</f>
        <v/>
      </c>
      <c r="B357" s="20"/>
      <c r="C357" s="20"/>
      <c r="D357" s="20"/>
      <c r="E357" s="20"/>
      <c r="F357" s="20"/>
      <c r="G357" s="20"/>
      <c r="H357" s="20"/>
      <c r="I357" s="21"/>
      <c r="J357" s="20"/>
      <c r="K357" s="14" t="str">
        <f aca="false">IF(AND(I357&lt;&gt;"",H357&lt;&gt;"",J357&lt;&gt;""),IF(J357="W",I357*H357,IF(J357="L",-I357,IF(J357="P",I357*H357*0.5,""))),"")</f>
        <v/>
      </c>
      <c r="L357" s="15" t="str">
        <f aca="false">IF(AND(K357&lt;&gt;"",P356&lt;&gt;""),K357/P356,IF(K357&lt;&gt;"",K357/$D$2,""))</f>
        <v/>
      </c>
      <c r="M357" s="20"/>
      <c r="N357" s="20"/>
      <c r="O357" s="20"/>
      <c r="P357" s="16" t="str">
        <f aca="false">IF(K357&lt;&gt;"",P356+K357,IF(B357&lt;&gt;"",P356,""))</f>
        <v/>
      </c>
      <c r="Q357" s="17" t="str">
        <f aca="false">IF(P357&lt;&gt;"",MIN(0,P357-MAX($P$4:P357)),"")</f>
        <v/>
      </c>
    </row>
    <row r="358" customFormat="false" ht="15" hidden="false" customHeight="true" outlineLevel="0" collapsed="false">
      <c r="A358" s="11" t="str">
        <f aca="false">IF(B358&lt;&gt;"",COUNTA($B$4:B358),"")</f>
        <v/>
      </c>
      <c r="B358" s="12"/>
      <c r="C358" s="12"/>
      <c r="D358" s="12"/>
      <c r="E358" s="12"/>
      <c r="F358" s="12"/>
      <c r="G358" s="12"/>
      <c r="H358" s="12"/>
      <c r="I358" s="13"/>
      <c r="J358" s="12"/>
      <c r="K358" s="14" t="str">
        <f aca="false">IF(AND(I358&lt;&gt;"",H358&lt;&gt;"",J358&lt;&gt;""),IF(J358="W",I358*H358,IF(J358="L",-I358,IF(J358="P",I358*H358*0.5,""))),"")</f>
        <v/>
      </c>
      <c r="L358" s="15" t="str">
        <f aca="false">IF(AND(K358&lt;&gt;"",P357&lt;&gt;""),K358/P357,IF(K358&lt;&gt;"",K358/$D$2,""))</f>
        <v/>
      </c>
      <c r="M358" s="12"/>
      <c r="N358" s="12"/>
      <c r="O358" s="12"/>
      <c r="P358" s="16" t="str">
        <f aca="false">IF(K358&lt;&gt;"",P357+K358,IF(B358&lt;&gt;"",P357,""))</f>
        <v/>
      </c>
      <c r="Q358" s="17" t="str">
        <f aca="false">IF(P358&lt;&gt;"",MIN(0,P358-MAX($P$4:P358)),"")</f>
        <v/>
      </c>
    </row>
    <row r="359" customFormat="false" ht="15" hidden="false" customHeight="true" outlineLevel="0" collapsed="false">
      <c r="A359" s="11" t="str">
        <f aca="false">IF(B359&lt;&gt;"",COUNTA($B$4:B359),"")</f>
        <v/>
      </c>
      <c r="B359" s="20"/>
      <c r="C359" s="20"/>
      <c r="D359" s="20"/>
      <c r="E359" s="20"/>
      <c r="F359" s="20"/>
      <c r="G359" s="20"/>
      <c r="H359" s="20"/>
      <c r="I359" s="21"/>
      <c r="J359" s="20"/>
      <c r="K359" s="14" t="str">
        <f aca="false">IF(AND(I359&lt;&gt;"",H359&lt;&gt;"",J359&lt;&gt;""),IF(J359="W",I359*H359,IF(J359="L",-I359,IF(J359="P",I359*H359*0.5,""))),"")</f>
        <v/>
      </c>
      <c r="L359" s="15" t="str">
        <f aca="false">IF(AND(K359&lt;&gt;"",P358&lt;&gt;""),K359/P358,IF(K359&lt;&gt;"",K359/$D$2,""))</f>
        <v/>
      </c>
      <c r="M359" s="20"/>
      <c r="N359" s="20"/>
      <c r="O359" s="20"/>
      <c r="P359" s="16" t="str">
        <f aca="false">IF(K359&lt;&gt;"",P358+K359,IF(B359&lt;&gt;"",P358,""))</f>
        <v/>
      </c>
      <c r="Q359" s="17" t="str">
        <f aca="false">IF(P359&lt;&gt;"",MIN(0,P359-MAX($P$4:P359)),"")</f>
        <v/>
      </c>
    </row>
    <row r="360" customFormat="false" ht="15" hidden="false" customHeight="true" outlineLevel="0" collapsed="false">
      <c r="A360" s="11" t="str">
        <f aca="false">IF(B360&lt;&gt;"",COUNTA($B$4:B360),"")</f>
        <v/>
      </c>
      <c r="B360" s="12"/>
      <c r="C360" s="12"/>
      <c r="D360" s="12"/>
      <c r="E360" s="12"/>
      <c r="F360" s="12"/>
      <c r="G360" s="12"/>
      <c r="H360" s="12"/>
      <c r="I360" s="13"/>
      <c r="J360" s="12"/>
      <c r="K360" s="14" t="str">
        <f aca="false">IF(AND(I360&lt;&gt;"",H360&lt;&gt;"",J360&lt;&gt;""),IF(J360="W",I360*H360,IF(J360="L",-I360,IF(J360="P",I360*H360*0.5,""))),"")</f>
        <v/>
      </c>
      <c r="L360" s="15" t="str">
        <f aca="false">IF(AND(K360&lt;&gt;"",P359&lt;&gt;""),K360/P359,IF(K360&lt;&gt;"",K360/$D$2,""))</f>
        <v/>
      </c>
      <c r="M360" s="12"/>
      <c r="N360" s="12"/>
      <c r="O360" s="12"/>
      <c r="P360" s="16" t="str">
        <f aca="false">IF(K360&lt;&gt;"",P359+K360,IF(B360&lt;&gt;"",P359,""))</f>
        <v/>
      </c>
      <c r="Q360" s="17" t="str">
        <f aca="false">IF(P360&lt;&gt;"",MIN(0,P360-MAX($P$4:P360)),"")</f>
        <v/>
      </c>
    </row>
    <row r="361" customFormat="false" ht="15" hidden="false" customHeight="true" outlineLevel="0" collapsed="false">
      <c r="A361" s="11" t="str">
        <f aca="false">IF(B361&lt;&gt;"",COUNTA($B$4:B361),"")</f>
        <v/>
      </c>
      <c r="B361" s="20"/>
      <c r="C361" s="20"/>
      <c r="D361" s="20"/>
      <c r="E361" s="20"/>
      <c r="F361" s="20"/>
      <c r="G361" s="20"/>
      <c r="H361" s="20"/>
      <c r="I361" s="21"/>
      <c r="J361" s="20"/>
      <c r="K361" s="14" t="str">
        <f aca="false">IF(AND(I361&lt;&gt;"",H361&lt;&gt;"",J361&lt;&gt;""),IF(J361="W",I361*H361,IF(J361="L",-I361,IF(J361="P",I361*H361*0.5,""))),"")</f>
        <v/>
      </c>
      <c r="L361" s="15" t="str">
        <f aca="false">IF(AND(K361&lt;&gt;"",P360&lt;&gt;""),K361/P360,IF(K361&lt;&gt;"",K361/$D$2,""))</f>
        <v/>
      </c>
      <c r="M361" s="20"/>
      <c r="N361" s="20"/>
      <c r="O361" s="20"/>
      <c r="P361" s="16" t="str">
        <f aca="false">IF(K361&lt;&gt;"",P360+K361,IF(B361&lt;&gt;"",P360,""))</f>
        <v/>
      </c>
      <c r="Q361" s="17" t="str">
        <f aca="false">IF(P361&lt;&gt;"",MIN(0,P361-MAX($P$4:P361)),"")</f>
        <v/>
      </c>
    </row>
    <row r="362" customFormat="false" ht="15" hidden="false" customHeight="true" outlineLevel="0" collapsed="false">
      <c r="A362" s="11" t="str">
        <f aca="false">IF(B362&lt;&gt;"",COUNTA($B$4:B362),"")</f>
        <v/>
      </c>
      <c r="B362" s="12"/>
      <c r="C362" s="12"/>
      <c r="D362" s="12"/>
      <c r="E362" s="12"/>
      <c r="F362" s="12"/>
      <c r="G362" s="12"/>
      <c r="H362" s="12"/>
      <c r="I362" s="13"/>
      <c r="J362" s="12"/>
      <c r="K362" s="14" t="str">
        <f aca="false">IF(AND(I362&lt;&gt;"",H362&lt;&gt;"",J362&lt;&gt;""),IF(J362="W",I362*H362,IF(J362="L",-I362,IF(J362="P",I362*H362*0.5,""))),"")</f>
        <v/>
      </c>
      <c r="L362" s="15" t="str">
        <f aca="false">IF(AND(K362&lt;&gt;"",P361&lt;&gt;""),K362/P361,IF(K362&lt;&gt;"",K362/$D$2,""))</f>
        <v/>
      </c>
      <c r="M362" s="12"/>
      <c r="N362" s="12"/>
      <c r="O362" s="12"/>
      <c r="P362" s="16" t="str">
        <f aca="false">IF(K362&lt;&gt;"",P361+K362,IF(B362&lt;&gt;"",P361,""))</f>
        <v/>
      </c>
      <c r="Q362" s="17" t="str">
        <f aca="false">IF(P362&lt;&gt;"",MIN(0,P362-MAX($P$4:P362)),"")</f>
        <v/>
      </c>
    </row>
    <row r="363" customFormat="false" ht="15" hidden="false" customHeight="true" outlineLevel="0" collapsed="false">
      <c r="A363" s="11" t="str">
        <f aca="false">IF(B363&lt;&gt;"",COUNTA($B$4:B363),"")</f>
        <v/>
      </c>
      <c r="B363" s="20"/>
      <c r="C363" s="20"/>
      <c r="D363" s="20"/>
      <c r="E363" s="20"/>
      <c r="F363" s="20"/>
      <c r="G363" s="20"/>
      <c r="H363" s="20"/>
      <c r="I363" s="21"/>
      <c r="J363" s="20"/>
      <c r="K363" s="14" t="str">
        <f aca="false">IF(AND(I363&lt;&gt;"",H363&lt;&gt;"",J363&lt;&gt;""),IF(J363="W",I363*H363,IF(J363="L",-I363,IF(J363="P",I363*H363*0.5,""))),"")</f>
        <v/>
      </c>
      <c r="L363" s="15" t="str">
        <f aca="false">IF(AND(K363&lt;&gt;"",P362&lt;&gt;""),K363/P362,IF(K363&lt;&gt;"",K363/$D$2,""))</f>
        <v/>
      </c>
      <c r="M363" s="20"/>
      <c r="N363" s="20"/>
      <c r="O363" s="20"/>
      <c r="P363" s="16" t="str">
        <f aca="false">IF(K363&lt;&gt;"",P362+K363,IF(B363&lt;&gt;"",P362,""))</f>
        <v/>
      </c>
      <c r="Q363" s="17" t="str">
        <f aca="false">IF(P363&lt;&gt;"",MIN(0,P363-MAX($P$4:P363)),"")</f>
        <v/>
      </c>
    </row>
    <row r="364" customFormat="false" ht="15" hidden="false" customHeight="true" outlineLevel="0" collapsed="false">
      <c r="A364" s="11" t="str">
        <f aca="false">IF(B364&lt;&gt;"",COUNTA($B$4:B364),"")</f>
        <v/>
      </c>
      <c r="B364" s="12"/>
      <c r="C364" s="12"/>
      <c r="D364" s="12"/>
      <c r="E364" s="12"/>
      <c r="F364" s="12"/>
      <c r="G364" s="12"/>
      <c r="H364" s="12"/>
      <c r="I364" s="13"/>
      <c r="J364" s="12"/>
      <c r="K364" s="14" t="str">
        <f aca="false">IF(AND(I364&lt;&gt;"",H364&lt;&gt;"",J364&lt;&gt;""),IF(J364="W",I364*H364,IF(J364="L",-I364,IF(J364="P",I364*H364*0.5,""))),"")</f>
        <v/>
      </c>
      <c r="L364" s="15" t="str">
        <f aca="false">IF(AND(K364&lt;&gt;"",P363&lt;&gt;""),K364/P363,IF(K364&lt;&gt;"",K364/$D$2,""))</f>
        <v/>
      </c>
      <c r="M364" s="12"/>
      <c r="N364" s="12"/>
      <c r="O364" s="12"/>
      <c r="P364" s="16" t="str">
        <f aca="false">IF(K364&lt;&gt;"",P363+K364,IF(B364&lt;&gt;"",P363,""))</f>
        <v/>
      </c>
      <c r="Q364" s="17" t="str">
        <f aca="false">IF(P364&lt;&gt;"",MIN(0,P364-MAX($P$4:P364)),"")</f>
        <v/>
      </c>
    </row>
    <row r="365" customFormat="false" ht="15" hidden="false" customHeight="true" outlineLevel="0" collapsed="false">
      <c r="A365" s="11" t="str">
        <f aca="false">IF(B365&lt;&gt;"",COUNTA($B$4:B365),"")</f>
        <v/>
      </c>
      <c r="B365" s="20"/>
      <c r="C365" s="20"/>
      <c r="D365" s="20"/>
      <c r="E365" s="20"/>
      <c r="F365" s="20"/>
      <c r="G365" s="20"/>
      <c r="H365" s="20"/>
      <c r="I365" s="21"/>
      <c r="J365" s="20"/>
      <c r="K365" s="14" t="str">
        <f aca="false">IF(AND(I365&lt;&gt;"",H365&lt;&gt;"",J365&lt;&gt;""),IF(J365="W",I365*H365,IF(J365="L",-I365,IF(J365="P",I365*H365*0.5,""))),"")</f>
        <v/>
      </c>
      <c r="L365" s="15" t="str">
        <f aca="false">IF(AND(K365&lt;&gt;"",P364&lt;&gt;""),K365/P364,IF(K365&lt;&gt;"",K365/$D$2,""))</f>
        <v/>
      </c>
      <c r="M365" s="20"/>
      <c r="N365" s="20"/>
      <c r="O365" s="20"/>
      <c r="P365" s="16" t="str">
        <f aca="false">IF(K365&lt;&gt;"",P364+K365,IF(B365&lt;&gt;"",P364,""))</f>
        <v/>
      </c>
      <c r="Q365" s="17" t="str">
        <f aca="false">IF(P365&lt;&gt;"",MIN(0,P365-MAX($P$4:P365)),"")</f>
        <v/>
      </c>
    </row>
    <row r="366" customFormat="false" ht="15" hidden="false" customHeight="true" outlineLevel="0" collapsed="false">
      <c r="A366" s="11" t="str">
        <f aca="false">IF(B366&lt;&gt;"",COUNTA($B$4:B366),"")</f>
        <v/>
      </c>
      <c r="B366" s="12"/>
      <c r="C366" s="12"/>
      <c r="D366" s="12"/>
      <c r="E366" s="12"/>
      <c r="F366" s="12"/>
      <c r="G366" s="12"/>
      <c r="H366" s="12"/>
      <c r="I366" s="13"/>
      <c r="J366" s="12"/>
      <c r="K366" s="14" t="str">
        <f aca="false">IF(AND(I366&lt;&gt;"",H366&lt;&gt;"",J366&lt;&gt;""),IF(J366="W",I366*H366,IF(J366="L",-I366,IF(J366="P",I366*H366*0.5,""))),"")</f>
        <v/>
      </c>
      <c r="L366" s="15" t="str">
        <f aca="false">IF(AND(K366&lt;&gt;"",P365&lt;&gt;""),K366/P365,IF(K366&lt;&gt;"",K366/$D$2,""))</f>
        <v/>
      </c>
      <c r="M366" s="12"/>
      <c r="N366" s="12"/>
      <c r="O366" s="12"/>
      <c r="P366" s="16" t="str">
        <f aca="false">IF(K366&lt;&gt;"",P365+K366,IF(B366&lt;&gt;"",P365,""))</f>
        <v/>
      </c>
      <c r="Q366" s="17" t="str">
        <f aca="false">IF(P366&lt;&gt;"",MIN(0,P366-MAX($P$4:P366)),"")</f>
        <v/>
      </c>
    </row>
    <row r="367" customFormat="false" ht="15" hidden="false" customHeight="true" outlineLevel="0" collapsed="false">
      <c r="A367" s="11" t="str">
        <f aca="false">IF(B367&lt;&gt;"",COUNTA($B$4:B367),"")</f>
        <v/>
      </c>
      <c r="B367" s="20"/>
      <c r="C367" s="20"/>
      <c r="D367" s="20"/>
      <c r="E367" s="20"/>
      <c r="F367" s="20"/>
      <c r="G367" s="20"/>
      <c r="H367" s="20"/>
      <c r="I367" s="21"/>
      <c r="J367" s="20"/>
      <c r="K367" s="14" t="str">
        <f aca="false">IF(AND(I367&lt;&gt;"",H367&lt;&gt;"",J367&lt;&gt;""),IF(J367="W",I367*H367,IF(J367="L",-I367,IF(J367="P",I367*H367*0.5,""))),"")</f>
        <v/>
      </c>
      <c r="L367" s="15" t="str">
        <f aca="false">IF(AND(K367&lt;&gt;"",P366&lt;&gt;""),K367/P366,IF(K367&lt;&gt;"",K367/$D$2,""))</f>
        <v/>
      </c>
      <c r="M367" s="20"/>
      <c r="N367" s="20"/>
      <c r="O367" s="20"/>
      <c r="P367" s="16" t="str">
        <f aca="false">IF(K367&lt;&gt;"",P366+K367,IF(B367&lt;&gt;"",P366,""))</f>
        <v/>
      </c>
      <c r="Q367" s="17" t="str">
        <f aca="false">IF(P367&lt;&gt;"",MIN(0,P367-MAX($P$4:P367)),"")</f>
        <v/>
      </c>
    </row>
    <row r="368" customFormat="false" ht="15" hidden="false" customHeight="true" outlineLevel="0" collapsed="false">
      <c r="A368" s="11" t="str">
        <f aca="false">IF(B368&lt;&gt;"",COUNTA($B$4:B368),"")</f>
        <v/>
      </c>
      <c r="B368" s="12"/>
      <c r="C368" s="12"/>
      <c r="D368" s="12"/>
      <c r="E368" s="12"/>
      <c r="F368" s="12"/>
      <c r="G368" s="12"/>
      <c r="H368" s="12"/>
      <c r="I368" s="13"/>
      <c r="J368" s="12"/>
      <c r="K368" s="14" t="str">
        <f aca="false">IF(AND(I368&lt;&gt;"",H368&lt;&gt;"",J368&lt;&gt;""),IF(J368="W",I368*H368,IF(J368="L",-I368,IF(J368="P",I368*H368*0.5,""))),"")</f>
        <v/>
      </c>
      <c r="L368" s="15" t="str">
        <f aca="false">IF(AND(K368&lt;&gt;"",P367&lt;&gt;""),K368/P367,IF(K368&lt;&gt;"",K368/$D$2,""))</f>
        <v/>
      </c>
      <c r="M368" s="12"/>
      <c r="N368" s="12"/>
      <c r="O368" s="12"/>
      <c r="P368" s="16" t="str">
        <f aca="false">IF(K368&lt;&gt;"",P367+K368,IF(B368&lt;&gt;"",P367,""))</f>
        <v/>
      </c>
      <c r="Q368" s="17" t="str">
        <f aca="false">IF(P368&lt;&gt;"",MIN(0,P368-MAX($P$4:P368)),"")</f>
        <v/>
      </c>
    </row>
    <row r="369" customFormat="false" ht="15" hidden="false" customHeight="true" outlineLevel="0" collapsed="false">
      <c r="A369" s="11" t="str">
        <f aca="false">IF(B369&lt;&gt;"",COUNTA($B$4:B369),"")</f>
        <v/>
      </c>
      <c r="B369" s="20"/>
      <c r="C369" s="20"/>
      <c r="D369" s="20"/>
      <c r="E369" s="20"/>
      <c r="F369" s="20"/>
      <c r="G369" s="20"/>
      <c r="H369" s="20"/>
      <c r="I369" s="21"/>
      <c r="J369" s="20"/>
      <c r="K369" s="14" t="str">
        <f aca="false">IF(AND(I369&lt;&gt;"",H369&lt;&gt;"",J369&lt;&gt;""),IF(J369="W",I369*H369,IF(J369="L",-I369,IF(J369="P",I369*H369*0.5,""))),"")</f>
        <v/>
      </c>
      <c r="L369" s="15" t="str">
        <f aca="false">IF(AND(K369&lt;&gt;"",P368&lt;&gt;""),K369/P368,IF(K369&lt;&gt;"",K369/$D$2,""))</f>
        <v/>
      </c>
      <c r="M369" s="20"/>
      <c r="N369" s="20"/>
      <c r="O369" s="20"/>
      <c r="P369" s="16" t="str">
        <f aca="false">IF(K369&lt;&gt;"",P368+K369,IF(B369&lt;&gt;"",P368,""))</f>
        <v/>
      </c>
      <c r="Q369" s="17" t="str">
        <f aca="false">IF(P369&lt;&gt;"",MIN(0,P369-MAX($P$4:P369)),"")</f>
        <v/>
      </c>
    </row>
    <row r="370" customFormat="false" ht="15" hidden="false" customHeight="true" outlineLevel="0" collapsed="false">
      <c r="A370" s="11" t="str">
        <f aca="false">IF(B370&lt;&gt;"",COUNTA($B$4:B370),"")</f>
        <v/>
      </c>
      <c r="B370" s="12"/>
      <c r="C370" s="12"/>
      <c r="D370" s="12"/>
      <c r="E370" s="12"/>
      <c r="F370" s="12"/>
      <c r="G370" s="12"/>
      <c r="H370" s="12"/>
      <c r="I370" s="13"/>
      <c r="J370" s="12"/>
      <c r="K370" s="14" t="str">
        <f aca="false">IF(AND(I370&lt;&gt;"",H370&lt;&gt;"",J370&lt;&gt;""),IF(J370="W",I370*H370,IF(J370="L",-I370,IF(J370="P",I370*H370*0.5,""))),"")</f>
        <v/>
      </c>
      <c r="L370" s="15" t="str">
        <f aca="false">IF(AND(K370&lt;&gt;"",P369&lt;&gt;""),K370/P369,IF(K370&lt;&gt;"",K370/$D$2,""))</f>
        <v/>
      </c>
      <c r="M370" s="12"/>
      <c r="N370" s="12"/>
      <c r="O370" s="12"/>
      <c r="P370" s="16" t="str">
        <f aca="false">IF(K370&lt;&gt;"",P369+K370,IF(B370&lt;&gt;"",P369,""))</f>
        <v/>
      </c>
      <c r="Q370" s="17" t="str">
        <f aca="false">IF(P370&lt;&gt;"",MIN(0,P370-MAX($P$4:P370)),"")</f>
        <v/>
      </c>
    </row>
    <row r="371" customFormat="false" ht="15" hidden="false" customHeight="true" outlineLevel="0" collapsed="false">
      <c r="A371" s="11" t="str">
        <f aca="false">IF(B371&lt;&gt;"",COUNTA($B$4:B371),"")</f>
        <v/>
      </c>
      <c r="B371" s="20"/>
      <c r="C371" s="20"/>
      <c r="D371" s="20"/>
      <c r="E371" s="20"/>
      <c r="F371" s="20"/>
      <c r="G371" s="20"/>
      <c r="H371" s="20"/>
      <c r="I371" s="21"/>
      <c r="J371" s="20"/>
      <c r="K371" s="14" t="str">
        <f aca="false">IF(AND(I371&lt;&gt;"",H371&lt;&gt;"",J371&lt;&gt;""),IF(J371="W",I371*H371,IF(J371="L",-I371,IF(J371="P",I371*H371*0.5,""))),"")</f>
        <v/>
      </c>
      <c r="L371" s="15" t="str">
        <f aca="false">IF(AND(K371&lt;&gt;"",P370&lt;&gt;""),K371/P370,IF(K371&lt;&gt;"",K371/$D$2,""))</f>
        <v/>
      </c>
      <c r="M371" s="20"/>
      <c r="N371" s="20"/>
      <c r="O371" s="20"/>
      <c r="P371" s="16" t="str">
        <f aca="false">IF(K371&lt;&gt;"",P370+K371,IF(B371&lt;&gt;"",P370,""))</f>
        <v/>
      </c>
      <c r="Q371" s="17" t="str">
        <f aca="false">IF(P371&lt;&gt;"",MIN(0,P371-MAX($P$4:P371)),"")</f>
        <v/>
      </c>
    </row>
    <row r="372" customFormat="false" ht="15" hidden="false" customHeight="true" outlineLevel="0" collapsed="false">
      <c r="A372" s="11" t="str">
        <f aca="false">IF(B372&lt;&gt;"",COUNTA($B$4:B372),"")</f>
        <v/>
      </c>
      <c r="B372" s="12"/>
      <c r="C372" s="12"/>
      <c r="D372" s="12"/>
      <c r="E372" s="12"/>
      <c r="F372" s="12"/>
      <c r="G372" s="12"/>
      <c r="H372" s="12"/>
      <c r="I372" s="13"/>
      <c r="J372" s="12"/>
      <c r="K372" s="14" t="str">
        <f aca="false">IF(AND(I372&lt;&gt;"",H372&lt;&gt;"",J372&lt;&gt;""),IF(J372="W",I372*H372,IF(J372="L",-I372,IF(J372="P",I372*H372*0.5,""))),"")</f>
        <v/>
      </c>
      <c r="L372" s="15" t="str">
        <f aca="false">IF(AND(K372&lt;&gt;"",P371&lt;&gt;""),K372/P371,IF(K372&lt;&gt;"",K372/$D$2,""))</f>
        <v/>
      </c>
      <c r="M372" s="12"/>
      <c r="N372" s="12"/>
      <c r="O372" s="12"/>
      <c r="P372" s="16" t="str">
        <f aca="false">IF(K372&lt;&gt;"",P371+K372,IF(B372&lt;&gt;"",P371,""))</f>
        <v/>
      </c>
      <c r="Q372" s="17" t="str">
        <f aca="false">IF(P372&lt;&gt;"",MIN(0,P372-MAX($P$4:P372)),"")</f>
        <v/>
      </c>
    </row>
    <row r="373" customFormat="false" ht="15" hidden="false" customHeight="true" outlineLevel="0" collapsed="false">
      <c r="A373" s="11" t="str">
        <f aca="false">IF(B373&lt;&gt;"",COUNTA($B$4:B373),"")</f>
        <v/>
      </c>
      <c r="B373" s="20"/>
      <c r="C373" s="20"/>
      <c r="D373" s="20"/>
      <c r="E373" s="20"/>
      <c r="F373" s="20"/>
      <c r="G373" s="20"/>
      <c r="H373" s="20"/>
      <c r="I373" s="21"/>
      <c r="J373" s="20"/>
      <c r="K373" s="14" t="str">
        <f aca="false">IF(AND(I373&lt;&gt;"",H373&lt;&gt;"",J373&lt;&gt;""),IF(J373="W",I373*H373,IF(J373="L",-I373,IF(J373="P",I373*H373*0.5,""))),"")</f>
        <v/>
      </c>
      <c r="L373" s="15" t="str">
        <f aca="false">IF(AND(K373&lt;&gt;"",P372&lt;&gt;""),K373/P372,IF(K373&lt;&gt;"",K373/$D$2,""))</f>
        <v/>
      </c>
      <c r="M373" s="20"/>
      <c r="N373" s="20"/>
      <c r="O373" s="20"/>
      <c r="P373" s="16" t="str">
        <f aca="false">IF(K373&lt;&gt;"",P372+K373,IF(B373&lt;&gt;"",P372,""))</f>
        <v/>
      </c>
      <c r="Q373" s="17" t="str">
        <f aca="false">IF(P373&lt;&gt;"",MIN(0,P373-MAX($P$4:P373)),"")</f>
        <v/>
      </c>
    </row>
    <row r="374" customFormat="false" ht="15" hidden="false" customHeight="true" outlineLevel="0" collapsed="false">
      <c r="A374" s="11" t="str">
        <f aca="false">IF(B374&lt;&gt;"",COUNTA($B$4:B374),"")</f>
        <v/>
      </c>
      <c r="B374" s="12"/>
      <c r="C374" s="12"/>
      <c r="D374" s="12"/>
      <c r="E374" s="12"/>
      <c r="F374" s="12"/>
      <c r="G374" s="12"/>
      <c r="H374" s="12"/>
      <c r="I374" s="13"/>
      <c r="J374" s="12"/>
      <c r="K374" s="14" t="str">
        <f aca="false">IF(AND(I374&lt;&gt;"",H374&lt;&gt;"",J374&lt;&gt;""),IF(J374="W",I374*H374,IF(J374="L",-I374,IF(J374="P",I374*H374*0.5,""))),"")</f>
        <v/>
      </c>
      <c r="L374" s="15" t="str">
        <f aca="false">IF(AND(K374&lt;&gt;"",P373&lt;&gt;""),K374/P373,IF(K374&lt;&gt;"",K374/$D$2,""))</f>
        <v/>
      </c>
      <c r="M374" s="12"/>
      <c r="N374" s="12"/>
      <c r="O374" s="12"/>
      <c r="P374" s="16" t="str">
        <f aca="false">IF(K374&lt;&gt;"",P373+K374,IF(B374&lt;&gt;"",P373,""))</f>
        <v/>
      </c>
      <c r="Q374" s="17" t="str">
        <f aca="false">IF(P374&lt;&gt;"",MIN(0,P374-MAX($P$4:P374)),"")</f>
        <v/>
      </c>
    </row>
    <row r="375" customFormat="false" ht="15" hidden="false" customHeight="true" outlineLevel="0" collapsed="false">
      <c r="A375" s="11" t="str">
        <f aca="false">IF(B375&lt;&gt;"",COUNTA($B$4:B375),"")</f>
        <v/>
      </c>
      <c r="B375" s="20"/>
      <c r="C375" s="20"/>
      <c r="D375" s="20"/>
      <c r="E375" s="20"/>
      <c r="F375" s="20"/>
      <c r="G375" s="20"/>
      <c r="H375" s="20"/>
      <c r="I375" s="21"/>
      <c r="J375" s="20"/>
      <c r="K375" s="14" t="str">
        <f aca="false">IF(AND(I375&lt;&gt;"",H375&lt;&gt;"",J375&lt;&gt;""),IF(J375="W",I375*H375,IF(J375="L",-I375,IF(J375="P",I375*H375*0.5,""))),"")</f>
        <v/>
      </c>
      <c r="L375" s="15" t="str">
        <f aca="false">IF(AND(K375&lt;&gt;"",P374&lt;&gt;""),K375/P374,IF(K375&lt;&gt;"",K375/$D$2,""))</f>
        <v/>
      </c>
      <c r="M375" s="20"/>
      <c r="N375" s="20"/>
      <c r="O375" s="20"/>
      <c r="P375" s="16" t="str">
        <f aca="false">IF(K375&lt;&gt;"",P374+K375,IF(B375&lt;&gt;"",P374,""))</f>
        <v/>
      </c>
      <c r="Q375" s="17" t="str">
        <f aca="false">IF(P375&lt;&gt;"",MIN(0,P375-MAX($P$4:P375)),"")</f>
        <v/>
      </c>
    </row>
    <row r="376" customFormat="false" ht="15" hidden="false" customHeight="true" outlineLevel="0" collapsed="false">
      <c r="A376" s="11" t="str">
        <f aca="false">IF(B376&lt;&gt;"",COUNTA($B$4:B376),"")</f>
        <v/>
      </c>
      <c r="B376" s="12"/>
      <c r="C376" s="12"/>
      <c r="D376" s="12"/>
      <c r="E376" s="12"/>
      <c r="F376" s="12"/>
      <c r="G376" s="12"/>
      <c r="H376" s="12"/>
      <c r="I376" s="13"/>
      <c r="J376" s="12"/>
      <c r="K376" s="14" t="str">
        <f aca="false">IF(AND(I376&lt;&gt;"",H376&lt;&gt;"",J376&lt;&gt;""),IF(J376="W",I376*H376,IF(J376="L",-I376,IF(J376="P",I376*H376*0.5,""))),"")</f>
        <v/>
      </c>
      <c r="L376" s="15" t="str">
        <f aca="false">IF(AND(K376&lt;&gt;"",P375&lt;&gt;""),K376/P375,IF(K376&lt;&gt;"",K376/$D$2,""))</f>
        <v/>
      </c>
      <c r="M376" s="12"/>
      <c r="N376" s="12"/>
      <c r="O376" s="12"/>
      <c r="P376" s="16" t="str">
        <f aca="false">IF(K376&lt;&gt;"",P375+K376,IF(B376&lt;&gt;"",P375,""))</f>
        <v/>
      </c>
      <c r="Q376" s="17" t="str">
        <f aca="false">IF(P376&lt;&gt;"",MIN(0,P376-MAX($P$4:P376)),"")</f>
        <v/>
      </c>
    </row>
    <row r="377" customFormat="false" ht="15" hidden="false" customHeight="true" outlineLevel="0" collapsed="false">
      <c r="A377" s="11" t="str">
        <f aca="false">IF(B377&lt;&gt;"",COUNTA($B$4:B377),"")</f>
        <v/>
      </c>
      <c r="B377" s="20"/>
      <c r="C377" s="20"/>
      <c r="D377" s="20"/>
      <c r="E377" s="20"/>
      <c r="F377" s="20"/>
      <c r="G377" s="20"/>
      <c r="H377" s="20"/>
      <c r="I377" s="21"/>
      <c r="J377" s="20"/>
      <c r="K377" s="14" t="str">
        <f aca="false">IF(AND(I377&lt;&gt;"",H377&lt;&gt;"",J377&lt;&gt;""),IF(J377="W",I377*H377,IF(J377="L",-I377,IF(J377="P",I377*H377*0.5,""))),"")</f>
        <v/>
      </c>
      <c r="L377" s="15" t="str">
        <f aca="false">IF(AND(K377&lt;&gt;"",P376&lt;&gt;""),K377/P376,IF(K377&lt;&gt;"",K377/$D$2,""))</f>
        <v/>
      </c>
      <c r="M377" s="20"/>
      <c r="N377" s="20"/>
      <c r="O377" s="20"/>
      <c r="P377" s="16" t="str">
        <f aca="false">IF(K377&lt;&gt;"",P376+K377,IF(B377&lt;&gt;"",P376,""))</f>
        <v/>
      </c>
      <c r="Q377" s="17" t="str">
        <f aca="false">IF(P377&lt;&gt;"",MIN(0,P377-MAX($P$4:P377)),"")</f>
        <v/>
      </c>
    </row>
    <row r="378" customFormat="false" ht="15" hidden="false" customHeight="true" outlineLevel="0" collapsed="false">
      <c r="A378" s="11" t="str">
        <f aca="false">IF(B378&lt;&gt;"",COUNTA($B$4:B378),"")</f>
        <v/>
      </c>
      <c r="B378" s="12"/>
      <c r="C378" s="12"/>
      <c r="D378" s="12"/>
      <c r="E378" s="12"/>
      <c r="F378" s="12"/>
      <c r="G378" s="12"/>
      <c r="H378" s="12"/>
      <c r="I378" s="13"/>
      <c r="J378" s="12"/>
      <c r="K378" s="14" t="str">
        <f aca="false">IF(AND(I378&lt;&gt;"",H378&lt;&gt;"",J378&lt;&gt;""),IF(J378="W",I378*H378,IF(J378="L",-I378,IF(J378="P",I378*H378*0.5,""))),"")</f>
        <v/>
      </c>
      <c r="L378" s="15" t="str">
        <f aca="false">IF(AND(K378&lt;&gt;"",P377&lt;&gt;""),K378/P377,IF(K378&lt;&gt;"",K378/$D$2,""))</f>
        <v/>
      </c>
      <c r="M378" s="12"/>
      <c r="N378" s="12"/>
      <c r="O378" s="12"/>
      <c r="P378" s="16" t="str">
        <f aca="false">IF(K378&lt;&gt;"",P377+K378,IF(B378&lt;&gt;"",P377,""))</f>
        <v/>
      </c>
      <c r="Q378" s="17" t="str">
        <f aca="false">IF(P378&lt;&gt;"",MIN(0,P378-MAX($P$4:P378)),"")</f>
        <v/>
      </c>
    </row>
    <row r="379" customFormat="false" ht="15" hidden="false" customHeight="true" outlineLevel="0" collapsed="false">
      <c r="A379" s="11" t="str">
        <f aca="false">IF(B379&lt;&gt;"",COUNTA($B$4:B379),"")</f>
        <v/>
      </c>
      <c r="B379" s="20"/>
      <c r="C379" s="20"/>
      <c r="D379" s="20"/>
      <c r="E379" s="20"/>
      <c r="F379" s="20"/>
      <c r="G379" s="20"/>
      <c r="H379" s="20"/>
      <c r="I379" s="21"/>
      <c r="J379" s="20"/>
      <c r="K379" s="14" t="str">
        <f aca="false">IF(AND(I379&lt;&gt;"",H379&lt;&gt;"",J379&lt;&gt;""),IF(J379="W",I379*H379,IF(J379="L",-I379,IF(J379="P",I379*H379*0.5,""))),"")</f>
        <v/>
      </c>
      <c r="L379" s="15" t="str">
        <f aca="false">IF(AND(K379&lt;&gt;"",P378&lt;&gt;""),K379/P378,IF(K379&lt;&gt;"",K379/$D$2,""))</f>
        <v/>
      </c>
      <c r="M379" s="20"/>
      <c r="N379" s="20"/>
      <c r="O379" s="20"/>
      <c r="P379" s="16" t="str">
        <f aca="false">IF(K379&lt;&gt;"",P378+K379,IF(B379&lt;&gt;"",P378,""))</f>
        <v/>
      </c>
      <c r="Q379" s="17" t="str">
        <f aca="false">IF(P379&lt;&gt;"",MIN(0,P379-MAX($P$4:P379)),"")</f>
        <v/>
      </c>
    </row>
    <row r="380" customFormat="false" ht="15" hidden="false" customHeight="true" outlineLevel="0" collapsed="false">
      <c r="A380" s="11" t="str">
        <f aca="false">IF(B380&lt;&gt;"",COUNTA($B$4:B380),"")</f>
        <v/>
      </c>
      <c r="B380" s="12"/>
      <c r="C380" s="12"/>
      <c r="D380" s="12"/>
      <c r="E380" s="12"/>
      <c r="F380" s="12"/>
      <c r="G380" s="12"/>
      <c r="H380" s="12"/>
      <c r="I380" s="13"/>
      <c r="J380" s="12"/>
      <c r="K380" s="14" t="str">
        <f aca="false">IF(AND(I380&lt;&gt;"",H380&lt;&gt;"",J380&lt;&gt;""),IF(J380="W",I380*H380,IF(J380="L",-I380,IF(J380="P",I380*H380*0.5,""))),"")</f>
        <v/>
      </c>
      <c r="L380" s="15" t="str">
        <f aca="false">IF(AND(K380&lt;&gt;"",P379&lt;&gt;""),K380/P379,IF(K380&lt;&gt;"",K380/$D$2,""))</f>
        <v/>
      </c>
      <c r="M380" s="12"/>
      <c r="N380" s="12"/>
      <c r="O380" s="12"/>
      <c r="P380" s="16" t="str">
        <f aca="false">IF(K380&lt;&gt;"",P379+K380,IF(B380&lt;&gt;"",P379,""))</f>
        <v/>
      </c>
      <c r="Q380" s="17" t="str">
        <f aca="false">IF(P380&lt;&gt;"",MIN(0,P380-MAX($P$4:P380)),"")</f>
        <v/>
      </c>
    </row>
    <row r="381" customFormat="false" ht="15" hidden="false" customHeight="true" outlineLevel="0" collapsed="false">
      <c r="A381" s="11" t="str">
        <f aca="false">IF(B381&lt;&gt;"",COUNTA($B$4:B381),"")</f>
        <v/>
      </c>
      <c r="B381" s="20"/>
      <c r="C381" s="20"/>
      <c r="D381" s="20"/>
      <c r="E381" s="20"/>
      <c r="F381" s="20"/>
      <c r="G381" s="20"/>
      <c r="H381" s="20"/>
      <c r="I381" s="21"/>
      <c r="J381" s="20"/>
      <c r="K381" s="14" t="str">
        <f aca="false">IF(AND(I381&lt;&gt;"",H381&lt;&gt;"",J381&lt;&gt;""),IF(J381="W",I381*H381,IF(J381="L",-I381,IF(J381="P",I381*H381*0.5,""))),"")</f>
        <v/>
      </c>
      <c r="L381" s="15" t="str">
        <f aca="false">IF(AND(K381&lt;&gt;"",P380&lt;&gt;""),K381/P380,IF(K381&lt;&gt;"",K381/$D$2,""))</f>
        <v/>
      </c>
      <c r="M381" s="20"/>
      <c r="N381" s="20"/>
      <c r="O381" s="20"/>
      <c r="P381" s="16" t="str">
        <f aca="false">IF(K381&lt;&gt;"",P380+K381,IF(B381&lt;&gt;"",P380,""))</f>
        <v/>
      </c>
      <c r="Q381" s="17" t="str">
        <f aca="false">IF(P381&lt;&gt;"",MIN(0,P381-MAX($P$4:P381)),"")</f>
        <v/>
      </c>
    </row>
    <row r="382" customFormat="false" ht="15" hidden="false" customHeight="true" outlineLevel="0" collapsed="false">
      <c r="A382" s="11" t="str">
        <f aca="false">IF(B382&lt;&gt;"",COUNTA($B$4:B382),"")</f>
        <v/>
      </c>
      <c r="B382" s="12"/>
      <c r="C382" s="12"/>
      <c r="D382" s="12"/>
      <c r="E382" s="12"/>
      <c r="F382" s="12"/>
      <c r="G382" s="12"/>
      <c r="H382" s="12"/>
      <c r="I382" s="13"/>
      <c r="J382" s="12"/>
      <c r="K382" s="14" t="str">
        <f aca="false">IF(AND(I382&lt;&gt;"",H382&lt;&gt;"",J382&lt;&gt;""),IF(J382="W",I382*H382,IF(J382="L",-I382,IF(J382="P",I382*H382*0.5,""))),"")</f>
        <v/>
      </c>
      <c r="L382" s="15" t="str">
        <f aca="false">IF(AND(K382&lt;&gt;"",P381&lt;&gt;""),K382/P381,IF(K382&lt;&gt;"",K382/$D$2,""))</f>
        <v/>
      </c>
      <c r="M382" s="12"/>
      <c r="N382" s="12"/>
      <c r="O382" s="12"/>
      <c r="P382" s="16" t="str">
        <f aca="false">IF(K382&lt;&gt;"",P381+K382,IF(B382&lt;&gt;"",P381,""))</f>
        <v/>
      </c>
      <c r="Q382" s="17" t="str">
        <f aca="false">IF(P382&lt;&gt;"",MIN(0,P382-MAX($P$4:P382)),"")</f>
        <v/>
      </c>
    </row>
    <row r="383" customFormat="false" ht="15" hidden="false" customHeight="true" outlineLevel="0" collapsed="false">
      <c r="A383" s="11" t="str">
        <f aca="false">IF(B383&lt;&gt;"",COUNTA($B$4:B383),"")</f>
        <v/>
      </c>
      <c r="B383" s="20"/>
      <c r="C383" s="20"/>
      <c r="D383" s="20"/>
      <c r="E383" s="20"/>
      <c r="F383" s="20"/>
      <c r="G383" s="20"/>
      <c r="H383" s="20"/>
      <c r="I383" s="21"/>
      <c r="J383" s="20"/>
      <c r="K383" s="14" t="str">
        <f aca="false">IF(AND(I383&lt;&gt;"",H383&lt;&gt;"",J383&lt;&gt;""),IF(J383="W",I383*H383,IF(J383="L",-I383,IF(J383="P",I383*H383*0.5,""))),"")</f>
        <v/>
      </c>
      <c r="L383" s="15" t="str">
        <f aca="false">IF(AND(K383&lt;&gt;"",P382&lt;&gt;""),K383/P382,IF(K383&lt;&gt;"",K383/$D$2,""))</f>
        <v/>
      </c>
      <c r="M383" s="20"/>
      <c r="N383" s="20"/>
      <c r="O383" s="20"/>
      <c r="P383" s="16" t="str">
        <f aca="false">IF(K383&lt;&gt;"",P382+K383,IF(B383&lt;&gt;"",P382,""))</f>
        <v/>
      </c>
      <c r="Q383" s="17" t="str">
        <f aca="false">IF(P383&lt;&gt;"",MIN(0,P383-MAX($P$4:P383)),"")</f>
        <v/>
      </c>
    </row>
    <row r="384" customFormat="false" ht="15" hidden="false" customHeight="true" outlineLevel="0" collapsed="false">
      <c r="A384" s="11" t="str">
        <f aca="false">IF(B384&lt;&gt;"",COUNTA($B$4:B384),"")</f>
        <v/>
      </c>
      <c r="B384" s="12"/>
      <c r="C384" s="12"/>
      <c r="D384" s="12"/>
      <c r="E384" s="12"/>
      <c r="F384" s="12"/>
      <c r="G384" s="12"/>
      <c r="H384" s="12"/>
      <c r="I384" s="13"/>
      <c r="J384" s="12"/>
      <c r="K384" s="14" t="str">
        <f aca="false">IF(AND(I384&lt;&gt;"",H384&lt;&gt;"",J384&lt;&gt;""),IF(J384="W",I384*H384,IF(J384="L",-I384,IF(J384="P",I384*H384*0.5,""))),"")</f>
        <v/>
      </c>
      <c r="L384" s="15" t="str">
        <f aca="false">IF(AND(K384&lt;&gt;"",P383&lt;&gt;""),K384/P383,IF(K384&lt;&gt;"",K384/$D$2,""))</f>
        <v/>
      </c>
      <c r="M384" s="12"/>
      <c r="N384" s="12"/>
      <c r="O384" s="12"/>
      <c r="P384" s="16" t="str">
        <f aca="false">IF(K384&lt;&gt;"",P383+K384,IF(B384&lt;&gt;"",P383,""))</f>
        <v/>
      </c>
      <c r="Q384" s="17" t="str">
        <f aca="false">IF(P384&lt;&gt;"",MIN(0,P384-MAX($P$4:P384)),"")</f>
        <v/>
      </c>
    </row>
    <row r="385" customFormat="false" ht="15" hidden="false" customHeight="true" outlineLevel="0" collapsed="false">
      <c r="A385" s="11" t="str">
        <f aca="false">IF(B385&lt;&gt;"",COUNTA($B$4:B385),"")</f>
        <v/>
      </c>
      <c r="B385" s="20"/>
      <c r="C385" s="20"/>
      <c r="D385" s="20"/>
      <c r="E385" s="20"/>
      <c r="F385" s="20"/>
      <c r="G385" s="20"/>
      <c r="H385" s="20"/>
      <c r="I385" s="21"/>
      <c r="J385" s="20"/>
      <c r="K385" s="14" t="str">
        <f aca="false">IF(AND(I385&lt;&gt;"",H385&lt;&gt;"",J385&lt;&gt;""),IF(J385="W",I385*H385,IF(J385="L",-I385,IF(J385="P",I385*H385*0.5,""))),"")</f>
        <v/>
      </c>
      <c r="L385" s="15" t="str">
        <f aca="false">IF(AND(K385&lt;&gt;"",P384&lt;&gt;""),K385/P384,IF(K385&lt;&gt;"",K385/$D$2,""))</f>
        <v/>
      </c>
      <c r="M385" s="20"/>
      <c r="N385" s="20"/>
      <c r="O385" s="20"/>
      <c r="P385" s="16" t="str">
        <f aca="false">IF(K385&lt;&gt;"",P384+K385,IF(B385&lt;&gt;"",P384,""))</f>
        <v/>
      </c>
      <c r="Q385" s="17" t="str">
        <f aca="false">IF(P385&lt;&gt;"",MIN(0,P385-MAX($P$4:P385)),"")</f>
        <v/>
      </c>
    </row>
    <row r="386" customFormat="false" ht="15" hidden="false" customHeight="true" outlineLevel="0" collapsed="false">
      <c r="A386" s="11" t="str">
        <f aca="false">IF(B386&lt;&gt;"",COUNTA($B$4:B386),"")</f>
        <v/>
      </c>
      <c r="B386" s="12"/>
      <c r="C386" s="12"/>
      <c r="D386" s="12"/>
      <c r="E386" s="12"/>
      <c r="F386" s="12"/>
      <c r="G386" s="12"/>
      <c r="H386" s="12"/>
      <c r="I386" s="13"/>
      <c r="J386" s="12"/>
      <c r="K386" s="14" t="str">
        <f aca="false">IF(AND(I386&lt;&gt;"",H386&lt;&gt;"",J386&lt;&gt;""),IF(J386="W",I386*H386,IF(J386="L",-I386,IF(J386="P",I386*H386*0.5,""))),"")</f>
        <v/>
      </c>
      <c r="L386" s="15" t="str">
        <f aca="false">IF(AND(K386&lt;&gt;"",P385&lt;&gt;""),K386/P385,IF(K386&lt;&gt;"",K386/$D$2,""))</f>
        <v/>
      </c>
      <c r="M386" s="12"/>
      <c r="N386" s="12"/>
      <c r="O386" s="12"/>
      <c r="P386" s="16" t="str">
        <f aca="false">IF(K386&lt;&gt;"",P385+K386,IF(B386&lt;&gt;"",P385,""))</f>
        <v/>
      </c>
      <c r="Q386" s="17" t="str">
        <f aca="false">IF(P386&lt;&gt;"",MIN(0,P386-MAX($P$4:P386)),"")</f>
        <v/>
      </c>
    </row>
    <row r="387" customFormat="false" ht="15" hidden="false" customHeight="true" outlineLevel="0" collapsed="false">
      <c r="A387" s="11" t="str">
        <f aca="false">IF(B387&lt;&gt;"",COUNTA($B$4:B387),"")</f>
        <v/>
      </c>
      <c r="B387" s="20"/>
      <c r="C387" s="20"/>
      <c r="D387" s="20"/>
      <c r="E387" s="20"/>
      <c r="F387" s="20"/>
      <c r="G387" s="20"/>
      <c r="H387" s="20"/>
      <c r="I387" s="21"/>
      <c r="J387" s="20"/>
      <c r="K387" s="14" t="str">
        <f aca="false">IF(AND(I387&lt;&gt;"",H387&lt;&gt;"",J387&lt;&gt;""),IF(J387="W",I387*H387,IF(J387="L",-I387,IF(J387="P",I387*H387*0.5,""))),"")</f>
        <v/>
      </c>
      <c r="L387" s="15" t="str">
        <f aca="false">IF(AND(K387&lt;&gt;"",P386&lt;&gt;""),K387/P386,IF(K387&lt;&gt;"",K387/$D$2,""))</f>
        <v/>
      </c>
      <c r="M387" s="20"/>
      <c r="N387" s="20"/>
      <c r="O387" s="20"/>
      <c r="P387" s="16" t="str">
        <f aca="false">IF(K387&lt;&gt;"",P386+K387,IF(B387&lt;&gt;"",P386,""))</f>
        <v/>
      </c>
      <c r="Q387" s="17" t="str">
        <f aca="false">IF(P387&lt;&gt;"",MIN(0,P387-MAX($P$4:P387)),"")</f>
        <v/>
      </c>
    </row>
    <row r="388" customFormat="false" ht="15" hidden="false" customHeight="true" outlineLevel="0" collapsed="false">
      <c r="A388" s="11" t="str">
        <f aca="false">IF(B388&lt;&gt;"",COUNTA($B$4:B388),"")</f>
        <v/>
      </c>
      <c r="B388" s="12"/>
      <c r="C388" s="12"/>
      <c r="D388" s="12"/>
      <c r="E388" s="12"/>
      <c r="F388" s="12"/>
      <c r="G388" s="12"/>
      <c r="H388" s="12"/>
      <c r="I388" s="13"/>
      <c r="J388" s="12"/>
      <c r="K388" s="14" t="str">
        <f aca="false">IF(AND(I388&lt;&gt;"",H388&lt;&gt;"",J388&lt;&gt;""),IF(J388="W",I388*H388,IF(J388="L",-I388,IF(J388="P",I388*H388*0.5,""))),"")</f>
        <v/>
      </c>
      <c r="L388" s="15" t="str">
        <f aca="false">IF(AND(K388&lt;&gt;"",P387&lt;&gt;""),K388/P387,IF(K388&lt;&gt;"",K388/$D$2,""))</f>
        <v/>
      </c>
      <c r="M388" s="12"/>
      <c r="N388" s="12"/>
      <c r="O388" s="12"/>
      <c r="P388" s="16" t="str">
        <f aca="false">IF(K388&lt;&gt;"",P387+K388,IF(B388&lt;&gt;"",P387,""))</f>
        <v/>
      </c>
      <c r="Q388" s="17" t="str">
        <f aca="false">IF(P388&lt;&gt;"",MIN(0,P388-MAX($P$4:P388)),"")</f>
        <v/>
      </c>
    </row>
    <row r="389" customFormat="false" ht="15" hidden="false" customHeight="true" outlineLevel="0" collapsed="false">
      <c r="A389" s="11" t="str">
        <f aca="false">IF(B389&lt;&gt;"",COUNTA($B$4:B389),"")</f>
        <v/>
      </c>
      <c r="B389" s="20"/>
      <c r="C389" s="20"/>
      <c r="D389" s="20"/>
      <c r="E389" s="20"/>
      <c r="F389" s="20"/>
      <c r="G389" s="20"/>
      <c r="H389" s="20"/>
      <c r="I389" s="21"/>
      <c r="J389" s="20"/>
      <c r="K389" s="14" t="str">
        <f aca="false">IF(AND(I389&lt;&gt;"",H389&lt;&gt;"",J389&lt;&gt;""),IF(J389="W",I389*H389,IF(J389="L",-I389,IF(J389="P",I389*H389*0.5,""))),"")</f>
        <v/>
      </c>
      <c r="L389" s="15" t="str">
        <f aca="false">IF(AND(K389&lt;&gt;"",P388&lt;&gt;""),K389/P388,IF(K389&lt;&gt;"",K389/$D$2,""))</f>
        <v/>
      </c>
      <c r="M389" s="20"/>
      <c r="N389" s="20"/>
      <c r="O389" s="20"/>
      <c r="P389" s="16" t="str">
        <f aca="false">IF(K389&lt;&gt;"",P388+K389,IF(B389&lt;&gt;"",P388,""))</f>
        <v/>
      </c>
      <c r="Q389" s="17" t="str">
        <f aca="false">IF(P389&lt;&gt;"",MIN(0,P389-MAX($P$4:P389)),"")</f>
        <v/>
      </c>
    </row>
    <row r="390" customFormat="false" ht="15" hidden="false" customHeight="true" outlineLevel="0" collapsed="false">
      <c r="A390" s="11" t="str">
        <f aca="false">IF(B390&lt;&gt;"",COUNTA($B$4:B390),"")</f>
        <v/>
      </c>
      <c r="B390" s="12"/>
      <c r="C390" s="12"/>
      <c r="D390" s="12"/>
      <c r="E390" s="12"/>
      <c r="F390" s="12"/>
      <c r="G390" s="12"/>
      <c r="H390" s="12"/>
      <c r="I390" s="13"/>
      <c r="J390" s="12"/>
      <c r="K390" s="14" t="str">
        <f aca="false">IF(AND(I390&lt;&gt;"",H390&lt;&gt;"",J390&lt;&gt;""),IF(J390="W",I390*H390,IF(J390="L",-I390,IF(J390="P",I390*H390*0.5,""))),"")</f>
        <v/>
      </c>
      <c r="L390" s="15" t="str">
        <f aca="false">IF(AND(K390&lt;&gt;"",P389&lt;&gt;""),K390/P389,IF(K390&lt;&gt;"",K390/$D$2,""))</f>
        <v/>
      </c>
      <c r="M390" s="12"/>
      <c r="N390" s="12"/>
      <c r="O390" s="12"/>
      <c r="P390" s="16" t="str">
        <f aca="false">IF(K390&lt;&gt;"",P389+K390,IF(B390&lt;&gt;"",P389,""))</f>
        <v/>
      </c>
      <c r="Q390" s="17" t="str">
        <f aca="false">IF(P390&lt;&gt;"",MIN(0,P390-MAX($P$4:P390)),"")</f>
        <v/>
      </c>
    </row>
    <row r="391" customFormat="false" ht="15" hidden="false" customHeight="true" outlineLevel="0" collapsed="false">
      <c r="A391" s="11" t="str">
        <f aca="false">IF(B391&lt;&gt;"",COUNTA($B$4:B391),"")</f>
        <v/>
      </c>
      <c r="B391" s="20"/>
      <c r="C391" s="20"/>
      <c r="D391" s="20"/>
      <c r="E391" s="20"/>
      <c r="F391" s="20"/>
      <c r="G391" s="20"/>
      <c r="H391" s="20"/>
      <c r="I391" s="21"/>
      <c r="J391" s="20"/>
      <c r="K391" s="14" t="str">
        <f aca="false">IF(AND(I391&lt;&gt;"",H391&lt;&gt;"",J391&lt;&gt;""),IF(J391="W",I391*H391,IF(J391="L",-I391,IF(J391="P",I391*H391*0.5,""))),"")</f>
        <v/>
      </c>
      <c r="L391" s="15" t="str">
        <f aca="false">IF(AND(K391&lt;&gt;"",P390&lt;&gt;""),K391/P390,IF(K391&lt;&gt;"",K391/$D$2,""))</f>
        <v/>
      </c>
      <c r="M391" s="20"/>
      <c r="N391" s="20"/>
      <c r="O391" s="20"/>
      <c r="P391" s="16" t="str">
        <f aca="false">IF(K391&lt;&gt;"",P390+K391,IF(B391&lt;&gt;"",P390,""))</f>
        <v/>
      </c>
      <c r="Q391" s="17" t="str">
        <f aca="false">IF(P391&lt;&gt;"",MIN(0,P391-MAX($P$4:P391)),"")</f>
        <v/>
      </c>
    </row>
    <row r="392" customFormat="false" ht="15" hidden="false" customHeight="true" outlineLevel="0" collapsed="false">
      <c r="A392" s="11" t="str">
        <f aca="false">IF(B392&lt;&gt;"",COUNTA($B$4:B392),"")</f>
        <v/>
      </c>
      <c r="B392" s="12"/>
      <c r="C392" s="12"/>
      <c r="D392" s="12"/>
      <c r="E392" s="12"/>
      <c r="F392" s="12"/>
      <c r="G392" s="12"/>
      <c r="H392" s="12"/>
      <c r="I392" s="13"/>
      <c r="J392" s="12"/>
      <c r="K392" s="14" t="str">
        <f aca="false">IF(AND(I392&lt;&gt;"",H392&lt;&gt;"",J392&lt;&gt;""),IF(J392="W",I392*H392,IF(J392="L",-I392,IF(J392="P",I392*H392*0.5,""))),"")</f>
        <v/>
      </c>
      <c r="L392" s="15" t="str">
        <f aca="false">IF(AND(K392&lt;&gt;"",P391&lt;&gt;""),K392/P391,IF(K392&lt;&gt;"",K392/$D$2,""))</f>
        <v/>
      </c>
      <c r="M392" s="12"/>
      <c r="N392" s="12"/>
      <c r="O392" s="12"/>
      <c r="P392" s="16" t="str">
        <f aca="false">IF(K392&lt;&gt;"",P391+K392,IF(B392&lt;&gt;"",P391,""))</f>
        <v/>
      </c>
      <c r="Q392" s="17" t="str">
        <f aca="false">IF(P392&lt;&gt;"",MIN(0,P392-MAX($P$4:P392)),"")</f>
        <v/>
      </c>
    </row>
    <row r="393" customFormat="false" ht="15" hidden="false" customHeight="true" outlineLevel="0" collapsed="false">
      <c r="A393" s="11" t="str">
        <f aca="false">IF(B393&lt;&gt;"",COUNTA($B$4:B393),"")</f>
        <v/>
      </c>
      <c r="B393" s="20"/>
      <c r="C393" s="20"/>
      <c r="D393" s="20"/>
      <c r="E393" s="20"/>
      <c r="F393" s="20"/>
      <c r="G393" s="20"/>
      <c r="H393" s="20"/>
      <c r="I393" s="21"/>
      <c r="J393" s="20"/>
      <c r="K393" s="14" t="str">
        <f aca="false">IF(AND(I393&lt;&gt;"",H393&lt;&gt;"",J393&lt;&gt;""),IF(J393="W",I393*H393,IF(J393="L",-I393,IF(J393="P",I393*H393*0.5,""))),"")</f>
        <v/>
      </c>
      <c r="L393" s="15" t="str">
        <f aca="false">IF(AND(K393&lt;&gt;"",P392&lt;&gt;""),K393/P392,IF(K393&lt;&gt;"",K393/$D$2,""))</f>
        <v/>
      </c>
      <c r="M393" s="20"/>
      <c r="N393" s="20"/>
      <c r="O393" s="20"/>
      <c r="P393" s="16" t="str">
        <f aca="false">IF(K393&lt;&gt;"",P392+K393,IF(B393&lt;&gt;"",P392,""))</f>
        <v/>
      </c>
      <c r="Q393" s="17" t="str">
        <f aca="false">IF(P393&lt;&gt;"",MIN(0,P393-MAX($P$4:P393)),"")</f>
        <v/>
      </c>
    </row>
    <row r="394" customFormat="false" ht="15" hidden="false" customHeight="true" outlineLevel="0" collapsed="false">
      <c r="A394" s="11" t="str">
        <f aca="false">IF(B394&lt;&gt;"",COUNTA($B$4:B394),"")</f>
        <v/>
      </c>
      <c r="B394" s="12"/>
      <c r="C394" s="12"/>
      <c r="D394" s="12"/>
      <c r="E394" s="12"/>
      <c r="F394" s="12"/>
      <c r="G394" s="12"/>
      <c r="H394" s="12"/>
      <c r="I394" s="13"/>
      <c r="J394" s="12"/>
      <c r="K394" s="14" t="str">
        <f aca="false">IF(AND(I394&lt;&gt;"",H394&lt;&gt;"",J394&lt;&gt;""),IF(J394="W",I394*H394,IF(J394="L",-I394,IF(J394="P",I394*H394*0.5,""))),"")</f>
        <v/>
      </c>
      <c r="L394" s="15" t="str">
        <f aca="false">IF(AND(K394&lt;&gt;"",P393&lt;&gt;""),K394/P393,IF(K394&lt;&gt;"",K394/$D$2,""))</f>
        <v/>
      </c>
      <c r="M394" s="12"/>
      <c r="N394" s="12"/>
      <c r="O394" s="12"/>
      <c r="P394" s="16" t="str">
        <f aca="false">IF(K394&lt;&gt;"",P393+K394,IF(B394&lt;&gt;"",P393,""))</f>
        <v/>
      </c>
      <c r="Q394" s="17" t="str">
        <f aca="false">IF(P394&lt;&gt;"",MIN(0,P394-MAX($P$4:P394)),"")</f>
        <v/>
      </c>
    </row>
    <row r="395" customFormat="false" ht="15" hidden="false" customHeight="true" outlineLevel="0" collapsed="false">
      <c r="A395" s="11" t="str">
        <f aca="false">IF(B395&lt;&gt;"",COUNTA($B$4:B395),"")</f>
        <v/>
      </c>
      <c r="B395" s="20"/>
      <c r="C395" s="20"/>
      <c r="D395" s="20"/>
      <c r="E395" s="20"/>
      <c r="F395" s="20"/>
      <c r="G395" s="20"/>
      <c r="H395" s="20"/>
      <c r="I395" s="21"/>
      <c r="J395" s="20"/>
      <c r="K395" s="14" t="str">
        <f aca="false">IF(AND(I395&lt;&gt;"",H395&lt;&gt;"",J395&lt;&gt;""),IF(J395="W",I395*H395,IF(J395="L",-I395,IF(J395="P",I395*H395*0.5,""))),"")</f>
        <v/>
      </c>
      <c r="L395" s="15" t="str">
        <f aca="false">IF(AND(K395&lt;&gt;"",P394&lt;&gt;""),K395/P394,IF(K395&lt;&gt;"",K395/$D$2,""))</f>
        <v/>
      </c>
      <c r="M395" s="20"/>
      <c r="N395" s="20"/>
      <c r="O395" s="20"/>
      <c r="P395" s="16" t="str">
        <f aca="false">IF(K395&lt;&gt;"",P394+K395,IF(B395&lt;&gt;"",P394,""))</f>
        <v/>
      </c>
      <c r="Q395" s="17" t="str">
        <f aca="false">IF(P395&lt;&gt;"",MIN(0,P395-MAX($P$4:P395)),"")</f>
        <v/>
      </c>
    </row>
    <row r="396" customFormat="false" ht="15" hidden="false" customHeight="true" outlineLevel="0" collapsed="false">
      <c r="A396" s="11" t="str">
        <f aca="false">IF(B396&lt;&gt;"",COUNTA($B$4:B396),"")</f>
        <v/>
      </c>
      <c r="B396" s="12"/>
      <c r="C396" s="12"/>
      <c r="D396" s="12"/>
      <c r="E396" s="12"/>
      <c r="F396" s="12"/>
      <c r="G396" s="12"/>
      <c r="H396" s="12"/>
      <c r="I396" s="13"/>
      <c r="J396" s="12"/>
      <c r="K396" s="14" t="str">
        <f aca="false">IF(AND(I396&lt;&gt;"",H396&lt;&gt;"",J396&lt;&gt;""),IF(J396="W",I396*H396,IF(J396="L",-I396,IF(J396="P",I396*H396*0.5,""))),"")</f>
        <v/>
      </c>
      <c r="L396" s="15" t="str">
        <f aca="false">IF(AND(K396&lt;&gt;"",P395&lt;&gt;""),K396/P395,IF(K396&lt;&gt;"",K396/$D$2,""))</f>
        <v/>
      </c>
      <c r="M396" s="12"/>
      <c r="N396" s="12"/>
      <c r="O396" s="12"/>
      <c r="P396" s="16" t="str">
        <f aca="false">IF(K396&lt;&gt;"",P395+K396,IF(B396&lt;&gt;"",P395,""))</f>
        <v/>
      </c>
      <c r="Q396" s="17" t="str">
        <f aca="false">IF(P396&lt;&gt;"",MIN(0,P396-MAX($P$4:P396)),"")</f>
        <v/>
      </c>
    </row>
    <row r="397" customFormat="false" ht="15" hidden="false" customHeight="true" outlineLevel="0" collapsed="false">
      <c r="A397" s="11" t="str">
        <f aca="false">IF(B397&lt;&gt;"",COUNTA($B$4:B397),"")</f>
        <v/>
      </c>
      <c r="B397" s="20"/>
      <c r="C397" s="20"/>
      <c r="D397" s="20"/>
      <c r="E397" s="20"/>
      <c r="F397" s="20"/>
      <c r="G397" s="20"/>
      <c r="H397" s="20"/>
      <c r="I397" s="21"/>
      <c r="J397" s="20"/>
      <c r="K397" s="14" t="str">
        <f aca="false">IF(AND(I397&lt;&gt;"",H397&lt;&gt;"",J397&lt;&gt;""),IF(J397="W",I397*H397,IF(J397="L",-I397,IF(J397="P",I397*H397*0.5,""))),"")</f>
        <v/>
      </c>
      <c r="L397" s="15" t="str">
        <f aca="false">IF(AND(K397&lt;&gt;"",P396&lt;&gt;""),K397/P396,IF(K397&lt;&gt;"",K397/$D$2,""))</f>
        <v/>
      </c>
      <c r="M397" s="20"/>
      <c r="N397" s="20"/>
      <c r="O397" s="20"/>
      <c r="P397" s="16" t="str">
        <f aca="false">IF(K397&lt;&gt;"",P396+K397,IF(B397&lt;&gt;"",P396,""))</f>
        <v/>
      </c>
      <c r="Q397" s="17" t="str">
        <f aca="false">IF(P397&lt;&gt;"",MIN(0,P397-MAX($P$4:P397)),"")</f>
        <v/>
      </c>
    </row>
    <row r="398" customFormat="false" ht="15" hidden="false" customHeight="true" outlineLevel="0" collapsed="false">
      <c r="A398" s="11" t="str">
        <f aca="false">IF(B398&lt;&gt;"",COUNTA($B$4:B398),"")</f>
        <v/>
      </c>
      <c r="B398" s="12"/>
      <c r="C398" s="12"/>
      <c r="D398" s="12"/>
      <c r="E398" s="12"/>
      <c r="F398" s="12"/>
      <c r="G398" s="12"/>
      <c r="H398" s="12"/>
      <c r="I398" s="13"/>
      <c r="J398" s="12"/>
      <c r="K398" s="14" t="str">
        <f aca="false">IF(AND(I398&lt;&gt;"",H398&lt;&gt;"",J398&lt;&gt;""),IF(J398="W",I398*H398,IF(J398="L",-I398,IF(J398="P",I398*H398*0.5,""))),"")</f>
        <v/>
      </c>
      <c r="L398" s="15" t="str">
        <f aca="false">IF(AND(K398&lt;&gt;"",P397&lt;&gt;""),K398/P397,IF(K398&lt;&gt;"",K398/$D$2,""))</f>
        <v/>
      </c>
      <c r="M398" s="12"/>
      <c r="N398" s="12"/>
      <c r="O398" s="12"/>
      <c r="P398" s="16" t="str">
        <f aca="false">IF(K398&lt;&gt;"",P397+K398,IF(B398&lt;&gt;"",P397,""))</f>
        <v/>
      </c>
      <c r="Q398" s="17" t="str">
        <f aca="false">IF(P398&lt;&gt;"",MIN(0,P398-MAX($P$4:P398)),"")</f>
        <v/>
      </c>
    </row>
    <row r="399" customFormat="false" ht="15" hidden="false" customHeight="true" outlineLevel="0" collapsed="false">
      <c r="A399" s="11" t="str">
        <f aca="false">IF(B399&lt;&gt;"",COUNTA($B$4:B399),"")</f>
        <v/>
      </c>
      <c r="B399" s="20"/>
      <c r="C399" s="20"/>
      <c r="D399" s="20"/>
      <c r="E399" s="20"/>
      <c r="F399" s="20"/>
      <c r="G399" s="20"/>
      <c r="H399" s="20"/>
      <c r="I399" s="21"/>
      <c r="J399" s="20"/>
      <c r="K399" s="14" t="str">
        <f aca="false">IF(AND(I399&lt;&gt;"",H399&lt;&gt;"",J399&lt;&gt;""),IF(J399="W",I399*H399,IF(J399="L",-I399,IF(J399="P",I399*H399*0.5,""))),"")</f>
        <v/>
      </c>
      <c r="L399" s="15" t="str">
        <f aca="false">IF(AND(K399&lt;&gt;"",P398&lt;&gt;""),K399/P398,IF(K399&lt;&gt;"",K399/$D$2,""))</f>
        <v/>
      </c>
      <c r="M399" s="20"/>
      <c r="N399" s="20"/>
      <c r="O399" s="20"/>
      <c r="P399" s="16" t="str">
        <f aca="false">IF(K399&lt;&gt;"",P398+K399,IF(B399&lt;&gt;"",P398,""))</f>
        <v/>
      </c>
      <c r="Q399" s="17" t="str">
        <f aca="false">IF(P399&lt;&gt;"",MIN(0,P399-MAX($P$4:P399)),"")</f>
        <v/>
      </c>
    </row>
    <row r="400" customFormat="false" ht="15" hidden="false" customHeight="true" outlineLevel="0" collapsed="false">
      <c r="A400" s="11" t="str">
        <f aca="false">IF(B400&lt;&gt;"",COUNTA($B$4:B400),"")</f>
        <v/>
      </c>
      <c r="B400" s="12"/>
      <c r="C400" s="12"/>
      <c r="D400" s="12"/>
      <c r="E400" s="12"/>
      <c r="F400" s="12"/>
      <c r="G400" s="12"/>
      <c r="H400" s="12"/>
      <c r="I400" s="13"/>
      <c r="J400" s="12"/>
      <c r="K400" s="14" t="str">
        <f aca="false">IF(AND(I400&lt;&gt;"",H400&lt;&gt;"",J400&lt;&gt;""),IF(J400="W",I400*H400,IF(J400="L",-I400,IF(J400="P",I400*H400*0.5,""))),"")</f>
        <v/>
      </c>
      <c r="L400" s="15" t="str">
        <f aca="false">IF(AND(K400&lt;&gt;"",P399&lt;&gt;""),K400/P399,IF(K400&lt;&gt;"",K400/$D$2,""))</f>
        <v/>
      </c>
      <c r="M400" s="12"/>
      <c r="N400" s="12"/>
      <c r="O400" s="12"/>
      <c r="P400" s="16" t="str">
        <f aca="false">IF(K400&lt;&gt;"",P399+K400,IF(B400&lt;&gt;"",P399,""))</f>
        <v/>
      </c>
      <c r="Q400" s="17" t="str">
        <f aca="false">IF(P400&lt;&gt;"",MIN(0,P400-MAX($P$4:P400)),"")</f>
        <v/>
      </c>
    </row>
    <row r="401" customFormat="false" ht="15" hidden="false" customHeight="true" outlineLevel="0" collapsed="false">
      <c r="A401" s="11" t="str">
        <f aca="false">IF(B401&lt;&gt;"",COUNTA($B$4:B401),"")</f>
        <v/>
      </c>
      <c r="B401" s="20"/>
      <c r="C401" s="20"/>
      <c r="D401" s="20"/>
      <c r="E401" s="20"/>
      <c r="F401" s="20"/>
      <c r="G401" s="20"/>
      <c r="H401" s="20"/>
      <c r="I401" s="21"/>
      <c r="J401" s="20"/>
      <c r="K401" s="14" t="str">
        <f aca="false">IF(AND(I401&lt;&gt;"",H401&lt;&gt;"",J401&lt;&gt;""),IF(J401="W",I401*H401,IF(J401="L",-I401,IF(J401="P",I401*H401*0.5,""))),"")</f>
        <v/>
      </c>
      <c r="L401" s="15" t="str">
        <f aca="false">IF(AND(K401&lt;&gt;"",P400&lt;&gt;""),K401/P400,IF(K401&lt;&gt;"",K401/$D$2,""))</f>
        <v/>
      </c>
      <c r="M401" s="20"/>
      <c r="N401" s="20"/>
      <c r="O401" s="20"/>
      <c r="P401" s="16" t="str">
        <f aca="false">IF(K401&lt;&gt;"",P400+K401,IF(B401&lt;&gt;"",P400,""))</f>
        <v/>
      </c>
      <c r="Q401" s="17" t="str">
        <f aca="false">IF(P401&lt;&gt;"",MIN(0,P401-MAX($P$4:P401)),"")</f>
        <v/>
      </c>
    </row>
    <row r="402" customFormat="false" ht="15" hidden="false" customHeight="true" outlineLevel="0" collapsed="false">
      <c r="A402" s="11" t="str">
        <f aca="false">IF(B402&lt;&gt;"",COUNTA($B$4:B402),"")</f>
        <v/>
      </c>
      <c r="B402" s="12"/>
      <c r="C402" s="12"/>
      <c r="D402" s="12"/>
      <c r="E402" s="12"/>
      <c r="F402" s="12"/>
      <c r="G402" s="12"/>
      <c r="H402" s="12"/>
      <c r="I402" s="13"/>
      <c r="J402" s="12"/>
      <c r="K402" s="14" t="str">
        <f aca="false">IF(AND(I402&lt;&gt;"",H402&lt;&gt;"",J402&lt;&gt;""),IF(J402="W",I402*H402,IF(J402="L",-I402,IF(J402="P",I402*H402*0.5,""))),"")</f>
        <v/>
      </c>
      <c r="L402" s="15" t="str">
        <f aca="false">IF(AND(K402&lt;&gt;"",P401&lt;&gt;""),K402/P401,IF(K402&lt;&gt;"",K402/$D$2,""))</f>
        <v/>
      </c>
      <c r="M402" s="12"/>
      <c r="N402" s="12"/>
      <c r="O402" s="12"/>
      <c r="P402" s="16" t="str">
        <f aca="false">IF(K402&lt;&gt;"",P401+K402,IF(B402&lt;&gt;"",P401,""))</f>
        <v/>
      </c>
      <c r="Q402" s="17" t="str">
        <f aca="false">IF(P402&lt;&gt;"",MIN(0,P402-MAX($P$4:P402)),"")</f>
        <v/>
      </c>
    </row>
    <row r="403" customFormat="false" ht="15" hidden="false" customHeight="true" outlineLevel="0" collapsed="false">
      <c r="A403" s="11" t="str">
        <f aca="false">IF(B403&lt;&gt;"",COUNTA($B$4:B403),"")</f>
        <v/>
      </c>
      <c r="B403" s="20"/>
      <c r="C403" s="20"/>
      <c r="D403" s="20"/>
      <c r="E403" s="20"/>
      <c r="F403" s="20"/>
      <c r="G403" s="20"/>
      <c r="H403" s="20"/>
      <c r="I403" s="21"/>
      <c r="J403" s="20"/>
      <c r="K403" s="14" t="str">
        <f aca="false">IF(AND(I403&lt;&gt;"",H403&lt;&gt;"",J403&lt;&gt;""),IF(J403="W",I403*H403,IF(J403="L",-I403,IF(J403="P",I403*H403*0.5,""))),"")</f>
        <v/>
      </c>
      <c r="L403" s="15" t="str">
        <f aca="false">IF(AND(K403&lt;&gt;"",P402&lt;&gt;""),K403/P402,IF(K403&lt;&gt;"",K403/$D$2,""))</f>
        <v/>
      </c>
      <c r="M403" s="20"/>
      <c r="N403" s="20"/>
      <c r="O403" s="20"/>
      <c r="P403" s="16" t="str">
        <f aca="false">IF(K403&lt;&gt;"",P402+K403,IF(B403&lt;&gt;"",P402,""))</f>
        <v/>
      </c>
      <c r="Q403" s="17" t="str">
        <f aca="false">IF(P403&lt;&gt;"",MIN(0,P403-MAX($P$4:P403)),"")</f>
        <v/>
      </c>
    </row>
    <row r="404" customFormat="false" ht="15" hidden="false" customHeight="true" outlineLevel="0" collapsed="false">
      <c r="A404" s="11" t="str">
        <f aca="false">IF(B404&lt;&gt;"",COUNTA($B$4:B404),"")</f>
        <v/>
      </c>
      <c r="B404" s="12"/>
      <c r="C404" s="12"/>
      <c r="D404" s="12"/>
      <c r="E404" s="12"/>
      <c r="F404" s="12"/>
      <c r="G404" s="12"/>
      <c r="H404" s="12"/>
      <c r="I404" s="13"/>
      <c r="J404" s="12"/>
      <c r="K404" s="14" t="str">
        <f aca="false">IF(AND(I404&lt;&gt;"",H404&lt;&gt;"",J404&lt;&gt;""),IF(J404="W",I404*H404,IF(J404="L",-I404,IF(J404="P",I404*H404*0.5,""))),"")</f>
        <v/>
      </c>
      <c r="L404" s="15" t="str">
        <f aca="false">IF(AND(K404&lt;&gt;"",P403&lt;&gt;""),K404/P403,IF(K404&lt;&gt;"",K404/$D$2,""))</f>
        <v/>
      </c>
      <c r="M404" s="12"/>
      <c r="N404" s="12"/>
      <c r="O404" s="12"/>
      <c r="P404" s="16" t="str">
        <f aca="false">IF(K404&lt;&gt;"",P403+K404,IF(B404&lt;&gt;"",P403,""))</f>
        <v/>
      </c>
      <c r="Q404" s="17" t="str">
        <f aca="false">IF(P404&lt;&gt;"",MIN(0,P404-MAX($P$4:P404)),"")</f>
        <v/>
      </c>
    </row>
    <row r="405" customFormat="false" ht="15" hidden="false" customHeight="true" outlineLevel="0" collapsed="false">
      <c r="A405" s="11" t="str">
        <f aca="false">IF(B405&lt;&gt;"",COUNTA($B$4:B405),"")</f>
        <v/>
      </c>
      <c r="B405" s="20"/>
      <c r="C405" s="20"/>
      <c r="D405" s="20"/>
      <c r="E405" s="20"/>
      <c r="F405" s="20"/>
      <c r="G405" s="20"/>
      <c r="H405" s="20"/>
      <c r="I405" s="21"/>
      <c r="J405" s="20"/>
      <c r="K405" s="14" t="str">
        <f aca="false">IF(AND(I405&lt;&gt;"",H405&lt;&gt;"",J405&lt;&gt;""),IF(J405="W",I405*H405,IF(J405="L",-I405,IF(J405="P",I405*H405*0.5,""))),"")</f>
        <v/>
      </c>
      <c r="L405" s="15" t="str">
        <f aca="false">IF(AND(K405&lt;&gt;"",P404&lt;&gt;""),K405/P404,IF(K405&lt;&gt;"",K405/$D$2,""))</f>
        <v/>
      </c>
      <c r="M405" s="20"/>
      <c r="N405" s="20"/>
      <c r="O405" s="20"/>
      <c r="P405" s="16" t="str">
        <f aca="false">IF(K405&lt;&gt;"",P404+K405,IF(B405&lt;&gt;"",P404,""))</f>
        <v/>
      </c>
      <c r="Q405" s="17" t="str">
        <f aca="false">IF(P405&lt;&gt;"",MIN(0,P405-MAX($P$4:P405)),"")</f>
        <v/>
      </c>
    </row>
    <row r="406" customFormat="false" ht="15" hidden="false" customHeight="true" outlineLevel="0" collapsed="false">
      <c r="A406" s="11" t="str">
        <f aca="false">IF(B406&lt;&gt;"",COUNTA($B$4:B406),"")</f>
        <v/>
      </c>
      <c r="B406" s="12"/>
      <c r="C406" s="12"/>
      <c r="D406" s="12"/>
      <c r="E406" s="12"/>
      <c r="F406" s="12"/>
      <c r="G406" s="12"/>
      <c r="H406" s="12"/>
      <c r="I406" s="13"/>
      <c r="J406" s="12"/>
      <c r="K406" s="14" t="str">
        <f aca="false">IF(AND(I406&lt;&gt;"",H406&lt;&gt;"",J406&lt;&gt;""),IF(J406="W",I406*H406,IF(J406="L",-I406,IF(J406="P",I406*H406*0.5,""))),"")</f>
        <v/>
      </c>
      <c r="L406" s="15" t="str">
        <f aca="false">IF(AND(K406&lt;&gt;"",P405&lt;&gt;""),K406/P405,IF(K406&lt;&gt;"",K406/$D$2,""))</f>
        <v/>
      </c>
      <c r="M406" s="12"/>
      <c r="N406" s="12"/>
      <c r="O406" s="12"/>
      <c r="P406" s="16" t="str">
        <f aca="false">IF(K406&lt;&gt;"",P405+K406,IF(B406&lt;&gt;"",P405,""))</f>
        <v/>
      </c>
      <c r="Q406" s="17" t="str">
        <f aca="false">IF(P406&lt;&gt;"",MIN(0,P406-MAX($P$4:P406)),"")</f>
        <v/>
      </c>
    </row>
    <row r="407" customFormat="false" ht="15" hidden="false" customHeight="true" outlineLevel="0" collapsed="false">
      <c r="A407" s="11" t="str">
        <f aca="false">IF(B407&lt;&gt;"",COUNTA($B$4:B407),"")</f>
        <v/>
      </c>
      <c r="B407" s="20"/>
      <c r="C407" s="20"/>
      <c r="D407" s="20"/>
      <c r="E407" s="20"/>
      <c r="F407" s="20"/>
      <c r="G407" s="20"/>
      <c r="H407" s="20"/>
      <c r="I407" s="21"/>
      <c r="J407" s="20"/>
      <c r="K407" s="14" t="str">
        <f aca="false">IF(AND(I407&lt;&gt;"",H407&lt;&gt;"",J407&lt;&gt;""),IF(J407="W",I407*H407,IF(J407="L",-I407,IF(J407="P",I407*H407*0.5,""))),"")</f>
        <v/>
      </c>
      <c r="L407" s="15" t="str">
        <f aca="false">IF(AND(K407&lt;&gt;"",P406&lt;&gt;""),K407/P406,IF(K407&lt;&gt;"",K407/$D$2,""))</f>
        <v/>
      </c>
      <c r="M407" s="20"/>
      <c r="N407" s="20"/>
      <c r="O407" s="20"/>
      <c r="P407" s="16" t="str">
        <f aca="false">IF(K407&lt;&gt;"",P406+K407,IF(B407&lt;&gt;"",P406,""))</f>
        <v/>
      </c>
      <c r="Q407" s="17" t="str">
        <f aca="false">IF(P407&lt;&gt;"",MIN(0,P407-MAX($P$4:P407)),"")</f>
        <v/>
      </c>
    </row>
    <row r="408" customFormat="false" ht="15" hidden="false" customHeight="true" outlineLevel="0" collapsed="false">
      <c r="A408" s="11" t="str">
        <f aca="false">IF(B408&lt;&gt;"",COUNTA($B$4:B408),"")</f>
        <v/>
      </c>
      <c r="B408" s="12"/>
      <c r="C408" s="12"/>
      <c r="D408" s="12"/>
      <c r="E408" s="12"/>
      <c r="F408" s="12"/>
      <c r="G408" s="12"/>
      <c r="H408" s="12"/>
      <c r="I408" s="13"/>
      <c r="J408" s="12"/>
      <c r="K408" s="14" t="str">
        <f aca="false">IF(AND(I408&lt;&gt;"",H408&lt;&gt;"",J408&lt;&gt;""),IF(J408="W",I408*H408,IF(J408="L",-I408,IF(J408="P",I408*H408*0.5,""))),"")</f>
        <v/>
      </c>
      <c r="L408" s="15" t="str">
        <f aca="false">IF(AND(K408&lt;&gt;"",P407&lt;&gt;""),K408/P407,IF(K408&lt;&gt;"",K408/$D$2,""))</f>
        <v/>
      </c>
      <c r="M408" s="12"/>
      <c r="N408" s="12"/>
      <c r="O408" s="12"/>
      <c r="P408" s="16" t="str">
        <f aca="false">IF(K408&lt;&gt;"",P407+K408,IF(B408&lt;&gt;"",P407,""))</f>
        <v/>
      </c>
      <c r="Q408" s="17" t="str">
        <f aca="false">IF(P408&lt;&gt;"",MIN(0,P408-MAX($P$4:P408)),"")</f>
        <v/>
      </c>
    </row>
    <row r="409" customFormat="false" ht="15" hidden="false" customHeight="true" outlineLevel="0" collapsed="false">
      <c r="A409" s="11" t="str">
        <f aca="false">IF(B409&lt;&gt;"",COUNTA($B$4:B409),"")</f>
        <v/>
      </c>
      <c r="B409" s="20"/>
      <c r="C409" s="20"/>
      <c r="D409" s="20"/>
      <c r="E409" s="20"/>
      <c r="F409" s="20"/>
      <c r="G409" s="20"/>
      <c r="H409" s="20"/>
      <c r="I409" s="21"/>
      <c r="J409" s="20"/>
      <c r="K409" s="14" t="str">
        <f aca="false">IF(AND(I409&lt;&gt;"",H409&lt;&gt;"",J409&lt;&gt;""),IF(J409="W",I409*H409,IF(J409="L",-I409,IF(J409="P",I409*H409*0.5,""))),"")</f>
        <v/>
      </c>
      <c r="L409" s="15" t="str">
        <f aca="false">IF(AND(K409&lt;&gt;"",P408&lt;&gt;""),K409/P408,IF(K409&lt;&gt;"",K409/$D$2,""))</f>
        <v/>
      </c>
      <c r="M409" s="20"/>
      <c r="N409" s="20"/>
      <c r="O409" s="20"/>
      <c r="P409" s="16" t="str">
        <f aca="false">IF(K409&lt;&gt;"",P408+K409,IF(B409&lt;&gt;"",P408,""))</f>
        <v/>
      </c>
      <c r="Q409" s="17" t="str">
        <f aca="false">IF(P409&lt;&gt;"",MIN(0,P409-MAX($P$4:P409)),"")</f>
        <v/>
      </c>
    </row>
    <row r="410" customFormat="false" ht="15" hidden="false" customHeight="true" outlineLevel="0" collapsed="false">
      <c r="A410" s="11" t="str">
        <f aca="false">IF(B410&lt;&gt;"",COUNTA($B$4:B410),"")</f>
        <v/>
      </c>
      <c r="B410" s="12"/>
      <c r="C410" s="12"/>
      <c r="D410" s="12"/>
      <c r="E410" s="12"/>
      <c r="F410" s="12"/>
      <c r="G410" s="12"/>
      <c r="H410" s="12"/>
      <c r="I410" s="13"/>
      <c r="J410" s="12"/>
      <c r="K410" s="14" t="str">
        <f aca="false">IF(AND(I410&lt;&gt;"",H410&lt;&gt;"",J410&lt;&gt;""),IF(J410="W",I410*H410,IF(J410="L",-I410,IF(J410="P",I410*H410*0.5,""))),"")</f>
        <v/>
      </c>
      <c r="L410" s="15" t="str">
        <f aca="false">IF(AND(K410&lt;&gt;"",P409&lt;&gt;""),K410/P409,IF(K410&lt;&gt;"",K410/$D$2,""))</f>
        <v/>
      </c>
      <c r="M410" s="12"/>
      <c r="N410" s="12"/>
      <c r="O410" s="12"/>
      <c r="P410" s="16" t="str">
        <f aca="false">IF(K410&lt;&gt;"",P409+K410,IF(B410&lt;&gt;"",P409,""))</f>
        <v/>
      </c>
      <c r="Q410" s="17" t="str">
        <f aca="false">IF(P410&lt;&gt;"",MIN(0,P410-MAX($P$4:P410)),"")</f>
        <v/>
      </c>
    </row>
    <row r="411" customFormat="false" ht="15" hidden="false" customHeight="true" outlineLevel="0" collapsed="false">
      <c r="A411" s="11" t="str">
        <f aca="false">IF(B411&lt;&gt;"",COUNTA($B$4:B411),"")</f>
        <v/>
      </c>
      <c r="B411" s="20"/>
      <c r="C411" s="20"/>
      <c r="D411" s="20"/>
      <c r="E411" s="20"/>
      <c r="F411" s="20"/>
      <c r="G411" s="20"/>
      <c r="H411" s="20"/>
      <c r="I411" s="21"/>
      <c r="J411" s="20"/>
      <c r="K411" s="14" t="str">
        <f aca="false">IF(AND(I411&lt;&gt;"",H411&lt;&gt;"",J411&lt;&gt;""),IF(J411="W",I411*H411,IF(J411="L",-I411,IF(J411="P",I411*H411*0.5,""))),"")</f>
        <v/>
      </c>
      <c r="L411" s="15" t="str">
        <f aca="false">IF(AND(K411&lt;&gt;"",P410&lt;&gt;""),K411/P410,IF(K411&lt;&gt;"",K411/$D$2,""))</f>
        <v/>
      </c>
      <c r="M411" s="20"/>
      <c r="N411" s="20"/>
      <c r="O411" s="20"/>
      <c r="P411" s="16" t="str">
        <f aca="false">IF(K411&lt;&gt;"",P410+K411,IF(B411&lt;&gt;"",P410,""))</f>
        <v/>
      </c>
      <c r="Q411" s="17" t="str">
        <f aca="false">IF(P411&lt;&gt;"",MIN(0,P411-MAX($P$4:P411)),"")</f>
        <v/>
      </c>
    </row>
    <row r="412" customFormat="false" ht="15" hidden="false" customHeight="true" outlineLevel="0" collapsed="false">
      <c r="A412" s="11" t="str">
        <f aca="false">IF(B412&lt;&gt;"",COUNTA($B$4:B412),"")</f>
        <v/>
      </c>
      <c r="B412" s="12"/>
      <c r="C412" s="12"/>
      <c r="D412" s="12"/>
      <c r="E412" s="12"/>
      <c r="F412" s="12"/>
      <c r="G412" s="12"/>
      <c r="H412" s="12"/>
      <c r="I412" s="13"/>
      <c r="J412" s="12"/>
      <c r="K412" s="14" t="str">
        <f aca="false">IF(AND(I412&lt;&gt;"",H412&lt;&gt;"",J412&lt;&gt;""),IF(J412="W",I412*H412,IF(J412="L",-I412,IF(J412="P",I412*H412*0.5,""))),"")</f>
        <v/>
      </c>
      <c r="L412" s="15" t="str">
        <f aca="false">IF(AND(K412&lt;&gt;"",P411&lt;&gt;""),K412/P411,IF(K412&lt;&gt;"",K412/$D$2,""))</f>
        <v/>
      </c>
      <c r="M412" s="12"/>
      <c r="N412" s="12"/>
      <c r="O412" s="12"/>
      <c r="P412" s="16" t="str">
        <f aca="false">IF(K412&lt;&gt;"",P411+K412,IF(B412&lt;&gt;"",P411,""))</f>
        <v/>
      </c>
      <c r="Q412" s="17" t="str">
        <f aca="false">IF(P412&lt;&gt;"",MIN(0,P412-MAX($P$4:P412)),"")</f>
        <v/>
      </c>
    </row>
    <row r="413" customFormat="false" ht="15" hidden="false" customHeight="true" outlineLevel="0" collapsed="false">
      <c r="A413" s="11" t="str">
        <f aca="false">IF(B413&lt;&gt;"",COUNTA($B$4:B413),"")</f>
        <v/>
      </c>
      <c r="B413" s="20"/>
      <c r="C413" s="20"/>
      <c r="D413" s="20"/>
      <c r="E413" s="20"/>
      <c r="F413" s="20"/>
      <c r="G413" s="20"/>
      <c r="H413" s="20"/>
      <c r="I413" s="21"/>
      <c r="J413" s="20"/>
      <c r="K413" s="14" t="str">
        <f aca="false">IF(AND(I413&lt;&gt;"",H413&lt;&gt;"",J413&lt;&gt;""),IF(J413="W",I413*H413,IF(J413="L",-I413,IF(J413="P",I413*H413*0.5,""))),"")</f>
        <v/>
      </c>
      <c r="L413" s="15" t="str">
        <f aca="false">IF(AND(K413&lt;&gt;"",P412&lt;&gt;""),K413/P412,IF(K413&lt;&gt;"",K413/$D$2,""))</f>
        <v/>
      </c>
      <c r="M413" s="20"/>
      <c r="N413" s="20"/>
      <c r="O413" s="20"/>
      <c r="P413" s="16" t="str">
        <f aca="false">IF(K413&lt;&gt;"",P412+K413,IF(B413&lt;&gt;"",P412,""))</f>
        <v/>
      </c>
      <c r="Q413" s="17" t="str">
        <f aca="false">IF(P413&lt;&gt;"",MIN(0,P413-MAX($P$4:P413)),"")</f>
        <v/>
      </c>
    </row>
    <row r="414" customFormat="false" ht="15" hidden="false" customHeight="true" outlineLevel="0" collapsed="false">
      <c r="A414" s="11" t="str">
        <f aca="false">IF(B414&lt;&gt;"",COUNTA($B$4:B414),"")</f>
        <v/>
      </c>
      <c r="B414" s="12"/>
      <c r="C414" s="12"/>
      <c r="D414" s="12"/>
      <c r="E414" s="12"/>
      <c r="F414" s="12"/>
      <c r="G414" s="12"/>
      <c r="H414" s="12"/>
      <c r="I414" s="13"/>
      <c r="J414" s="12"/>
      <c r="K414" s="14" t="str">
        <f aca="false">IF(AND(I414&lt;&gt;"",H414&lt;&gt;"",J414&lt;&gt;""),IF(J414="W",I414*H414,IF(J414="L",-I414,IF(J414="P",I414*H414*0.5,""))),"")</f>
        <v/>
      </c>
      <c r="L414" s="15" t="str">
        <f aca="false">IF(AND(K414&lt;&gt;"",P413&lt;&gt;""),K414/P413,IF(K414&lt;&gt;"",K414/$D$2,""))</f>
        <v/>
      </c>
      <c r="M414" s="12"/>
      <c r="N414" s="12"/>
      <c r="O414" s="12"/>
      <c r="P414" s="16" t="str">
        <f aca="false">IF(K414&lt;&gt;"",P413+K414,IF(B414&lt;&gt;"",P413,""))</f>
        <v/>
      </c>
      <c r="Q414" s="17" t="str">
        <f aca="false">IF(P414&lt;&gt;"",MIN(0,P414-MAX($P$4:P414)),"")</f>
        <v/>
      </c>
    </row>
    <row r="415" customFormat="false" ht="15" hidden="false" customHeight="true" outlineLevel="0" collapsed="false">
      <c r="A415" s="11" t="str">
        <f aca="false">IF(B415&lt;&gt;"",COUNTA($B$4:B415),"")</f>
        <v/>
      </c>
      <c r="B415" s="20"/>
      <c r="C415" s="20"/>
      <c r="D415" s="20"/>
      <c r="E415" s="20"/>
      <c r="F415" s="20"/>
      <c r="G415" s="20"/>
      <c r="H415" s="20"/>
      <c r="I415" s="21"/>
      <c r="J415" s="20"/>
      <c r="K415" s="14" t="str">
        <f aca="false">IF(AND(I415&lt;&gt;"",H415&lt;&gt;"",J415&lt;&gt;""),IF(J415="W",I415*H415,IF(J415="L",-I415,IF(J415="P",I415*H415*0.5,""))),"")</f>
        <v/>
      </c>
      <c r="L415" s="15" t="str">
        <f aca="false">IF(AND(K415&lt;&gt;"",P414&lt;&gt;""),K415/P414,IF(K415&lt;&gt;"",K415/$D$2,""))</f>
        <v/>
      </c>
      <c r="M415" s="20"/>
      <c r="N415" s="20"/>
      <c r="O415" s="20"/>
      <c r="P415" s="16" t="str">
        <f aca="false">IF(K415&lt;&gt;"",P414+K415,IF(B415&lt;&gt;"",P414,""))</f>
        <v/>
      </c>
      <c r="Q415" s="17" t="str">
        <f aca="false">IF(P415&lt;&gt;"",MIN(0,P415-MAX($P$4:P415)),"")</f>
        <v/>
      </c>
    </row>
    <row r="416" customFormat="false" ht="15" hidden="false" customHeight="true" outlineLevel="0" collapsed="false">
      <c r="A416" s="11" t="str">
        <f aca="false">IF(B416&lt;&gt;"",COUNTA($B$4:B416),"")</f>
        <v/>
      </c>
      <c r="B416" s="12"/>
      <c r="C416" s="12"/>
      <c r="D416" s="12"/>
      <c r="E416" s="12"/>
      <c r="F416" s="12"/>
      <c r="G416" s="12"/>
      <c r="H416" s="12"/>
      <c r="I416" s="13"/>
      <c r="J416" s="12"/>
      <c r="K416" s="14" t="str">
        <f aca="false">IF(AND(I416&lt;&gt;"",H416&lt;&gt;"",J416&lt;&gt;""),IF(J416="W",I416*H416,IF(J416="L",-I416,IF(J416="P",I416*H416*0.5,""))),"")</f>
        <v/>
      </c>
      <c r="L416" s="15" t="str">
        <f aca="false">IF(AND(K416&lt;&gt;"",P415&lt;&gt;""),K416/P415,IF(K416&lt;&gt;"",K416/$D$2,""))</f>
        <v/>
      </c>
      <c r="M416" s="12"/>
      <c r="N416" s="12"/>
      <c r="O416" s="12"/>
      <c r="P416" s="16" t="str">
        <f aca="false">IF(K416&lt;&gt;"",P415+K416,IF(B416&lt;&gt;"",P415,""))</f>
        <v/>
      </c>
      <c r="Q416" s="17" t="str">
        <f aca="false">IF(P416&lt;&gt;"",MIN(0,P416-MAX($P$4:P416)),"")</f>
        <v/>
      </c>
    </row>
    <row r="417" customFormat="false" ht="15" hidden="false" customHeight="true" outlineLevel="0" collapsed="false">
      <c r="A417" s="11" t="str">
        <f aca="false">IF(B417&lt;&gt;"",COUNTA($B$4:B417),"")</f>
        <v/>
      </c>
      <c r="B417" s="20"/>
      <c r="C417" s="20"/>
      <c r="D417" s="20"/>
      <c r="E417" s="20"/>
      <c r="F417" s="20"/>
      <c r="G417" s="20"/>
      <c r="H417" s="20"/>
      <c r="I417" s="21"/>
      <c r="J417" s="20"/>
      <c r="K417" s="14" t="str">
        <f aca="false">IF(AND(I417&lt;&gt;"",H417&lt;&gt;"",J417&lt;&gt;""),IF(J417="W",I417*H417,IF(J417="L",-I417,IF(J417="P",I417*H417*0.5,""))),"")</f>
        <v/>
      </c>
      <c r="L417" s="15" t="str">
        <f aca="false">IF(AND(K417&lt;&gt;"",P416&lt;&gt;""),K417/P416,IF(K417&lt;&gt;"",K417/$D$2,""))</f>
        <v/>
      </c>
      <c r="M417" s="20"/>
      <c r="N417" s="20"/>
      <c r="O417" s="20"/>
      <c r="P417" s="16" t="str">
        <f aca="false">IF(K417&lt;&gt;"",P416+K417,IF(B417&lt;&gt;"",P416,""))</f>
        <v/>
      </c>
      <c r="Q417" s="17" t="str">
        <f aca="false">IF(P417&lt;&gt;"",MIN(0,P417-MAX($P$4:P417)),"")</f>
        <v/>
      </c>
    </row>
    <row r="418" customFormat="false" ht="15" hidden="false" customHeight="true" outlineLevel="0" collapsed="false">
      <c r="A418" s="11" t="str">
        <f aca="false">IF(B418&lt;&gt;"",COUNTA($B$4:B418),"")</f>
        <v/>
      </c>
      <c r="B418" s="12"/>
      <c r="C418" s="12"/>
      <c r="D418" s="12"/>
      <c r="E418" s="12"/>
      <c r="F418" s="12"/>
      <c r="G418" s="12"/>
      <c r="H418" s="12"/>
      <c r="I418" s="13"/>
      <c r="J418" s="12"/>
      <c r="K418" s="14" t="str">
        <f aca="false">IF(AND(I418&lt;&gt;"",H418&lt;&gt;"",J418&lt;&gt;""),IF(J418="W",I418*H418,IF(J418="L",-I418,IF(J418="P",I418*H418*0.5,""))),"")</f>
        <v/>
      </c>
      <c r="L418" s="15" t="str">
        <f aca="false">IF(AND(K418&lt;&gt;"",P417&lt;&gt;""),K418/P417,IF(K418&lt;&gt;"",K418/$D$2,""))</f>
        <v/>
      </c>
      <c r="M418" s="12"/>
      <c r="N418" s="12"/>
      <c r="O418" s="12"/>
      <c r="P418" s="16" t="str">
        <f aca="false">IF(K418&lt;&gt;"",P417+K418,IF(B418&lt;&gt;"",P417,""))</f>
        <v/>
      </c>
      <c r="Q418" s="17" t="str">
        <f aca="false">IF(P418&lt;&gt;"",MIN(0,P418-MAX($P$4:P418)),"")</f>
        <v/>
      </c>
    </row>
    <row r="419" customFormat="false" ht="15" hidden="false" customHeight="true" outlineLevel="0" collapsed="false">
      <c r="A419" s="11" t="str">
        <f aca="false">IF(B419&lt;&gt;"",COUNTA($B$4:B419),"")</f>
        <v/>
      </c>
      <c r="B419" s="20"/>
      <c r="C419" s="20"/>
      <c r="D419" s="20"/>
      <c r="E419" s="20"/>
      <c r="F419" s="20"/>
      <c r="G419" s="20"/>
      <c r="H419" s="20"/>
      <c r="I419" s="21"/>
      <c r="J419" s="20"/>
      <c r="K419" s="14" t="str">
        <f aca="false">IF(AND(I419&lt;&gt;"",H419&lt;&gt;"",J419&lt;&gt;""),IF(J419="W",I419*H419,IF(J419="L",-I419,IF(J419="P",I419*H419*0.5,""))),"")</f>
        <v/>
      </c>
      <c r="L419" s="15" t="str">
        <f aca="false">IF(AND(K419&lt;&gt;"",P418&lt;&gt;""),K419/P418,IF(K419&lt;&gt;"",K419/$D$2,""))</f>
        <v/>
      </c>
      <c r="M419" s="20"/>
      <c r="N419" s="20"/>
      <c r="O419" s="20"/>
      <c r="P419" s="16" t="str">
        <f aca="false">IF(K419&lt;&gt;"",P418+K419,IF(B419&lt;&gt;"",P418,""))</f>
        <v/>
      </c>
      <c r="Q419" s="17" t="str">
        <f aca="false">IF(P419&lt;&gt;"",MIN(0,P419-MAX($P$4:P419)),"")</f>
        <v/>
      </c>
    </row>
    <row r="420" customFormat="false" ht="15" hidden="false" customHeight="true" outlineLevel="0" collapsed="false">
      <c r="A420" s="11" t="str">
        <f aca="false">IF(B420&lt;&gt;"",COUNTA($B$4:B420),"")</f>
        <v/>
      </c>
      <c r="B420" s="12"/>
      <c r="C420" s="12"/>
      <c r="D420" s="12"/>
      <c r="E420" s="12"/>
      <c r="F420" s="12"/>
      <c r="G420" s="12"/>
      <c r="H420" s="12"/>
      <c r="I420" s="13"/>
      <c r="J420" s="12"/>
      <c r="K420" s="14" t="str">
        <f aca="false">IF(AND(I420&lt;&gt;"",H420&lt;&gt;"",J420&lt;&gt;""),IF(J420="W",I420*H420,IF(J420="L",-I420,IF(J420="P",I420*H420*0.5,""))),"")</f>
        <v/>
      </c>
      <c r="L420" s="15" t="str">
        <f aca="false">IF(AND(K420&lt;&gt;"",P419&lt;&gt;""),K420/P419,IF(K420&lt;&gt;"",K420/$D$2,""))</f>
        <v/>
      </c>
      <c r="M420" s="12"/>
      <c r="N420" s="12"/>
      <c r="O420" s="12"/>
      <c r="P420" s="16" t="str">
        <f aca="false">IF(K420&lt;&gt;"",P419+K420,IF(B420&lt;&gt;"",P419,""))</f>
        <v/>
      </c>
      <c r="Q420" s="17" t="str">
        <f aca="false">IF(P420&lt;&gt;"",MIN(0,P420-MAX($P$4:P420)),"")</f>
        <v/>
      </c>
    </row>
    <row r="421" customFormat="false" ht="15" hidden="false" customHeight="true" outlineLevel="0" collapsed="false">
      <c r="A421" s="11" t="str">
        <f aca="false">IF(B421&lt;&gt;"",COUNTA($B$4:B421),"")</f>
        <v/>
      </c>
      <c r="B421" s="20"/>
      <c r="C421" s="20"/>
      <c r="D421" s="20"/>
      <c r="E421" s="20"/>
      <c r="F421" s="20"/>
      <c r="G421" s="20"/>
      <c r="H421" s="20"/>
      <c r="I421" s="21"/>
      <c r="J421" s="20"/>
      <c r="K421" s="14" t="str">
        <f aca="false">IF(AND(I421&lt;&gt;"",H421&lt;&gt;"",J421&lt;&gt;""),IF(J421="W",I421*H421,IF(J421="L",-I421,IF(J421="P",I421*H421*0.5,""))),"")</f>
        <v/>
      </c>
      <c r="L421" s="15" t="str">
        <f aca="false">IF(AND(K421&lt;&gt;"",P420&lt;&gt;""),K421/P420,IF(K421&lt;&gt;"",K421/$D$2,""))</f>
        <v/>
      </c>
      <c r="M421" s="20"/>
      <c r="N421" s="20"/>
      <c r="O421" s="20"/>
      <c r="P421" s="16" t="str">
        <f aca="false">IF(K421&lt;&gt;"",P420+K421,IF(B421&lt;&gt;"",P420,""))</f>
        <v/>
      </c>
      <c r="Q421" s="17" t="str">
        <f aca="false">IF(P421&lt;&gt;"",MIN(0,P421-MAX($P$4:P421)),"")</f>
        <v/>
      </c>
    </row>
    <row r="422" customFormat="false" ht="15" hidden="false" customHeight="true" outlineLevel="0" collapsed="false">
      <c r="A422" s="11" t="str">
        <f aca="false">IF(B422&lt;&gt;"",COUNTA($B$4:B422),"")</f>
        <v/>
      </c>
      <c r="B422" s="12"/>
      <c r="C422" s="12"/>
      <c r="D422" s="12"/>
      <c r="E422" s="12"/>
      <c r="F422" s="12"/>
      <c r="G422" s="12"/>
      <c r="H422" s="12"/>
      <c r="I422" s="13"/>
      <c r="J422" s="12"/>
      <c r="K422" s="14" t="str">
        <f aca="false">IF(AND(I422&lt;&gt;"",H422&lt;&gt;"",J422&lt;&gt;""),IF(J422="W",I422*H422,IF(J422="L",-I422,IF(J422="P",I422*H422*0.5,""))),"")</f>
        <v/>
      </c>
      <c r="L422" s="15" t="str">
        <f aca="false">IF(AND(K422&lt;&gt;"",P421&lt;&gt;""),K422/P421,IF(K422&lt;&gt;"",K422/$D$2,""))</f>
        <v/>
      </c>
      <c r="M422" s="12"/>
      <c r="N422" s="12"/>
      <c r="O422" s="12"/>
      <c r="P422" s="16" t="str">
        <f aca="false">IF(K422&lt;&gt;"",P421+K422,IF(B422&lt;&gt;"",P421,""))</f>
        <v/>
      </c>
      <c r="Q422" s="17" t="str">
        <f aca="false">IF(P422&lt;&gt;"",MIN(0,P422-MAX($P$4:P422)),"")</f>
        <v/>
      </c>
    </row>
    <row r="423" customFormat="false" ht="15" hidden="false" customHeight="true" outlineLevel="0" collapsed="false">
      <c r="A423" s="11" t="str">
        <f aca="false">IF(B423&lt;&gt;"",COUNTA($B$4:B423),"")</f>
        <v/>
      </c>
      <c r="B423" s="20"/>
      <c r="C423" s="20"/>
      <c r="D423" s="20"/>
      <c r="E423" s="20"/>
      <c r="F423" s="20"/>
      <c r="G423" s="20"/>
      <c r="H423" s="20"/>
      <c r="I423" s="21"/>
      <c r="J423" s="20"/>
      <c r="K423" s="14" t="str">
        <f aca="false">IF(AND(I423&lt;&gt;"",H423&lt;&gt;"",J423&lt;&gt;""),IF(J423="W",I423*H423,IF(J423="L",-I423,IF(J423="P",I423*H423*0.5,""))),"")</f>
        <v/>
      </c>
      <c r="L423" s="15" t="str">
        <f aca="false">IF(AND(K423&lt;&gt;"",P422&lt;&gt;""),K423/P422,IF(K423&lt;&gt;"",K423/$D$2,""))</f>
        <v/>
      </c>
      <c r="M423" s="20"/>
      <c r="N423" s="20"/>
      <c r="O423" s="20"/>
      <c r="P423" s="16" t="str">
        <f aca="false">IF(K423&lt;&gt;"",P422+K423,IF(B423&lt;&gt;"",P422,""))</f>
        <v/>
      </c>
      <c r="Q423" s="17" t="str">
        <f aca="false">IF(P423&lt;&gt;"",MIN(0,P423-MAX($P$4:P423)),"")</f>
        <v/>
      </c>
    </row>
    <row r="424" customFormat="false" ht="15" hidden="false" customHeight="true" outlineLevel="0" collapsed="false">
      <c r="A424" s="11" t="str">
        <f aca="false">IF(B424&lt;&gt;"",COUNTA($B$4:B424),"")</f>
        <v/>
      </c>
      <c r="B424" s="12"/>
      <c r="C424" s="12"/>
      <c r="D424" s="12"/>
      <c r="E424" s="12"/>
      <c r="F424" s="12"/>
      <c r="G424" s="12"/>
      <c r="H424" s="12"/>
      <c r="I424" s="13"/>
      <c r="J424" s="12"/>
      <c r="K424" s="14" t="str">
        <f aca="false">IF(AND(I424&lt;&gt;"",H424&lt;&gt;"",J424&lt;&gt;""),IF(J424="W",I424*H424,IF(J424="L",-I424,IF(J424="P",I424*H424*0.5,""))),"")</f>
        <v/>
      </c>
      <c r="L424" s="15" t="str">
        <f aca="false">IF(AND(K424&lt;&gt;"",P423&lt;&gt;""),K424/P423,IF(K424&lt;&gt;"",K424/$D$2,""))</f>
        <v/>
      </c>
      <c r="M424" s="12"/>
      <c r="N424" s="12"/>
      <c r="O424" s="12"/>
      <c r="P424" s="16" t="str">
        <f aca="false">IF(K424&lt;&gt;"",P423+K424,IF(B424&lt;&gt;"",P423,""))</f>
        <v/>
      </c>
      <c r="Q424" s="17" t="str">
        <f aca="false">IF(P424&lt;&gt;"",MIN(0,P424-MAX($P$4:P424)),"")</f>
        <v/>
      </c>
    </row>
    <row r="425" customFormat="false" ht="15" hidden="false" customHeight="true" outlineLevel="0" collapsed="false">
      <c r="A425" s="11" t="str">
        <f aca="false">IF(B425&lt;&gt;"",COUNTA($B$4:B425),"")</f>
        <v/>
      </c>
      <c r="B425" s="20"/>
      <c r="C425" s="20"/>
      <c r="D425" s="20"/>
      <c r="E425" s="20"/>
      <c r="F425" s="20"/>
      <c r="G425" s="20"/>
      <c r="H425" s="20"/>
      <c r="I425" s="21"/>
      <c r="J425" s="20"/>
      <c r="K425" s="14" t="str">
        <f aca="false">IF(AND(I425&lt;&gt;"",H425&lt;&gt;"",J425&lt;&gt;""),IF(J425="W",I425*H425,IF(J425="L",-I425,IF(J425="P",I425*H425*0.5,""))),"")</f>
        <v/>
      </c>
      <c r="L425" s="15" t="str">
        <f aca="false">IF(AND(K425&lt;&gt;"",P424&lt;&gt;""),K425/P424,IF(K425&lt;&gt;"",K425/$D$2,""))</f>
        <v/>
      </c>
      <c r="M425" s="20"/>
      <c r="N425" s="20"/>
      <c r="O425" s="20"/>
      <c r="P425" s="16" t="str">
        <f aca="false">IF(K425&lt;&gt;"",P424+K425,IF(B425&lt;&gt;"",P424,""))</f>
        <v/>
      </c>
      <c r="Q425" s="17" t="str">
        <f aca="false">IF(P425&lt;&gt;"",MIN(0,P425-MAX($P$4:P425)),"")</f>
        <v/>
      </c>
    </row>
    <row r="426" customFormat="false" ht="15" hidden="false" customHeight="true" outlineLevel="0" collapsed="false">
      <c r="A426" s="11" t="str">
        <f aca="false">IF(B426&lt;&gt;"",COUNTA($B$4:B426),"")</f>
        <v/>
      </c>
      <c r="B426" s="12"/>
      <c r="C426" s="12"/>
      <c r="D426" s="12"/>
      <c r="E426" s="12"/>
      <c r="F426" s="12"/>
      <c r="G426" s="12"/>
      <c r="H426" s="12"/>
      <c r="I426" s="13"/>
      <c r="J426" s="12"/>
      <c r="K426" s="14" t="str">
        <f aca="false">IF(AND(I426&lt;&gt;"",H426&lt;&gt;"",J426&lt;&gt;""),IF(J426="W",I426*H426,IF(J426="L",-I426,IF(J426="P",I426*H426*0.5,""))),"")</f>
        <v/>
      </c>
      <c r="L426" s="15" t="str">
        <f aca="false">IF(AND(K426&lt;&gt;"",P425&lt;&gt;""),K426/P425,IF(K426&lt;&gt;"",K426/$D$2,""))</f>
        <v/>
      </c>
      <c r="M426" s="12"/>
      <c r="N426" s="12"/>
      <c r="O426" s="12"/>
      <c r="P426" s="16" t="str">
        <f aca="false">IF(K426&lt;&gt;"",P425+K426,IF(B426&lt;&gt;"",P425,""))</f>
        <v/>
      </c>
      <c r="Q426" s="17" t="str">
        <f aca="false">IF(P426&lt;&gt;"",MIN(0,P426-MAX($P$4:P426)),"")</f>
        <v/>
      </c>
    </row>
    <row r="427" customFormat="false" ht="15" hidden="false" customHeight="true" outlineLevel="0" collapsed="false">
      <c r="A427" s="11" t="str">
        <f aca="false">IF(B427&lt;&gt;"",COUNTA($B$4:B427),"")</f>
        <v/>
      </c>
      <c r="B427" s="20"/>
      <c r="C427" s="20"/>
      <c r="D427" s="20"/>
      <c r="E427" s="20"/>
      <c r="F427" s="20"/>
      <c r="G427" s="20"/>
      <c r="H427" s="20"/>
      <c r="I427" s="21"/>
      <c r="J427" s="20"/>
      <c r="K427" s="14" t="str">
        <f aca="false">IF(AND(I427&lt;&gt;"",H427&lt;&gt;"",J427&lt;&gt;""),IF(J427="W",I427*H427,IF(J427="L",-I427,IF(J427="P",I427*H427*0.5,""))),"")</f>
        <v/>
      </c>
      <c r="L427" s="15" t="str">
        <f aca="false">IF(AND(K427&lt;&gt;"",P426&lt;&gt;""),K427/P426,IF(K427&lt;&gt;"",K427/$D$2,""))</f>
        <v/>
      </c>
      <c r="M427" s="20"/>
      <c r="N427" s="20"/>
      <c r="O427" s="20"/>
      <c r="P427" s="16" t="str">
        <f aca="false">IF(K427&lt;&gt;"",P426+K427,IF(B427&lt;&gt;"",P426,""))</f>
        <v/>
      </c>
      <c r="Q427" s="17" t="str">
        <f aca="false">IF(P427&lt;&gt;"",MIN(0,P427-MAX($P$4:P427)),"")</f>
        <v/>
      </c>
    </row>
    <row r="428" customFormat="false" ht="15" hidden="false" customHeight="true" outlineLevel="0" collapsed="false">
      <c r="A428" s="11" t="str">
        <f aca="false">IF(B428&lt;&gt;"",COUNTA($B$4:B428),"")</f>
        <v/>
      </c>
      <c r="B428" s="12"/>
      <c r="C428" s="12"/>
      <c r="D428" s="12"/>
      <c r="E428" s="12"/>
      <c r="F428" s="12"/>
      <c r="G428" s="12"/>
      <c r="H428" s="12"/>
      <c r="I428" s="13"/>
      <c r="J428" s="12"/>
      <c r="K428" s="14" t="str">
        <f aca="false">IF(AND(I428&lt;&gt;"",H428&lt;&gt;"",J428&lt;&gt;""),IF(J428="W",I428*H428,IF(J428="L",-I428,IF(J428="P",I428*H428*0.5,""))),"")</f>
        <v/>
      </c>
      <c r="L428" s="15" t="str">
        <f aca="false">IF(AND(K428&lt;&gt;"",P427&lt;&gt;""),K428/P427,IF(K428&lt;&gt;"",K428/$D$2,""))</f>
        <v/>
      </c>
      <c r="M428" s="12"/>
      <c r="N428" s="12"/>
      <c r="O428" s="12"/>
      <c r="P428" s="16" t="str">
        <f aca="false">IF(K428&lt;&gt;"",P427+K428,IF(B428&lt;&gt;"",P427,""))</f>
        <v/>
      </c>
      <c r="Q428" s="17" t="str">
        <f aca="false">IF(P428&lt;&gt;"",MIN(0,P428-MAX($P$4:P428)),"")</f>
        <v/>
      </c>
    </row>
    <row r="429" customFormat="false" ht="15" hidden="false" customHeight="true" outlineLevel="0" collapsed="false">
      <c r="A429" s="11" t="str">
        <f aca="false">IF(B429&lt;&gt;"",COUNTA($B$4:B429),"")</f>
        <v/>
      </c>
      <c r="B429" s="20"/>
      <c r="C429" s="20"/>
      <c r="D429" s="20"/>
      <c r="E429" s="20"/>
      <c r="F429" s="20"/>
      <c r="G429" s="20"/>
      <c r="H429" s="20"/>
      <c r="I429" s="21"/>
      <c r="J429" s="20"/>
      <c r="K429" s="14" t="str">
        <f aca="false">IF(AND(I429&lt;&gt;"",H429&lt;&gt;"",J429&lt;&gt;""),IF(J429="W",I429*H429,IF(J429="L",-I429,IF(J429="P",I429*H429*0.5,""))),"")</f>
        <v/>
      </c>
      <c r="L429" s="15" t="str">
        <f aca="false">IF(AND(K429&lt;&gt;"",P428&lt;&gt;""),K429/P428,IF(K429&lt;&gt;"",K429/$D$2,""))</f>
        <v/>
      </c>
      <c r="M429" s="20"/>
      <c r="N429" s="20"/>
      <c r="O429" s="20"/>
      <c r="P429" s="16" t="str">
        <f aca="false">IF(K429&lt;&gt;"",P428+K429,IF(B429&lt;&gt;"",P428,""))</f>
        <v/>
      </c>
      <c r="Q429" s="17" t="str">
        <f aca="false">IF(P429&lt;&gt;"",MIN(0,P429-MAX($P$4:P429)),"")</f>
        <v/>
      </c>
    </row>
    <row r="430" customFormat="false" ht="15" hidden="false" customHeight="true" outlineLevel="0" collapsed="false">
      <c r="A430" s="11" t="str">
        <f aca="false">IF(B430&lt;&gt;"",COUNTA($B$4:B430),"")</f>
        <v/>
      </c>
      <c r="B430" s="12"/>
      <c r="C430" s="12"/>
      <c r="D430" s="12"/>
      <c r="E430" s="12"/>
      <c r="F430" s="12"/>
      <c r="G430" s="12"/>
      <c r="H430" s="12"/>
      <c r="I430" s="13"/>
      <c r="J430" s="12"/>
      <c r="K430" s="14" t="str">
        <f aca="false">IF(AND(I430&lt;&gt;"",H430&lt;&gt;"",J430&lt;&gt;""),IF(J430="W",I430*H430,IF(J430="L",-I430,IF(J430="P",I430*H430*0.5,""))),"")</f>
        <v/>
      </c>
      <c r="L430" s="15" t="str">
        <f aca="false">IF(AND(K430&lt;&gt;"",P429&lt;&gt;""),K430/P429,IF(K430&lt;&gt;"",K430/$D$2,""))</f>
        <v/>
      </c>
      <c r="M430" s="12"/>
      <c r="N430" s="12"/>
      <c r="O430" s="12"/>
      <c r="P430" s="16" t="str">
        <f aca="false">IF(K430&lt;&gt;"",P429+K430,IF(B430&lt;&gt;"",P429,""))</f>
        <v/>
      </c>
      <c r="Q430" s="17" t="str">
        <f aca="false">IF(P430&lt;&gt;"",MIN(0,P430-MAX($P$4:P430)),"")</f>
        <v/>
      </c>
    </row>
    <row r="431" customFormat="false" ht="15" hidden="false" customHeight="true" outlineLevel="0" collapsed="false">
      <c r="A431" s="11" t="str">
        <f aca="false">IF(B431&lt;&gt;"",COUNTA($B$4:B431),"")</f>
        <v/>
      </c>
      <c r="B431" s="20"/>
      <c r="C431" s="20"/>
      <c r="D431" s="20"/>
      <c r="E431" s="20"/>
      <c r="F431" s="20"/>
      <c r="G431" s="20"/>
      <c r="H431" s="20"/>
      <c r="I431" s="21"/>
      <c r="J431" s="20"/>
      <c r="K431" s="14" t="str">
        <f aca="false">IF(AND(I431&lt;&gt;"",H431&lt;&gt;"",J431&lt;&gt;""),IF(J431="W",I431*H431,IF(J431="L",-I431,IF(J431="P",I431*H431*0.5,""))),"")</f>
        <v/>
      </c>
      <c r="L431" s="15" t="str">
        <f aca="false">IF(AND(K431&lt;&gt;"",P430&lt;&gt;""),K431/P430,IF(K431&lt;&gt;"",K431/$D$2,""))</f>
        <v/>
      </c>
      <c r="M431" s="20"/>
      <c r="N431" s="20"/>
      <c r="O431" s="20"/>
      <c r="P431" s="16" t="str">
        <f aca="false">IF(K431&lt;&gt;"",P430+K431,IF(B431&lt;&gt;"",P430,""))</f>
        <v/>
      </c>
      <c r="Q431" s="17" t="str">
        <f aca="false">IF(P431&lt;&gt;"",MIN(0,P431-MAX($P$4:P431)),"")</f>
        <v/>
      </c>
    </row>
    <row r="432" customFormat="false" ht="15" hidden="false" customHeight="true" outlineLevel="0" collapsed="false">
      <c r="A432" s="11" t="str">
        <f aca="false">IF(B432&lt;&gt;"",COUNTA($B$4:B432),"")</f>
        <v/>
      </c>
      <c r="B432" s="12"/>
      <c r="C432" s="12"/>
      <c r="D432" s="12"/>
      <c r="E432" s="12"/>
      <c r="F432" s="12"/>
      <c r="G432" s="12"/>
      <c r="H432" s="12"/>
      <c r="I432" s="13"/>
      <c r="J432" s="12"/>
      <c r="K432" s="14" t="str">
        <f aca="false">IF(AND(I432&lt;&gt;"",H432&lt;&gt;"",J432&lt;&gt;""),IF(J432="W",I432*H432,IF(J432="L",-I432,IF(J432="P",I432*H432*0.5,""))),"")</f>
        <v/>
      </c>
      <c r="L432" s="15" t="str">
        <f aca="false">IF(AND(K432&lt;&gt;"",P431&lt;&gt;""),K432/P431,IF(K432&lt;&gt;"",K432/$D$2,""))</f>
        <v/>
      </c>
      <c r="M432" s="12"/>
      <c r="N432" s="12"/>
      <c r="O432" s="12"/>
      <c r="P432" s="16" t="str">
        <f aca="false">IF(K432&lt;&gt;"",P431+K432,IF(B432&lt;&gt;"",P431,""))</f>
        <v/>
      </c>
      <c r="Q432" s="17" t="str">
        <f aca="false">IF(P432&lt;&gt;"",MIN(0,P432-MAX($P$4:P432)),"")</f>
        <v/>
      </c>
    </row>
    <row r="433" customFormat="false" ht="15" hidden="false" customHeight="true" outlineLevel="0" collapsed="false">
      <c r="A433" s="11" t="str">
        <f aca="false">IF(B433&lt;&gt;"",COUNTA($B$4:B433),"")</f>
        <v/>
      </c>
      <c r="B433" s="20"/>
      <c r="C433" s="20"/>
      <c r="D433" s="20"/>
      <c r="E433" s="20"/>
      <c r="F433" s="20"/>
      <c r="G433" s="20"/>
      <c r="H433" s="20"/>
      <c r="I433" s="21"/>
      <c r="J433" s="20"/>
      <c r="K433" s="14" t="str">
        <f aca="false">IF(AND(I433&lt;&gt;"",H433&lt;&gt;"",J433&lt;&gt;""),IF(J433="W",I433*H433,IF(J433="L",-I433,IF(J433="P",I433*H433*0.5,""))),"")</f>
        <v/>
      </c>
      <c r="L433" s="15" t="str">
        <f aca="false">IF(AND(K433&lt;&gt;"",P432&lt;&gt;""),K433/P432,IF(K433&lt;&gt;"",K433/$D$2,""))</f>
        <v/>
      </c>
      <c r="M433" s="20"/>
      <c r="N433" s="20"/>
      <c r="O433" s="20"/>
      <c r="P433" s="16" t="str">
        <f aca="false">IF(K433&lt;&gt;"",P432+K433,IF(B433&lt;&gt;"",P432,""))</f>
        <v/>
      </c>
      <c r="Q433" s="17" t="str">
        <f aca="false">IF(P433&lt;&gt;"",MIN(0,P433-MAX($P$4:P433)),"")</f>
        <v/>
      </c>
    </row>
    <row r="434" customFormat="false" ht="15" hidden="false" customHeight="true" outlineLevel="0" collapsed="false">
      <c r="A434" s="11" t="str">
        <f aca="false">IF(B434&lt;&gt;"",COUNTA($B$4:B434),"")</f>
        <v/>
      </c>
      <c r="B434" s="12"/>
      <c r="C434" s="12"/>
      <c r="D434" s="12"/>
      <c r="E434" s="12"/>
      <c r="F434" s="12"/>
      <c r="G434" s="12"/>
      <c r="H434" s="12"/>
      <c r="I434" s="13"/>
      <c r="J434" s="12"/>
      <c r="K434" s="14" t="str">
        <f aca="false">IF(AND(I434&lt;&gt;"",H434&lt;&gt;"",J434&lt;&gt;""),IF(J434="W",I434*H434,IF(J434="L",-I434,IF(J434="P",I434*H434*0.5,""))),"")</f>
        <v/>
      </c>
      <c r="L434" s="15" t="str">
        <f aca="false">IF(AND(K434&lt;&gt;"",P433&lt;&gt;""),K434/P433,IF(K434&lt;&gt;"",K434/$D$2,""))</f>
        <v/>
      </c>
      <c r="M434" s="12"/>
      <c r="N434" s="12"/>
      <c r="O434" s="12"/>
      <c r="P434" s="16" t="str">
        <f aca="false">IF(K434&lt;&gt;"",P433+K434,IF(B434&lt;&gt;"",P433,""))</f>
        <v/>
      </c>
      <c r="Q434" s="17" t="str">
        <f aca="false">IF(P434&lt;&gt;"",MIN(0,P434-MAX($P$4:P434)),"")</f>
        <v/>
      </c>
    </row>
    <row r="435" customFormat="false" ht="15" hidden="false" customHeight="true" outlineLevel="0" collapsed="false">
      <c r="A435" s="11" t="str">
        <f aca="false">IF(B435&lt;&gt;"",COUNTA($B$4:B435),"")</f>
        <v/>
      </c>
      <c r="B435" s="20"/>
      <c r="C435" s="20"/>
      <c r="D435" s="20"/>
      <c r="E435" s="20"/>
      <c r="F435" s="20"/>
      <c r="G435" s="20"/>
      <c r="H435" s="20"/>
      <c r="I435" s="21"/>
      <c r="J435" s="20"/>
      <c r="K435" s="14" t="str">
        <f aca="false">IF(AND(I435&lt;&gt;"",H435&lt;&gt;"",J435&lt;&gt;""),IF(J435="W",I435*H435,IF(J435="L",-I435,IF(J435="P",I435*H435*0.5,""))),"")</f>
        <v/>
      </c>
      <c r="L435" s="15" t="str">
        <f aca="false">IF(AND(K435&lt;&gt;"",P434&lt;&gt;""),K435/P434,IF(K435&lt;&gt;"",K435/$D$2,""))</f>
        <v/>
      </c>
      <c r="M435" s="20"/>
      <c r="N435" s="20"/>
      <c r="O435" s="20"/>
      <c r="P435" s="16" t="str">
        <f aca="false">IF(K435&lt;&gt;"",P434+K435,IF(B435&lt;&gt;"",P434,""))</f>
        <v/>
      </c>
      <c r="Q435" s="17" t="str">
        <f aca="false">IF(P435&lt;&gt;"",MIN(0,P435-MAX($P$4:P435)),"")</f>
        <v/>
      </c>
    </row>
    <row r="436" customFormat="false" ht="15" hidden="false" customHeight="true" outlineLevel="0" collapsed="false">
      <c r="A436" s="11" t="str">
        <f aca="false">IF(B436&lt;&gt;"",COUNTA($B$4:B436),"")</f>
        <v/>
      </c>
      <c r="B436" s="12"/>
      <c r="C436" s="12"/>
      <c r="D436" s="12"/>
      <c r="E436" s="12"/>
      <c r="F436" s="12"/>
      <c r="G436" s="12"/>
      <c r="H436" s="12"/>
      <c r="I436" s="13"/>
      <c r="J436" s="12"/>
      <c r="K436" s="14" t="str">
        <f aca="false">IF(AND(I436&lt;&gt;"",H436&lt;&gt;"",J436&lt;&gt;""),IF(J436="W",I436*H436,IF(J436="L",-I436,IF(J436="P",I436*H436*0.5,""))),"")</f>
        <v/>
      </c>
      <c r="L436" s="15" t="str">
        <f aca="false">IF(AND(K436&lt;&gt;"",P435&lt;&gt;""),K436/P435,IF(K436&lt;&gt;"",K436/$D$2,""))</f>
        <v/>
      </c>
      <c r="M436" s="12"/>
      <c r="N436" s="12"/>
      <c r="O436" s="12"/>
      <c r="P436" s="16" t="str">
        <f aca="false">IF(K436&lt;&gt;"",P435+K436,IF(B436&lt;&gt;"",P435,""))</f>
        <v/>
      </c>
      <c r="Q436" s="17" t="str">
        <f aca="false">IF(P436&lt;&gt;"",MIN(0,P436-MAX($P$4:P436)),"")</f>
        <v/>
      </c>
    </row>
    <row r="437" customFormat="false" ht="15" hidden="false" customHeight="true" outlineLevel="0" collapsed="false">
      <c r="A437" s="11" t="str">
        <f aca="false">IF(B437&lt;&gt;"",COUNTA($B$4:B437),"")</f>
        <v/>
      </c>
      <c r="B437" s="20"/>
      <c r="C437" s="20"/>
      <c r="D437" s="20"/>
      <c r="E437" s="20"/>
      <c r="F437" s="20"/>
      <c r="G437" s="20"/>
      <c r="H437" s="20"/>
      <c r="I437" s="21"/>
      <c r="J437" s="20"/>
      <c r="K437" s="14" t="str">
        <f aca="false">IF(AND(I437&lt;&gt;"",H437&lt;&gt;"",J437&lt;&gt;""),IF(J437="W",I437*H437,IF(J437="L",-I437,IF(J437="P",I437*H437*0.5,""))),"")</f>
        <v/>
      </c>
      <c r="L437" s="15" t="str">
        <f aca="false">IF(AND(K437&lt;&gt;"",P436&lt;&gt;""),K437/P436,IF(K437&lt;&gt;"",K437/$D$2,""))</f>
        <v/>
      </c>
      <c r="M437" s="20"/>
      <c r="N437" s="20"/>
      <c r="O437" s="20"/>
      <c r="P437" s="16" t="str">
        <f aca="false">IF(K437&lt;&gt;"",P436+K437,IF(B437&lt;&gt;"",P436,""))</f>
        <v/>
      </c>
      <c r="Q437" s="17" t="str">
        <f aca="false">IF(P437&lt;&gt;"",MIN(0,P437-MAX($P$4:P437)),"")</f>
        <v/>
      </c>
    </row>
    <row r="438" customFormat="false" ht="15" hidden="false" customHeight="true" outlineLevel="0" collapsed="false">
      <c r="A438" s="11" t="str">
        <f aca="false">IF(B438&lt;&gt;"",COUNTA($B$4:B438),"")</f>
        <v/>
      </c>
      <c r="B438" s="12"/>
      <c r="C438" s="12"/>
      <c r="D438" s="12"/>
      <c r="E438" s="12"/>
      <c r="F438" s="12"/>
      <c r="G438" s="12"/>
      <c r="H438" s="12"/>
      <c r="I438" s="13"/>
      <c r="J438" s="12"/>
      <c r="K438" s="14" t="str">
        <f aca="false">IF(AND(I438&lt;&gt;"",H438&lt;&gt;"",J438&lt;&gt;""),IF(J438="W",I438*H438,IF(J438="L",-I438,IF(J438="P",I438*H438*0.5,""))),"")</f>
        <v/>
      </c>
      <c r="L438" s="15" t="str">
        <f aca="false">IF(AND(K438&lt;&gt;"",P437&lt;&gt;""),K438/P437,IF(K438&lt;&gt;"",K438/$D$2,""))</f>
        <v/>
      </c>
      <c r="M438" s="12"/>
      <c r="N438" s="12"/>
      <c r="O438" s="12"/>
      <c r="P438" s="16" t="str">
        <f aca="false">IF(K438&lt;&gt;"",P437+K438,IF(B438&lt;&gt;"",P437,""))</f>
        <v/>
      </c>
      <c r="Q438" s="17" t="str">
        <f aca="false">IF(P438&lt;&gt;"",MIN(0,P438-MAX($P$4:P438)),"")</f>
        <v/>
      </c>
    </row>
    <row r="439" customFormat="false" ht="15" hidden="false" customHeight="true" outlineLevel="0" collapsed="false">
      <c r="A439" s="11" t="str">
        <f aca="false">IF(B439&lt;&gt;"",COUNTA($B$4:B439),"")</f>
        <v/>
      </c>
      <c r="B439" s="20"/>
      <c r="C439" s="20"/>
      <c r="D439" s="20"/>
      <c r="E439" s="20"/>
      <c r="F439" s="20"/>
      <c r="G439" s="20"/>
      <c r="H439" s="20"/>
      <c r="I439" s="21"/>
      <c r="J439" s="20"/>
      <c r="K439" s="14" t="str">
        <f aca="false">IF(AND(I439&lt;&gt;"",H439&lt;&gt;"",J439&lt;&gt;""),IF(J439="W",I439*H439,IF(J439="L",-I439,IF(J439="P",I439*H439*0.5,""))),"")</f>
        <v/>
      </c>
      <c r="L439" s="15" t="str">
        <f aca="false">IF(AND(K439&lt;&gt;"",P438&lt;&gt;""),K439/P438,IF(K439&lt;&gt;"",K439/$D$2,""))</f>
        <v/>
      </c>
      <c r="M439" s="20"/>
      <c r="N439" s="20"/>
      <c r="O439" s="20"/>
      <c r="P439" s="16" t="str">
        <f aca="false">IF(K439&lt;&gt;"",P438+K439,IF(B439&lt;&gt;"",P438,""))</f>
        <v/>
      </c>
      <c r="Q439" s="17" t="str">
        <f aca="false">IF(P439&lt;&gt;"",MIN(0,P439-MAX($P$4:P439)),"")</f>
        <v/>
      </c>
    </row>
    <row r="440" customFormat="false" ht="15" hidden="false" customHeight="true" outlineLevel="0" collapsed="false">
      <c r="A440" s="11" t="str">
        <f aca="false">IF(B440&lt;&gt;"",COUNTA($B$4:B440),"")</f>
        <v/>
      </c>
      <c r="B440" s="12"/>
      <c r="C440" s="12"/>
      <c r="D440" s="12"/>
      <c r="E440" s="12"/>
      <c r="F440" s="12"/>
      <c r="G440" s="12"/>
      <c r="H440" s="12"/>
      <c r="I440" s="13"/>
      <c r="J440" s="12"/>
      <c r="K440" s="14" t="str">
        <f aca="false">IF(AND(I440&lt;&gt;"",H440&lt;&gt;"",J440&lt;&gt;""),IF(J440="W",I440*H440,IF(J440="L",-I440,IF(J440="P",I440*H440*0.5,""))),"")</f>
        <v/>
      </c>
      <c r="L440" s="15" t="str">
        <f aca="false">IF(AND(K440&lt;&gt;"",P439&lt;&gt;""),K440/P439,IF(K440&lt;&gt;"",K440/$D$2,""))</f>
        <v/>
      </c>
      <c r="M440" s="12"/>
      <c r="N440" s="12"/>
      <c r="O440" s="12"/>
      <c r="P440" s="16" t="str">
        <f aca="false">IF(K440&lt;&gt;"",P439+K440,IF(B440&lt;&gt;"",P439,""))</f>
        <v/>
      </c>
      <c r="Q440" s="17" t="str">
        <f aca="false">IF(P440&lt;&gt;"",MIN(0,P440-MAX($P$4:P440)),"")</f>
        <v/>
      </c>
    </row>
    <row r="441" customFormat="false" ht="15" hidden="false" customHeight="true" outlineLevel="0" collapsed="false">
      <c r="A441" s="11" t="str">
        <f aca="false">IF(B441&lt;&gt;"",COUNTA($B$4:B441),"")</f>
        <v/>
      </c>
      <c r="B441" s="20"/>
      <c r="C441" s="20"/>
      <c r="D441" s="20"/>
      <c r="E441" s="20"/>
      <c r="F441" s="20"/>
      <c r="G441" s="20"/>
      <c r="H441" s="20"/>
      <c r="I441" s="21"/>
      <c r="J441" s="20"/>
      <c r="K441" s="14" t="str">
        <f aca="false">IF(AND(I441&lt;&gt;"",H441&lt;&gt;"",J441&lt;&gt;""),IF(J441="W",I441*H441,IF(J441="L",-I441,IF(J441="P",I441*H441*0.5,""))),"")</f>
        <v/>
      </c>
      <c r="L441" s="15" t="str">
        <f aca="false">IF(AND(K441&lt;&gt;"",P440&lt;&gt;""),K441/P440,IF(K441&lt;&gt;"",K441/$D$2,""))</f>
        <v/>
      </c>
      <c r="M441" s="20"/>
      <c r="N441" s="20"/>
      <c r="O441" s="20"/>
      <c r="P441" s="16" t="str">
        <f aca="false">IF(K441&lt;&gt;"",P440+K441,IF(B441&lt;&gt;"",P440,""))</f>
        <v/>
      </c>
      <c r="Q441" s="17" t="str">
        <f aca="false">IF(P441&lt;&gt;"",MIN(0,P441-MAX($P$4:P441)),"")</f>
        <v/>
      </c>
    </row>
    <row r="442" customFormat="false" ht="15" hidden="false" customHeight="true" outlineLevel="0" collapsed="false">
      <c r="A442" s="11" t="str">
        <f aca="false">IF(B442&lt;&gt;"",COUNTA($B$4:B442),"")</f>
        <v/>
      </c>
      <c r="B442" s="12"/>
      <c r="C442" s="12"/>
      <c r="D442" s="12"/>
      <c r="E442" s="12"/>
      <c r="F442" s="12"/>
      <c r="G442" s="12"/>
      <c r="H442" s="12"/>
      <c r="I442" s="13"/>
      <c r="J442" s="12"/>
      <c r="K442" s="14" t="str">
        <f aca="false">IF(AND(I442&lt;&gt;"",H442&lt;&gt;"",J442&lt;&gt;""),IF(J442="W",I442*H442,IF(J442="L",-I442,IF(J442="P",I442*H442*0.5,""))),"")</f>
        <v/>
      </c>
      <c r="L442" s="15" t="str">
        <f aca="false">IF(AND(K442&lt;&gt;"",P441&lt;&gt;""),K442/P441,IF(K442&lt;&gt;"",K442/$D$2,""))</f>
        <v/>
      </c>
      <c r="M442" s="12"/>
      <c r="N442" s="12"/>
      <c r="O442" s="12"/>
      <c r="P442" s="16" t="str">
        <f aca="false">IF(K442&lt;&gt;"",P441+K442,IF(B442&lt;&gt;"",P441,""))</f>
        <v/>
      </c>
      <c r="Q442" s="17" t="str">
        <f aca="false">IF(P442&lt;&gt;"",MIN(0,P442-MAX($P$4:P442)),"")</f>
        <v/>
      </c>
    </row>
    <row r="443" customFormat="false" ht="15" hidden="false" customHeight="true" outlineLevel="0" collapsed="false">
      <c r="A443" s="11" t="str">
        <f aca="false">IF(B443&lt;&gt;"",COUNTA($B$4:B443),"")</f>
        <v/>
      </c>
      <c r="B443" s="20"/>
      <c r="C443" s="20"/>
      <c r="D443" s="20"/>
      <c r="E443" s="20"/>
      <c r="F443" s="20"/>
      <c r="G443" s="20"/>
      <c r="H443" s="20"/>
      <c r="I443" s="21"/>
      <c r="J443" s="20"/>
      <c r="K443" s="14" t="str">
        <f aca="false">IF(AND(I443&lt;&gt;"",H443&lt;&gt;"",J443&lt;&gt;""),IF(J443="W",I443*H443,IF(J443="L",-I443,IF(J443="P",I443*H443*0.5,""))),"")</f>
        <v/>
      </c>
      <c r="L443" s="15" t="str">
        <f aca="false">IF(AND(K443&lt;&gt;"",P442&lt;&gt;""),K443/P442,IF(K443&lt;&gt;"",K443/$D$2,""))</f>
        <v/>
      </c>
      <c r="M443" s="20"/>
      <c r="N443" s="20"/>
      <c r="O443" s="20"/>
      <c r="P443" s="16" t="str">
        <f aca="false">IF(K443&lt;&gt;"",P442+K443,IF(B443&lt;&gt;"",P442,""))</f>
        <v/>
      </c>
      <c r="Q443" s="17" t="str">
        <f aca="false">IF(P443&lt;&gt;"",MIN(0,P443-MAX($P$4:P443)),"")</f>
        <v/>
      </c>
    </row>
    <row r="444" customFormat="false" ht="15" hidden="false" customHeight="true" outlineLevel="0" collapsed="false">
      <c r="A444" s="11" t="str">
        <f aca="false">IF(B444&lt;&gt;"",COUNTA($B$4:B444),"")</f>
        <v/>
      </c>
      <c r="B444" s="12"/>
      <c r="C444" s="12"/>
      <c r="D444" s="12"/>
      <c r="E444" s="12"/>
      <c r="F444" s="12"/>
      <c r="G444" s="12"/>
      <c r="H444" s="12"/>
      <c r="I444" s="13"/>
      <c r="J444" s="12"/>
      <c r="K444" s="14" t="str">
        <f aca="false">IF(AND(I444&lt;&gt;"",H444&lt;&gt;"",J444&lt;&gt;""),IF(J444="W",I444*H444,IF(J444="L",-I444,IF(J444="P",I444*H444*0.5,""))),"")</f>
        <v/>
      </c>
      <c r="L444" s="15" t="str">
        <f aca="false">IF(AND(K444&lt;&gt;"",P443&lt;&gt;""),K444/P443,IF(K444&lt;&gt;"",K444/$D$2,""))</f>
        <v/>
      </c>
      <c r="M444" s="12"/>
      <c r="N444" s="12"/>
      <c r="O444" s="12"/>
      <c r="P444" s="16" t="str">
        <f aca="false">IF(K444&lt;&gt;"",P443+K444,IF(B444&lt;&gt;"",P443,""))</f>
        <v/>
      </c>
      <c r="Q444" s="17" t="str">
        <f aca="false">IF(P444&lt;&gt;"",MIN(0,P444-MAX($P$4:P444)),"")</f>
        <v/>
      </c>
    </row>
    <row r="445" customFormat="false" ht="15" hidden="false" customHeight="true" outlineLevel="0" collapsed="false">
      <c r="A445" s="11" t="str">
        <f aca="false">IF(B445&lt;&gt;"",COUNTA($B$4:B445),"")</f>
        <v/>
      </c>
      <c r="B445" s="20"/>
      <c r="C445" s="20"/>
      <c r="D445" s="20"/>
      <c r="E445" s="20"/>
      <c r="F445" s="20"/>
      <c r="G445" s="20"/>
      <c r="H445" s="20"/>
      <c r="I445" s="21"/>
      <c r="J445" s="20"/>
      <c r="K445" s="14" t="str">
        <f aca="false">IF(AND(I445&lt;&gt;"",H445&lt;&gt;"",J445&lt;&gt;""),IF(J445="W",I445*H445,IF(J445="L",-I445,IF(J445="P",I445*H445*0.5,""))),"")</f>
        <v/>
      </c>
      <c r="L445" s="15" t="str">
        <f aca="false">IF(AND(K445&lt;&gt;"",P444&lt;&gt;""),K445/P444,IF(K445&lt;&gt;"",K445/$D$2,""))</f>
        <v/>
      </c>
      <c r="M445" s="20"/>
      <c r="N445" s="20"/>
      <c r="O445" s="20"/>
      <c r="P445" s="16" t="str">
        <f aca="false">IF(K445&lt;&gt;"",P444+K445,IF(B445&lt;&gt;"",P444,""))</f>
        <v/>
      </c>
      <c r="Q445" s="17" t="str">
        <f aca="false">IF(P445&lt;&gt;"",MIN(0,P445-MAX($P$4:P445)),"")</f>
        <v/>
      </c>
    </row>
    <row r="446" customFormat="false" ht="15" hidden="false" customHeight="true" outlineLevel="0" collapsed="false">
      <c r="A446" s="11" t="str">
        <f aca="false">IF(B446&lt;&gt;"",COUNTA($B$4:B446),"")</f>
        <v/>
      </c>
      <c r="B446" s="12"/>
      <c r="C446" s="12"/>
      <c r="D446" s="12"/>
      <c r="E446" s="12"/>
      <c r="F446" s="12"/>
      <c r="G446" s="12"/>
      <c r="H446" s="12"/>
      <c r="I446" s="13"/>
      <c r="J446" s="12"/>
      <c r="K446" s="14" t="str">
        <f aca="false">IF(AND(I446&lt;&gt;"",H446&lt;&gt;"",J446&lt;&gt;""),IF(J446="W",I446*H446,IF(J446="L",-I446,IF(J446="P",I446*H446*0.5,""))),"")</f>
        <v/>
      </c>
      <c r="L446" s="15" t="str">
        <f aca="false">IF(AND(K446&lt;&gt;"",P445&lt;&gt;""),K446/P445,IF(K446&lt;&gt;"",K446/$D$2,""))</f>
        <v/>
      </c>
      <c r="M446" s="12"/>
      <c r="N446" s="12"/>
      <c r="O446" s="12"/>
      <c r="P446" s="16" t="str">
        <f aca="false">IF(K446&lt;&gt;"",P445+K446,IF(B446&lt;&gt;"",P445,""))</f>
        <v/>
      </c>
      <c r="Q446" s="17" t="str">
        <f aca="false">IF(P446&lt;&gt;"",MIN(0,P446-MAX($P$4:P446)),"")</f>
        <v/>
      </c>
    </row>
    <row r="447" customFormat="false" ht="15" hidden="false" customHeight="true" outlineLevel="0" collapsed="false">
      <c r="A447" s="11" t="str">
        <f aca="false">IF(B447&lt;&gt;"",COUNTA($B$4:B447),"")</f>
        <v/>
      </c>
      <c r="B447" s="20"/>
      <c r="C447" s="20"/>
      <c r="D447" s="20"/>
      <c r="E447" s="20"/>
      <c r="F447" s="20"/>
      <c r="G447" s="20"/>
      <c r="H447" s="20"/>
      <c r="I447" s="21"/>
      <c r="J447" s="20"/>
      <c r="K447" s="14" t="str">
        <f aca="false">IF(AND(I447&lt;&gt;"",H447&lt;&gt;"",J447&lt;&gt;""),IF(J447="W",I447*H447,IF(J447="L",-I447,IF(J447="P",I447*H447*0.5,""))),"")</f>
        <v/>
      </c>
      <c r="L447" s="15" t="str">
        <f aca="false">IF(AND(K447&lt;&gt;"",P446&lt;&gt;""),K447/P446,IF(K447&lt;&gt;"",K447/$D$2,""))</f>
        <v/>
      </c>
      <c r="M447" s="20"/>
      <c r="N447" s="20"/>
      <c r="O447" s="20"/>
      <c r="P447" s="16" t="str">
        <f aca="false">IF(K447&lt;&gt;"",P446+K447,IF(B447&lt;&gt;"",P446,""))</f>
        <v/>
      </c>
      <c r="Q447" s="17" t="str">
        <f aca="false">IF(P447&lt;&gt;"",MIN(0,P447-MAX($P$4:P447)),"")</f>
        <v/>
      </c>
    </row>
    <row r="448" customFormat="false" ht="15" hidden="false" customHeight="true" outlineLevel="0" collapsed="false">
      <c r="A448" s="11" t="str">
        <f aca="false">IF(B448&lt;&gt;"",COUNTA($B$4:B448),"")</f>
        <v/>
      </c>
      <c r="B448" s="12"/>
      <c r="C448" s="12"/>
      <c r="D448" s="12"/>
      <c r="E448" s="12"/>
      <c r="F448" s="12"/>
      <c r="G448" s="12"/>
      <c r="H448" s="12"/>
      <c r="I448" s="13"/>
      <c r="J448" s="12"/>
      <c r="K448" s="14" t="str">
        <f aca="false">IF(AND(I448&lt;&gt;"",H448&lt;&gt;"",J448&lt;&gt;""),IF(J448="W",I448*H448,IF(J448="L",-I448,IF(J448="P",I448*H448*0.5,""))),"")</f>
        <v/>
      </c>
      <c r="L448" s="15" t="str">
        <f aca="false">IF(AND(K448&lt;&gt;"",P447&lt;&gt;""),K448/P447,IF(K448&lt;&gt;"",K448/$D$2,""))</f>
        <v/>
      </c>
      <c r="M448" s="12"/>
      <c r="N448" s="12"/>
      <c r="O448" s="12"/>
      <c r="P448" s="16" t="str">
        <f aca="false">IF(K448&lt;&gt;"",P447+K448,IF(B448&lt;&gt;"",P447,""))</f>
        <v/>
      </c>
      <c r="Q448" s="17" t="str">
        <f aca="false">IF(P448&lt;&gt;"",MIN(0,P448-MAX($P$4:P448)),"")</f>
        <v/>
      </c>
    </row>
    <row r="449" customFormat="false" ht="15" hidden="false" customHeight="true" outlineLevel="0" collapsed="false">
      <c r="A449" s="11" t="str">
        <f aca="false">IF(B449&lt;&gt;"",COUNTA($B$4:B449),"")</f>
        <v/>
      </c>
      <c r="B449" s="20"/>
      <c r="C449" s="20"/>
      <c r="D449" s="20"/>
      <c r="E449" s="20"/>
      <c r="F449" s="20"/>
      <c r="G449" s="20"/>
      <c r="H449" s="20"/>
      <c r="I449" s="21"/>
      <c r="J449" s="20"/>
      <c r="K449" s="14" t="str">
        <f aca="false">IF(AND(I449&lt;&gt;"",H449&lt;&gt;"",J449&lt;&gt;""),IF(J449="W",I449*H449,IF(J449="L",-I449,IF(J449="P",I449*H449*0.5,""))),"")</f>
        <v/>
      </c>
      <c r="L449" s="15" t="str">
        <f aca="false">IF(AND(K449&lt;&gt;"",P448&lt;&gt;""),K449/P448,IF(K449&lt;&gt;"",K449/$D$2,""))</f>
        <v/>
      </c>
      <c r="M449" s="20"/>
      <c r="N449" s="20"/>
      <c r="O449" s="20"/>
      <c r="P449" s="16" t="str">
        <f aca="false">IF(K449&lt;&gt;"",P448+K449,IF(B449&lt;&gt;"",P448,""))</f>
        <v/>
      </c>
      <c r="Q449" s="17" t="str">
        <f aca="false">IF(P449&lt;&gt;"",MIN(0,P449-MAX($P$4:P449)),"")</f>
        <v/>
      </c>
    </row>
    <row r="450" customFormat="false" ht="15" hidden="false" customHeight="true" outlineLevel="0" collapsed="false">
      <c r="A450" s="11" t="str">
        <f aca="false">IF(B450&lt;&gt;"",COUNTA($B$4:B450),"")</f>
        <v/>
      </c>
      <c r="B450" s="12"/>
      <c r="C450" s="12"/>
      <c r="D450" s="12"/>
      <c r="E450" s="12"/>
      <c r="F450" s="12"/>
      <c r="G450" s="12"/>
      <c r="H450" s="12"/>
      <c r="I450" s="13"/>
      <c r="J450" s="12"/>
      <c r="K450" s="14" t="str">
        <f aca="false">IF(AND(I450&lt;&gt;"",H450&lt;&gt;"",J450&lt;&gt;""),IF(J450="W",I450*H450,IF(J450="L",-I450,IF(J450="P",I450*H450*0.5,""))),"")</f>
        <v/>
      </c>
      <c r="L450" s="15" t="str">
        <f aca="false">IF(AND(K450&lt;&gt;"",P449&lt;&gt;""),K450/P449,IF(K450&lt;&gt;"",K450/$D$2,""))</f>
        <v/>
      </c>
      <c r="M450" s="12"/>
      <c r="N450" s="12"/>
      <c r="O450" s="12"/>
      <c r="P450" s="16" t="str">
        <f aca="false">IF(K450&lt;&gt;"",P449+K450,IF(B450&lt;&gt;"",P449,""))</f>
        <v/>
      </c>
      <c r="Q450" s="17" t="str">
        <f aca="false">IF(P450&lt;&gt;"",MIN(0,P450-MAX($P$4:P450)),"")</f>
        <v/>
      </c>
    </row>
    <row r="451" customFormat="false" ht="15" hidden="false" customHeight="true" outlineLevel="0" collapsed="false">
      <c r="A451" s="11" t="str">
        <f aca="false">IF(B451&lt;&gt;"",COUNTA($B$4:B451),"")</f>
        <v/>
      </c>
      <c r="B451" s="20"/>
      <c r="C451" s="20"/>
      <c r="D451" s="20"/>
      <c r="E451" s="20"/>
      <c r="F451" s="20"/>
      <c r="G451" s="20"/>
      <c r="H451" s="20"/>
      <c r="I451" s="21"/>
      <c r="J451" s="20"/>
      <c r="K451" s="14" t="str">
        <f aca="false">IF(AND(I451&lt;&gt;"",H451&lt;&gt;"",J451&lt;&gt;""),IF(J451="W",I451*H451,IF(J451="L",-I451,IF(J451="P",I451*H451*0.5,""))),"")</f>
        <v/>
      </c>
      <c r="L451" s="15" t="str">
        <f aca="false">IF(AND(K451&lt;&gt;"",P450&lt;&gt;""),K451/P450,IF(K451&lt;&gt;"",K451/$D$2,""))</f>
        <v/>
      </c>
      <c r="M451" s="20"/>
      <c r="N451" s="20"/>
      <c r="O451" s="20"/>
      <c r="P451" s="16" t="str">
        <f aca="false">IF(K451&lt;&gt;"",P450+K451,IF(B451&lt;&gt;"",P450,""))</f>
        <v/>
      </c>
      <c r="Q451" s="17" t="str">
        <f aca="false">IF(P451&lt;&gt;"",MIN(0,P451-MAX($P$4:P451)),"")</f>
        <v/>
      </c>
    </row>
    <row r="452" customFormat="false" ht="15" hidden="false" customHeight="true" outlineLevel="0" collapsed="false">
      <c r="A452" s="11" t="str">
        <f aca="false">IF(B452&lt;&gt;"",COUNTA($B$4:B452),"")</f>
        <v/>
      </c>
      <c r="B452" s="12"/>
      <c r="C452" s="12"/>
      <c r="D452" s="12"/>
      <c r="E452" s="12"/>
      <c r="F452" s="12"/>
      <c r="G452" s="12"/>
      <c r="H452" s="12"/>
      <c r="I452" s="13"/>
      <c r="J452" s="12"/>
      <c r="K452" s="14" t="str">
        <f aca="false">IF(AND(I452&lt;&gt;"",H452&lt;&gt;"",J452&lt;&gt;""),IF(J452="W",I452*H452,IF(J452="L",-I452,IF(J452="P",I452*H452*0.5,""))),"")</f>
        <v/>
      </c>
      <c r="L452" s="15" t="str">
        <f aca="false">IF(AND(K452&lt;&gt;"",P451&lt;&gt;""),K452/P451,IF(K452&lt;&gt;"",K452/$D$2,""))</f>
        <v/>
      </c>
      <c r="M452" s="12"/>
      <c r="N452" s="12"/>
      <c r="O452" s="12"/>
      <c r="P452" s="16" t="str">
        <f aca="false">IF(K452&lt;&gt;"",P451+K452,IF(B452&lt;&gt;"",P451,""))</f>
        <v/>
      </c>
      <c r="Q452" s="17" t="str">
        <f aca="false">IF(P452&lt;&gt;"",MIN(0,P452-MAX($P$4:P452)),"")</f>
        <v/>
      </c>
    </row>
    <row r="453" customFormat="false" ht="15" hidden="false" customHeight="true" outlineLevel="0" collapsed="false">
      <c r="A453" s="11" t="str">
        <f aca="false">IF(B453&lt;&gt;"",COUNTA($B$4:B453),"")</f>
        <v/>
      </c>
      <c r="B453" s="20"/>
      <c r="C453" s="20"/>
      <c r="D453" s="20"/>
      <c r="E453" s="20"/>
      <c r="F453" s="20"/>
      <c r="G453" s="20"/>
      <c r="H453" s="20"/>
      <c r="I453" s="21"/>
      <c r="J453" s="20"/>
      <c r="K453" s="14" t="str">
        <f aca="false">IF(AND(I453&lt;&gt;"",H453&lt;&gt;"",J453&lt;&gt;""),IF(J453="W",I453*H453,IF(J453="L",-I453,IF(J453="P",I453*H453*0.5,""))),"")</f>
        <v/>
      </c>
      <c r="L453" s="15" t="str">
        <f aca="false">IF(AND(K453&lt;&gt;"",P452&lt;&gt;""),K453/P452,IF(K453&lt;&gt;"",K453/$D$2,""))</f>
        <v/>
      </c>
      <c r="M453" s="20"/>
      <c r="N453" s="20"/>
      <c r="O453" s="20"/>
      <c r="P453" s="16" t="str">
        <f aca="false">IF(K453&lt;&gt;"",P452+K453,IF(B453&lt;&gt;"",P452,""))</f>
        <v/>
      </c>
      <c r="Q453" s="17" t="str">
        <f aca="false">IF(P453&lt;&gt;"",MIN(0,P453-MAX($P$4:P453)),"")</f>
        <v/>
      </c>
    </row>
    <row r="454" customFormat="false" ht="15" hidden="false" customHeight="true" outlineLevel="0" collapsed="false">
      <c r="A454" s="11" t="str">
        <f aca="false">IF(B454&lt;&gt;"",COUNTA($B$4:B454),"")</f>
        <v/>
      </c>
      <c r="B454" s="12"/>
      <c r="C454" s="12"/>
      <c r="D454" s="12"/>
      <c r="E454" s="12"/>
      <c r="F454" s="12"/>
      <c r="G454" s="12"/>
      <c r="H454" s="12"/>
      <c r="I454" s="13"/>
      <c r="J454" s="12"/>
      <c r="K454" s="14" t="str">
        <f aca="false">IF(AND(I454&lt;&gt;"",H454&lt;&gt;"",J454&lt;&gt;""),IF(J454="W",I454*H454,IF(J454="L",-I454,IF(J454="P",I454*H454*0.5,""))),"")</f>
        <v/>
      </c>
      <c r="L454" s="15" t="str">
        <f aca="false">IF(AND(K454&lt;&gt;"",P453&lt;&gt;""),K454/P453,IF(K454&lt;&gt;"",K454/$D$2,""))</f>
        <v/>
      </c>
      <c r="M454" s="12"/>
      <c r="N454" s="12"/>
      <c r="O454" s="12"/>
      <c r="P454" s="16" t="str">
        <f aca="false">IF(K454&lt;&gt;"",P453+K454,IF(B454&lt;&gt;"",P453,""))</f>
        <v/>
      </c>
      <c r="Q454" s="17" t="str">
        <f aca="false">IF(P454&lt;&gt;"",MIN(0,P454-MAX($P$4:P454)),"")</f>
        <v/>
      </c>
    </row>
    <row r="455" customFormat="false" ht="15" hidden="false" customHeight="true" outlineLevel="0" collapsed="false">
      <c r="A455" s="11" t="str">
        <f aca="false">IF(B455&lt;&gt;"",COUNTA($B$4:B455),"")</f>
        <v/>
      </c>
      <c r="B455" s="20"/>
      <c r="C455" s="20"/>
      <c r="D455" s="20"/>
      <c r="E455" s="20"/>
      <c r="F455" s="20"/>
      <c r="G455" s="20"/>
      <c r="H455" s="20"/>
      <c r="I455" s="21"/>
      <c r="J455" s="20"/>
      <c r="K455" s="14" t="str">
        <f aca="false">IF(AND(I455&lt;&gt;"",H455&lt;&gt;"",J455&lt;&gt;""),IF(J455="W",I455*H455,IF(J455="L",-I455,IF(J455="P",I455*H455*0.5,""))),"")</f>
        <v/>
      </c>
      <c r="L455" s="15" t="str">
        <f aca="false">IF(AND(K455&lt;&gt;"",P454&lt;&gt;""),K455/P454,IF(K455&lt;&gt;"",K455/$D$2,""))</f>
        <v/>
      </c>
      <c r="M455" s="20"/>
      <c r="N455" s="20"/>
      <c r="O455" s="20"/>
      <c r="P455" s="16" t="str">
        <f aca="false">IF(K455&lt;&gt;"",P454+K455,IF(B455&lt;&gt;"",P454,""))</f>
        <v/>
      </c>
      <c r="Q455" s="17" t="str">
        <f aca="false">IF(P455&lt;&gt;"",MIN(0,P455-MAX($P$4:P455)),"")</f>
        <v/>
      </c>
    </row>
    <row r="456" customFormat="false" ht="15" hidden="false" customHeight="true" outlineLevel="0" collapsed="false">
      <c r="A456" s="11" t="str">
        <f aca="false">IF(B456&lt;&gt;"",COUNTA($B$4:B456),"")</f>
        <v/>
      </c>
      <c r="B456" s="12"/>
      <c r="C456" s="12"/>
      <c r="D456" s="12"/>
      <c r="E456" s="12"/>
      <c r="F456" s="12"/>
      <c r="G456" s="12"/>
      <c r="H456" s="12"/>
      <c r="I456" s="13"/>
      <c r="J456" s="12"/>
      <c r="K456" s="14" t="str">
        <f aca="false">IF(AND(I456&lt;&gt;"",H456&lt;&gt;"",J456&lt;&gt;""),IF(J456="W",I456*H456,IF(J456="L",-I456,IF(J456="P",I456*H456*0.5,""))),"")</f>
        <v/>
      </c>
      <c r="L456" s="15" t="str">
        <f aca="false">IF(AND(K456&lt;&gt;"",P455&lt;&gt;""),K456/P455,IF(K456&lt;&gt;"",K456/$D$2,""))</f>
        <v/>
      </c>
      <c r="M456" s="12"/>
      <c r="N456" s="12"/>
      <c r="O456" s="12"/>
      <c r="P456" s="16" t="str">
        <f aca="false">IF(K456&lt;&gt;"",P455+K456,IF(B456&lt;&gt;"",P455,""))</f>
        <v/>
      </c>
      <c r="Q456" s="17" t="str">
        <f aca="false">IF(P456&lt;&gt;"",MIN(0,P456-MAX($P$4:P456)),"")</f>
        <v/>
      </c>
    </row>
    <row r="457" customFormat="false" ht="15" hidden="false" customHeight="true" outlineLevel="0" collapsed="false">
      <c r="A457" s="11" t="str">
        <f aca="false">IF(B457&lt;&gt;"",COUNTA($B$4:B457),"")</f>
        <v/>
      </c>
      <c r="B457" s="20"/>
      <c r="C457" s="20"/>
      <c r="D457" s="20"/>
      <c r="E457" s="20"/>
      <c r="F457" s="20"/>
      <c r="G457" s="20"/>
      <c r="H457" s="20"/>
      <c r="I457" s="21"/>
      <c r="J457" s="20"/>
      <c r="K457" s="14" t="str">
        <f aca="false">IF(AND(I457&lt;&gt;"",H457&lt;&gt;"",J457&lt;&gt;""),IF(J457="W",I457*H457,IF(J457="L",-I457,IF(J457="P",I457*H457*0.5,""))),"")</f>
        <v/>
      </c>
      <c r="L457" s="15" t="str">
        <f aca="false">IF(AND(K457&lt;&gt;"",P456&lt;&gt;""),K457/P456,IF(K457&lt;&gt;"",K457/$D$2,""))</f>
        <v/>
      </c>
      <c r="M457" s="20"/>
      <c r="N457" s="20"/>
      <c r="O457" s="20"/>
      <c r="P457" s="16" t="str">
        <f aca="false">IF(K457&lt;&gt;"",P456+K457,IF(B457&lt;&gt;"",P456,""))</f>
        <v/>
      </c>
      <c r="Q457" s="17" t="str">
        <f aca="false">IF(P457&lt;&gt;"",MIN(0,P457-MAX($P$4:P457)),"")</f>
        <v/>
      </c>
    </row>
    <row r="458" customFormat="false" ht="15" hidden="false" customHeight="true" outlineLevel="0" collapsed="false">
      <c r="A458" s="11" t="str">
        <f aca="false">IF(B458&lt;&gt;"",COUNTA($B$4:B458),"")</f>
        <v/>
      </c>
      <c r="B458" s="12"/>
      <c r="C458" s="12"/>
      <c r="D458" s="12"/>
      <c r="E458" s="12"/>
      <c r="F458" s="12"/>
      <c r="G458" s="12"/>
      <c r="H458" s="12"/>
      <c r="I458" s="13"/>
      <c r="J458" s="12"/>
      <c r="K458" s="14" t="str">
        <f aca="false">IF(AND(I458&lt;&gt;"",H458&lt;&gt;"",J458&lt;&gt;""),IF(J458="W",I458*H458,IF(J458="L",-I458,IF(J458="P",I458*H458*0.5,""))),"")</f>
        <v/>
      </c>
      <c r="L458" s="15" t="str">
        <f aca="false">IF(AND(K458&lt;&gt;"",P457&lt;&gt;""),K458/P457,IF(K458&lt;&gt;"",K458/$D$2,""))</f>
        <v/>
      </c>
      <c r="M458" s="12"/>
      <c r="N458" s="12"/>
      <c r="O458" s="12"/>
      <c r="P458" s="16" t="str">
        <f aca="false">IF(K458&lt;&gt;"",P457+K458,IF(B458&lt;&gt;"",P457,""))</f>
        <v/>
      </c>
      <c r="Q458" s="17" t="str">
        <f aca="false">IF(P458&lt;&gt;"",MIN(0,P458-MAX($P$4:P458)),"")</f>
        <v/>
      </c>
    </row>
    <row r="459" customFormat="false" ht="15" hidden="false" customHeight="true" outlineLevel="0" collapsed="false">
      <c r="A459" s="11" t="str">
        <f aca="false">IF(B459&lt;&gt;"",COUNTA($B$4:B459),"")</f>
        <v/>
      </c>
      <c r="B459" s="20"/>
      <c r="C459" s="20"/>
      <c r="D459" s="20"/>
      <c r="E459" s="20"/>
      <c r="F459" s="20"/>
      <c r="G459" s="20"/>
      <c r="H459" s="20"/>
      <c r="I459" s="21"/>
      <c r="J459" s="20"/>
      <c r="K459" s="14" t="str">
        <f aca="false">IF(AND(I459&lt;&gt;"",H459&lt;&gt;"",J459&lt;&gt;""),IF(J459="W",I459*H459,IF(J459="L",-I459,IF(J459="P",I459*H459*0.5,""))),"")</f>
        <v/>
      </c>
      <c r="L459" s="15" t="str">
        <f aca="false">IF(AND(K459&lt;&gt;"",P458&lt;&gt;""),K459/P458,IF(K459&lt;&gt;"",K459/$D$2,""))</f>
        <v/>
      </c>
      <c r="M459" s="20"/>
      <c r="N459" s="20"/>
      <c r="O459" s="20"/>
      <c r="P459" s="16" t="str">
        <f aca="false">IF(K459&lt;&gt;"",P458+K459,IF(B459&lt;&gt;"",P458,""))</f>
        <v/>
      </c>
      <c r="Q459" s="17" t="str">
        <f aca="false">IF(P459&lt;&gt;"",MIN(0,P459-MAX($P$4:P459)),"")</f>
        <v/>
      </c>
    </row>
    <row r="460" customFormat="false" ht="15" hidden="false" customHeight="true" outlineLevel="0" collapsed="false">
      <c r="A460" s="11" t="str">
        <f aca="false">IF(B460&lt;&gt;"",COUNTA($B$4:B460),"")</f>
        <v/>
      </c>
      <c r="B460" s="12"/>
      <c r="C460" s="12"/>
      <c r="D460" s="12"/>
      <c r="E460" s="12"/>
      <c r="F460" s="12"/>
      <c r="G460" s="12"/>
      <c r="H460" s="12"/>
      <c r="I460" s="13"/>
      <c r="J460" s="12"/>
      <c r="K460" s="14" t="str">
        <f aca="false">IF(AND(I460&lt;&gt;"",H460&lt;&gt;"",J460&lt;&gt;""),IF(J460="W",I460*H460,IF(J460="L",-I460,IF(J460="P",I460*H460*0.5,""))),"")</f>
        <v/>
      </c>
      <c r="L460" s="15" t="str">
        <f aca="false">IF(AND(K460&lt;&gt;"",P459&lt;&gt;""),K460/P459,IF(K460&lt;&gt;"",K460/$D$2,""))</f>
        <v/>
      </c>
      <c r="M460" s="12"/>
      <c r="N460" s="12"/>
      <c r="O460" s="12"/>
      <c r="P460" s="16" t="str">
        <f aca="false">IF(K460&lt;&gt;"",P459+K460,IF(B460&lt;&gt;"",P459,""))</f>
        <v/>
      </c>
      <c r="Q460" s="17" t="str">
        <f aca="false">IF(P460&lt;&gt;"",MIN(0,P460-MAX($P$4:P460)),"")</f>
        <v/>
      </c>
    </row>
    <row r="461" customFormat="false" ht="15" hidden="false" customHeight="true" outlineLevel="0" collapsed="false">
      <c r="A461" s="11" t="str">
        <f aca="false">IF(B461&lt;&gt;"",COUNTA($B$4:B461),"")</f>
        <v/>
      </c>
      <c r="B461" s="20"/>
      <c r="C461" s="20"/>
      <c r="D461" s="20"/>
      <c r="E461" s="20"/>
      <c r="F461" s="20"/>
      <c r="G461" s="20"/>
      <c r="H461" s="20"/>
      <c r="I461" s="21"/>
      <c r="J461" s="20"/>
      <c r="K461" s="14" t="str">
        <f aca="false">IF(AND(I461&lt;&gt;"",H461&lt;&gt;"",J461&lt;&gt;""),IF(J461="W",I461*H461,IF(J461="L",-I461,IF(J461="P",I461*H461*0.5,""))),"")</f>
        <v/>
      </c>
      <c r="L461" s="15" t="str">
        <f aca="false">IF(AND(K461&lt;&gt;"",P460&lt;&gt;""),K461/P460,IF(K461&lt;&gt;"",K461/$D$2,""))</f>
        <v/>
      </c>
      <c r="M461" s="20"/>
      <c r="N461" s="20"/>
      <c r="O461" s="20"/>
      <c r="P461" s="16" t="str">
        <f aca="false">IF(K461&lt;&gt;"",P460+K461,IF(B461&lt;&gt;"",P460,""))</f>
        <v/>
      </c>
      <c r="Q461" s="17" t="str">
        <f aca="false">IF(P461&lt;&gt;"",MIN(0,P461-MAX($P$4:P461)),"")</f>
        <v/>
      </c>
    </row>
    <row r="462" customFormat="false" ht="15" hidden="false" customHeight="true" outlineLevel="0" collapsed="false">
      <c r="A462" s="11" t="str">
        <f aca="false">IF(B462&lt;&gt;"",COUNTA($B$4:B462),"")</f>
        <v/>
      </c>
      <c r="B462" s="12"/>
      <c r="C462" s="12"/>
      <c r="D462" s="12"/>
      <c r="E462" s="12"/>
      <c r="F462" s="12"/>
      <c r="G462" s="12"/>
      <c r="H462" s="12"/>
      <c r="I462" s="13"/>
      <c r="J462" s="12"/>
      <c r="K462" s="14" t="str">
        <f aca="false">IF(AND(I462&lt;&gt;"",H462&lt;&gt;"",J462&lt;&gt;""),IF(J462="W",I462*H462,IF(J462="L",-I462,IF(J462="P",I462*H462*0.5,""))),"")</f>
        <v/>
      </c>
      <c r="L462" s="15" t="str">
        <f aca="false">IF(AND(K462&lt;&gt;"",P461&lt;&gt;""),K462/P461,IF(K462&lt;&gt;"",K462/$D$2,""))</f>
        <v/>
      </c>
      <c r="M462" s="12"/>
      <c r="N462" s="12"/>
      <c r="O462" s="12"/>
      <c r="P462" s="16" t="str">
        <f aca="false">IF(K462&lt;&gt;"",P461+K462,IF(B462&lt;&gt;"",P461,""))</f>
        <v/>
      </c>
      <c r="Q462" s="17" t="str">
        <f aca="false">IF(P462&lt;&gt;"",MIN(0,P462-MAX($P$4:P462)),"")</f>
        <v/>
      </c>
    </row>
    <row r="463" customFormat="false" ht="15" hidden="false" customHeight="true" outlineLevel="0" collapsed="false">
      <c r="A463" s="11" t="str">
        <f aca="false">IF(B463&lt;&gt;"",COUNTA($B$4:B463),"")</f>
        <v/>
      </c>
      <c r="B463" s="20"/>
      <c r="C463" s="20"/>
      <c r="D463" s="20"/>
      <c r="E463" s="20"/>
      <c r="F463" s="20"/>
      <c r="G463" s="20"/>
      <c r="H463" s="20"/>
      <c r="I463" s="21"/>
      <c r="J463" s="20"/>
      <c r="K463" s="14" t="str">
        <f aca="false">IF(AND(I463&lt;&gt;"",H463&lt;&gt;"",J463&lt;&gt;""),IF(J463="W",I463*H463,IF(J463="L",-I463,IF(J463="P",I463*H463*0.5,""))),"")</f>
        <v/>
      </c>
      <c r="L463" s="15" t="str">
        <f aca="false">IF(AND(K463&lt;&gt;"",P462&lt;&gt;""),K463/P462,IF(K463&lt;&gt;"",K463/$D$2,""))</f>
        <v/>
      </c>
      <c r="M463" s="20"/>
      <c r="N463" s="20"/>
      <c r="O463" s="20"/>
      <c r="P463" s="16" t="str">
        <f aca="false">IF(K463&lt;&gt;"",P462+K463,IF(B463&lt;&gt;"",P462,""))</f>
        <v/>
      </c>
      <c r="Q463" s="17" t="str">
        <f aca="false">IF(P463&lt;&gt;"",MIN(0,P463-MAX($P$4:P463)),"")</f>
        <v/>
      </c>
    </row>
    <row r="464" customFormat="false" ht="15" hidden="false" customHeight="true" outlineLevel="0" collapsed="false">
      <c r="A464" s="11" t="str">
        <f aca="false">IF(B464&lt;&gt;"",COUNTA($B$4:B464),"")</f>
        <v/>
      </c>
      <c r="B464" s="12"/>
      <c r="C464" s="12"/>
      <c r="D464" s="12"/>
      <c r="E464" s="12"/>
      <c r="F464" s="12"/>
      <c r="G464" s="12"/>
      <c r="H464" s="12"/>
      <c r="I464" s="13"/>
      <c r="J464" s="12"/>
      <c r="K464" s="14" t="str">
        <f aca="false">IF(AND(I464&lt;&gt;"",H464&lt;&gt;"",J464&lt;&gt;""),IF(J464="W",I464*H464,IF(J464="L",-I464,IF(J464="P",I464*H464*0.5,""))),"")</f>
        <v/>
      </c>
      <c r="L464" s="15" t="str">
        <f aca="false">IF(AND(K464&lt;&gt;"",P463&lt;&gt;""),K464/P463,IF(K464&lt;&gt;"",K464/$D$2,""))</f>
        <v/>
      </c>
      <c r="M464" s="12"/>
      <c r="N464" s="12"/>
      <c r="O464" s="12"/>
      <c r="P464" s="16" t="str">
        <f aca="false">IF(K464&lt;&gt;"",P463+K464,IF(B464&lt;&gt;"",P463,""))</f>
        <v/>
      </c>
      <c r="Q464" s="17" t="str">
        <f aca="false">IF(P464&lt;&gt;"",MIN(0,P464-MAX($P$4:P464)),"")</f>
        <v/>
      </c>
    </row>
    <row r="465" customFormat="false" ht="15" hidden="false" customHeight="true" outlineLevel="0" collapsed="false">
      <c r="A465" s="11" t="str">
        <f aca="false">IF(B465&lt;&gt;"",COUNTA($B$4:B465),"")</f>
        <v/>
      </c>
      <c r="B465" s="20"/>
      <c r="C465" s="20"/>
      <c r="D465" s="20"/>
      <c r="E465" s="20"/>
      <c r="F465" s="20"/>
      <c r="G465" s="20"/>
      <c r="H465" s="20"/>
      <c r="I465" s="21"/>
      <c r="J465" s="20"/>
      <c r="K465" s="14" t="str">
        <f aca="false">IF(AND(I465&lt;&gt;"",H465&lt;&gt;"",J465&lt;&gt;""),IF(J465="W",I465*H465,IF(J465="L",-I465,IF(J465="P",I465*H465*0.5,""))),"")</f>
        <v/>
      </c>
      <c r="L465" s="15" t="str">
        <f aca="false">IF(AND(K465&lt;&gt;"",P464&lt;&gt;""),K465/P464,IF(K465&lt;&gt;"",K465/$D$2,""))</f>
        <v/>
      </c>
      <c r="M465" s="20"/>
      <c r="N465" s="20"/>
      <c r="O465" s="20"/>
      <c r="P465" s="16" t="str">
        <f aca="false">IF(K465&lt;&gt;"",P464+K465,IF(B465&lt;&gt;"",P464,""))</f>
        <v/>
      </c>
      <c r="Q465" s="17" t="str">
        <f aca="false">IF(P465&lt;&gt;"",MIN(0,P465-MAX($P$4:P465)),"")</f>
        <v/>
      </c>
    </row>
    <row r="466" customFormat="false" ht="15" hidden="false" customHeight="true" outlineLevel="0" collapsed="false">
      <c r="A466" s="11" t="str">
        <f aca="false">IF(B466&lt;&gt;"",COUNTA($B$4:B466),"")</f>
        <v/>
      </c>
      <c r="B466" s="12"/>
      <c r="C466" s="12"/>
      <c r="D466" s="12"/>
      <c r="E466" s="12"/>
      <c r="F466" s="12"/>
      <c r="G466" s="12"/>
      <c r="H466" s="12"/>
      <c r="I466" s="13"/>
      <c r="J466" s="12"/>
      <c r="K466" s="14" t="str">
        <f aca="false">IF(AND(I466&lt;&gt;"",H466&lt;&gt;"",J466&lt;&gt;""),IF(J466="W",I466*H466,IF(J466="L",-I466,IF(J466="P",I466*H466*0.5,""))),"")</f>
        <v/>
      </c>
      <c r="L466" s="15" t="str">
        <f aca="false">IF(AND(K466&lt;&gt;"",P465&lt;&gt;""),K466/P465,IF(K466&lt;&gt;"",K466/$D$2,""))</f>
        <v/>
      </c>
      <c r="M466" s="12"/>
      <c r="N466" s="12"/>
      <c r="O466" s="12"/>
      <c r="P466" s="16" t="str">
        <f aca="false">IF(K466&lt;&gt;"",P465+K466,IF(B466&lt;&gt;"",P465,""))</f>
        <v/>
      </c>
      <c r="Q466" s="17" t="str">
        <f aca="false">IF(P466&lt;&gt;"",MIN(0,P466-MAX($P$4:P466)),"")</f>
        <v/>
      </c>
    </row>
    <row r="467" customFormat="false" ht="15" hidden="false" customHeight="true" outlineLevel="0" collapsed="false">
      <c r="A467" s="11" t="str">
        <f aca="false">IF(B467&lt;&gt;"",COUNTA($B$4:B467),"")</f>
        <v/>
      </c>
      <c r="B467" s="20"/>
      <c r="C467" s="20"/>
      <c r="D467" s="20"/>
      <c r="E467" s="20"/>
      <c r="F467" s="20"/>
      <c r="G467" s="20"/>
      <c r="H467" s="20"/>
      <c r="I467" s="21"/>
      <c r="J467" s="20"/>
      <c r="K467" s="14" t="str">
        <f aca="false">IF(AND(I467&lt;&gt;"",H467&lt;&gt;"",J467&lt;&gt;""),IF(J467="W",I467*H467,IF(J467="L",-I467,IF(J467="P",I467*H467*0.5,""))),"")</f>
        <v/>
      </c>
      <c r="L467" s="15" t="str">
        <f aca="false">IF(AND(K467&lt;&gt;"",P466&lt;&gt;""),K467/P466,IF(K467&lt;&gt;"",K467/$D$2,""))</f>
        <v/>
      </c>
      <c r="M467" s="20"/>
      <c r="N467" s="20"/>
      <c r="O467" s="20"/>
      <c r="P467" s="16" t="str">
        <f aca="false">IF(K467&lt;&gt;"",P466+K467,IF(B467&lt;&gt;"",P466,""))</f>
        <v/>
      </c>
      <c r="Q467" s="17" t="str">
        <f aca="false">IF(P467&lt;&gt;"",MIN(0,P467-MAX($P$4:P467)),"")</f>
        <v/>
      </c>
    </row>
    <row r="468" customFormat="false" ht="15" hidden="false" customHeight="true" outlineLevel="0" collapsed="false">
      <c r="A468" s="11" t="str">
        <f aca="false">IF(B468&lt;&gt;"",COUNTA($B$4:B468),"")</f>
        <v/>
      </c>
      <c r="B468" s="12"/>
      <c r="C468" s="12"/>
      <c r="D468" s="12"/>
      <c r="E468" s="12"/>
      <c r="F468" s="12"/>
      <c r="G468" s="12"/>
      <c r="H468" s="12"/>
      <c r="I468" s="13"/>
      <c r="J468" s="12"/>
      <c r="K468" s="14" t="str">
        <f aca="false">IF(AND(I468&lt;&gt;"",H468&lt;&gt;"",J468&lt;&gt;""),IF(J468="W",I468*H468,IF(J468="L",-I468,IF(J468="P",I468*H468*0.5,""))),"")</f>
        <v/>
      </c>
      <c r="L468" s="15" t="str">
        <f aca="false">IF(AND(K468&lt;&gt;"",P467&lt;&gt;""),K468/P467,IF(K468&lt;&gt;"",K468/$D$2,""))</f>
        <v/>
      </c>
      <c r="M468" s="12"/>
      <c r="N468" s="12"/>
      <c r="O468" s="12"/>
      <c r="P468" s="16" t="str">
        <f aca="false">IF(K468&lt;&gt;"",P467+K468,IF(B468&lt;&gt;"",P467,""))</f>
        <v/>
      </c>
      <c r="Q468" s="17" t="str">
        <f aca="false">IF(P468&lt;&gt;"",MIN(0,P468-MAX($P$4:P468)),"")</f>
        <v/>
      </c>
    </row>
    <row r="469" customFormat="false" ht="15" hidden="false" customHeight="true" outlineLevel="0" collapsed="false">
      <c r="A469" s="11" t="str">
        <f aca="false">IF(B469&lt;&gt;"",COUNTA($B$4:B469),"")</f>
        <v/>
      </c>
      <c r="B469" s="20"/>
      <c r="C469" s="20"/>
      <c r="D469" s="20"/>
      <c r="E469" s="20"/>
      <c r="F469" s="20"/>
      <c r="G469" s="20"/>
      <c r="H469" s="20"/>
      <c r="I469" s="21"/>
      <c r="J469" s="20"/>
      <c r="K469" s="14" t="str">
        <f aca="false">IF(AND(I469&lt;&gt;"",H469&lt;&gt;"",J469&lt;&gt;""),IF(J469="W",I469*H469,IF(J469="L",-I469,IF(J469="P",I469*H469*0.5,""))),"")</f>
        <v/>
      </c>
      <c r="L469" s="15" t="str">
        <f aca="false">IF(AND(K469&lt;&gt;"",P468&lt;&gt;""),K469/P468,IF(K469&lt;&gt;"",K469/$D$2,""))</f>
        <v/>
      </c>
      <c r="M469" s="20"/>
      <c r="N469" s="20"/>
      <c r="O469" s="20"/>
      <c r="P469" s="16" t="str">
        <f aca="false">IF(K469&lt;&gt;"",P468+K469,IF(B469&lt;&gt;"",P468,""))</f>
        <v/>
      </c>
      <c r="Q469" s="17" t="str">
        <f aca="false">IF(P469&lt;&gt;"",MIN(0,P469-MAX($P$4:P469)),"")</f>
        <v/>
      </c>
    </row>
    <row r="470" customFormat="false" ht="15" hidden="false" customHeight="true" outlineLevel="0" collapsed="false">
      <c r="A470" s="11" t="str">
        <f aca="false">IF(B470&lt;&gt;"",COUNTA($B$4:B470),"")</f>
        <v/>
      </c>
      <c r="B470" s="12"/>
      <c r="C470" s="12"/>
      <c r="D470" s="12"/>
      <c r="E470" s="12"/>
      <c r="F470" s="12"/>
      <c r="G470" s="12"/>
      <c r="H470" s="12"/>
      <c r="I470" s="13"/>
      <c r="J470" s="12"/>
      <c r="K470" s="14" t="str">
        <f aca="false">IF(AND(I470&lt;&gt;"",H470&lt;&gt;"",J470&lt;&gt;""),IF(J470="W",I470*H470,IF(J470="L",-I470,IF(J470="P",I470*H470*0.5,""))),"")</f>
        <v/>
      </c>
      <c r="L470" s="15" t="str">
        <f aca="false">IF(AND(K470&lt;&gt;"",P469&lt;&gt;""),K470/P469,IF(K470&lt;&gt;"",K470/$D$2,""))</f>
        <v/>
      </c>
      <c r="M470" s="12"/>
      <c r="N470" s="12"/>
      <c r="O470" s="12"/>
      <c r="P470" s="16" t="str">
        <f aca="false">IF(K470&lt;&gt;"",P469+K470,IF(B470&lt;&gt;"",P469,""))</f>
        <v/>
      </c>
      <c r="Q470" s="17" t="str">
        <f aca="false">IF(P470&lt;&gt;"",MIN(0,P470-MAX($P$4:P470)),"")</f>
        <v/>
      </c>
    </row>
    <row r="471" customFormat="false" ht="15" hidden="false" customHeight="true" outlineLevel="0" collapsed="false">
      <c r="A471" s="11" t="str">
        <f aca="false">IF(B471&lt;&gt;"",COUNTA($B$4:B471),"")</f>
        <v/>
      </c>
      <c r="B471" s="20"/>
      <c r="C471" s="20"/>
      <c r="D471" s="20"/>
      <c r="E471" s="20"/>
      <c r="F471" s="20"/>
      <c r="G471" s="20"/>
      <c r="H471" s="20"/>
      <c r="I471" s="21"/>
      <c r="J471" s="20"/>
      <c r="K471" s="14" t="str">
        <f aca="false">IF(AND(I471&lt;&gt;"",H471&lt;&gt;"",J471&lt;&gt;""),IF(J471="W",I471*H471,IF(J471="L",-I471,IF(J471="P",I471*H471*0.5,""))),"")</f>
        <v/>
      </c>
      <c r="L471" s="15" t="str">
        <f aca="false">IF(AND(K471&lt;&gt;"",P470&lt;&gt;""),K471/P470,IF(K471&lt;&gt;"",K471/$D$2,""))</f>
        <v/>
      </c>
      <c r="M471" s="20"/>
      <c r="N471" s="20"/>
      <c r="O471" s="20"/>
      <c r="P471" s="16" t="str">
        <f aca="false">IF(K471&lt;&gt;"",P470+K471,IF(B471&lt;&gt;"",P470,""))</f>
        <v/>
      </c>
      <c r="Q471" s="17" t="str">
        <f aca="false">IF(P471&lt;&gt;"",MIN(0,P471-MAX($P$4:P471)),"")</f>
        <v/>
      </c>
    </row>
    <row r="472" customFormat="false" ht="15" hidden="false" customHeight="true" outlineLevel="0" collapsed="false">
      <c r="A472" s="11" t="str">
        <f aca="false">IF(B472&lt;&gt;"",COUNTA($B$4:B472),"")</f>
        <v/>
      </c>
      <c r="B472" s="12"/>
      <c r="C472" s="12"/>
      <c r="D472" s="12"/>
      <c r="E472" s="12"/>
      <c r="F472" s="12"/>
      <c r="G472" s="12"/>
      <c r="H472" s="12"/>
      <c r="I472" s="13"/>
      <c r="J472" s="12"/>
      <c r="K472" s="14" t="str">
        <f aca="false">IF(AND(I472&lt;&gt;"",H472&lt;&gt;"",J472&lt;&gt;""),IF(J472="W",I472*H472,IF(J472="L",-I472,IF(J472="P",I472*H472*0.5,""))),"")</f>
        <v/>
      </c>
      <c r="L472" s="15" t="str">
        <f aca="false">IF(AND(K472&lt;&gt;"",P471&lt;&gt;""),K472/P471,IF(K472&lt;&gt;"",K472/$D$2,""))</f>
        <v/>
      </c>
      <c r="M472" s="12"/>
      <c r="N472" s="12"/>
      <c r="O472" s="12"/>
      <c r="P472" s="16" t="str">
        <f aca="false">IF(K472&lt;&gt;"",P471+K472,IF(B472&lt;&gt;"",P471,""))</f>
        <v/>
      </c>
      <c r="Q472" s="17" t="str">
        <f aca="false">IF(P472&lt;&gt;"",MIN(0,P472-MAX($P$4:P472)),"")</f>
        <v/>
      </c>
    </row>
    <row r="473" customFormat="false" ht="15" hidden="false" customHeight="true" outlineLevel="0" collapsed="false">
      <c r="A473" s="11" t="str">
        <f aca="false">IF(B473&lt;&gt;"",COUNTA($B$4:B473),"")</f>
        <v/>
      </c>
      <c r="B473" s="20"/>
      <c r="C473" s="20"/>
      <c r="D473" s="20"/>
      <c r="E473" s="20"/>
      <c r="F473" s="20"/>
      <c r="G473" s="20"/>
      <c r="H473" s="20"/>
      <c r="I473" s="21"/>
      <c r="J473" s="20"/>
      <c r="K473" s="14" t="str">
        <f aca="false">IF(AND(I473&lt;&gt;"",H473&lt;&gt;"",J473&lt;&gt;""),IF(J473="W",I473*H473,IF(J473="L",-I473,IF(J473="P",I473*H473*0.5,""))),"")</f>
        <v/>
      </c>
      <c r="L473" s="15" t="str">
        <f aca="false">IF(AND(K473&lt;&gt;"",P472&lt;&gt;""),K473/P472,IF(K473&lt;&gt;"",K473/$D$2,""))</f>
        <v/>
      </c>
      <c r="M473" s="20"/>
      <c r="N473" s="20"/>
      <c r="O473" s="20"/>
      <c r="P473" s="16" t="str">
        <f aca="false">IF(K473&lt;&gt;"",P472+K473,IF(B473&lt;&gt;"",P472,""))</f>
        <v/>
      </c>
      <c r="Q473" s="17" t="str">
        <f aca="false">IF(P473&lt;&gt;"",MIN(0,P473-MAX($P$4:P473)),"")</f>
        <v/>
      </c>
    </row>
    <row r="474" customFormat="false" ht="15" hidden="false" customHeight="true" outlineLevel="0" collapsed="false">
      <c r="A474" s="11" t="str">
        <f aca="false">IF(B474&lt;&gt;"",COUNTA($B$4:B474),"")</f>
        <v/>
      </c>
      <c r="B474" s="12"/>
      <c r="C474" s="12"/>
      <c r="D474" s="12"/>
      <c r="E474" s="12"/>
      <c r="F474" s="12"/>
      <c r="G474" s="12"/>
      <c r="H474" s="12"/>
      <c r="I474" s="13"/>
      <c r="J474" s="12"/>
      <c r="K474" s="14" t="str">
        <f aca="false">IF(AND(I474&lt;&gt;"",H474&lt;&gt;"",J474&lt;&gt;""),IF(J474="W",I474*H474,IF(J474="L",-I474,IF(J474="P",I474*H474*0.5,""))),"")</f>
        <v/>
      </c>
      <c r="L474" s="15" t="str">
        <f aca="false">IF(AND(K474&lt;&gt;"",P473&lt;&gt;""),K474/P473,IF(K474&lt;&gt;"",K474/$D$2,""))</f>
        <v/>
      </c>
      <c r="M474" s="12"/>
      <c r="N474" s="12"/>
      <c r="O474" s="12"/>
      <c r="P474" s="16" t="str">
        <f aca="false">IF(K474&lt;&gt;"",P473+K474,IF(B474&lt;&gt;"",P473,""))</f>
        <v/>
      </c>
      <c r="Q474" s="17" t="str">
        <f aca="false">IF(P474&lt;&gt;"",MIN(0,P474-MAX($P$4:P474)),"")</f>
        <v/>
      </c>
    </row>
    <row r="475" customFormat="false" ht="15" hidden="false" customHeight="true" outlineLevel="0" collapsed="false">
      <c r="A475" s="11" t="str">
        <f aca="false">IF(B475&lt;&gt;"",COUNTA($B$4:B475),"")</f>
        <v/>
      </c>
      <c r="B475" s="20"/>
      <c r="C475" s="20"/>
      <c r="D475" s="20"/>
      <c r="E475" s="20"/>
      <c r="F475" s="20"/>
      <c r="G475" s="20"/>
      <c r="H475" s="20"/>
      <c r="I475" s="21"/>
      <c r="J475" s="20"/>
      <c r="K475" s="14" t="str">
        <f aca="false">IF(AND(I475&lt;&gt;"",H475&lt;&gt;"",J475&lt;&gt;""),IF(J475="W",I475*H475,IF(J475="L",-I475,IF(J475="P",I475*H475*0.5,""))),"")</f>
        <v/>
      </c>
      <c r="L475" s="15" t="str">
        <f aca="false">IF(AND(K475&lt;&gt;"",P474&lt;&gt;""),K475/P474,IF(K475&lt;&gt;"",K475/$D$2,""))</f>
        <v/>
      </c>
      <c r="M475" s="20"/>
      <c r="N475" s="20"/>
      <c r="O475" s="20"/>
      <c r="P475" s="16" t="str">
        <f aca="false">IF(K475&lt;&gt;"",P474+K475,IF(B475&lt;&gt;"",P474,""))</f>
        <v/>
      </c>
      <c r="Q475" s="17" t="str">
        <f aca="false">IF(P475&lt;&gt;"",MIN(0,P475-MAX($P$4:P475)),"")</f>
        <v/>
      </c>
    </row>
    <row r="476" customFormat="false" ht="15" hidden="false" customHeight="true" outlineLevel="0" collapsed="false">
      <c r="A476" s="11" t="str">
        <f aca="false">IF(B476&lt;&gt;"",COUNTA($B$4:B476),"")</f>
        <v/>
      </c>
      <c r="B476" s="12"/>
      <c r="C476" s="12"/>
      <c r="D476" s="12"/>
      <c r="E476" s="12"/>
      <c r="F476" s="12"/>
      <c r="G476" s="12"/>
      <c r="H476" s="12"/>
      <c r="I476" s="13"/>
      <c r="J476" s="12"/>
      <c r="K476" s="14" t="str">
        <f aca="false">IF(AND(I476&lt;&gt;"",H476&lt;&gt;"",J476&lt;&gt;""),IF(J476="W",I476*H476,IF(J476="L",-I476,IF(J476="P",I476*H476*0.5,""))),"")</f>
        <v/>
      </c>
      <c r="L476" s="15" t="str">
        <f aca="false">IF(AND(K476&lt;&gt;"",P475&lt;&gt;""),K476/P475,IF(K476&lt;&gt;"",K476/$D$2,""))</f>
        <v/>
      </c>
      <c r="M476" s="12"/>
      <c r="N476" s="12"/>
      <c r="O476" s="12"/>
      <c r="P476" s="16" t="str">
        <f aca="false">IF(K476&lt;&gt;"",P475+K476,IF(B476&lt;&gt;"",P475,""))</f>
        <v/>
      </c>
      <c r="Q476" s="17" t="str">
        <f aca="false">IF(P476&lt;&gt;"",MIN(0,P476-MAX($P$4:P476)),"")</f>
        <v/>
      </c>
    </row>
    <row r="477" customFormat="false" ht="15" hidden="false" customHeight="true" outlineLevel="0" collapsed="false">
      <c r="A477" s="11" t="str">
        <f aca="false">IF(B477&lt;&gt;"",COUNTA($B$4:B477),"")</f>
        <v/>
      </c>
      <c r="B477" s="20"/>
      <c r="C477" s="20"/>
      <c r="D477" s="20"/>
      <c r="E477" s="20"/>
      <c r="F477" s="20"/>
      <c r="G477" s="20"/>
      <c r="H477" s="20"/>
      <c r="I477" s="21"/>
      <c r="J477" s="20"/>
      <c r="K477" s="14" t="str">
        <f aca="false">IF(AND(I477&lt;&gt;"",H477&lt;&gt;"",J477&lt;&gt;""),IF(J477="W",I477*H477,IF(J477="L",-I477,IF(J477="P",I477*H477*0.5,""))),"")</f>
        <v/>
      </c>
      <c r="L477" s="15" t="str">
        <f aca="false">IF(AND(K477&lt;&gt;"",P476&lt;&gt;""),K477/P476,IF(K477&lt;&gt;"",K477/$D$2,""))</f>
        <v/>
      </c>
      <c r="M477" s="20"/>
      <c r="N477" s="20"/>
      <c r="O477" s="20"/>
      <c r="P477" s="16" t="str">
        <f aca="false">IF(K477&lt;&gt;"",P476+K477,IF(B477&lt;&gt;"",P476,""))</f>
        <v/>
      </c>
      <c r="Q477" s="17" t="str">
        <f aca="false">IF(P477&lt;&gt;"",MIN(0,P477-MAX($P$4:P477)),"")</f>
        <v/>
      </c>
    </row>
    <row r="478" customFormat="false" ht="15" hidden="false" customHeight="true" outlineLevel="0" collapsed="false">
      <c r="A478" s="11" t="str">
        <f aca="false">IF(B478&lt;&gt;"",COUNTA($B$4:B478),"")</f>
        <v/>
      </c>
      <c r="B478" s="12"/>
      <c r="C478" s="12"/>
      <c r="D478" s="12"/>
      <c r="E478" s="12"/>
      <c r="F478" s="12"/>
      <c r="G478" s="12"/>
      <c r="H478" s="12"/>
      <c r="I478" s="13"/>
      <c r="J478" s="12"/>
      <c r="K478" s="14" t="str">
        <f aca="false">IF(AND(I478&lt;&gt;"",H478&lt;&gt;"",J478&lt;&gt;""),IF(J478="W",I478*H478,IF(J478="L",-I478,IF(J478="P",I478*H478*0.5,""))),"")</f>
        <v/>
      </c>
      <c r="L478" s="15" t="str">
        <f aca="false">IF(AND(K478&lt;&gt;"",P477&lt;&gt;""),K478/P477,IF(K478&lt;&gt;"",K478/$D$2,""))</f>
        <v/>
      </c>
      <c r="M478" s="12"/>
      <c r="N478" s="12"/>
      <c r="O478" s="12"/>
      <c r="P478" s="16" t="str">
        <f aca="false">IF(K478&lt;&gt;"",P477+K478,IF(B478&lt;&gt;"",P477,""))</f>
        <v/>
      </c>
      <c r="Q478" s="17" t="str">
        <f aca="false">IF(P478&lt;&gt;"",MIN(0,P478-MAX($P$4:P478)),"")</f>
        <v/>
      </c>
    </row>
    <row r="479" customFormat="false" ht="15" hidden="false" customHeight="true" outlineLevel="0" collapsed="false">
      <c r="A479" s="11" t="str">
        <f aca="false">IF(B479&lt;&gt;"",COUNTA($B$4:B479),"")</f>
        <v/>
      </c>
      <c r="B479" s="20"/>
      <c r="C479" s="20"/>
      <c r="D479" s="20"/>
      <c r="E479" s="20"/>
      <c r="F479" s="20"/>
      <c r="G479" s="20"/>
      <c r="H479" s="20"/>
      <c r="I479" s="21"/>
      <c r="J479" s="20"/>
      <c r="K479" s="14" t="str">
        <f aca="false">IF(AND(I479&lt;&gt;"",H479&lt;&gt;"",J479&lt;&gt;""),IF(J479="W",I479*H479,IF(J479="L",-I479,IF(J479="P",I479*H479*0.5,""))),"")</f>
        <v/>
      </c>
      <c r="L479" s="15" t="str">
        <f aca="false">IF(AND(K479&lt;&gt;"",P478&lt;&gt;""),K479/P478,IF(K479&lt;&gt;"",K479/$D$2,""))</f>
        <v/>
      </c>
      <c r="M479" s="20"/>
      <c r="N479" s="20"/>
      <c r="O479" s="20"/>
      <c r="P479" s="16" t="str">
        <f aca="false">IF(K479&lt;&gt;"",P478+K479,IF(B479&lt;&gt;"",P478,""))</f>
        <v/>
      </c>
      <c r="Q479" s="17" t="str">
        <f aca="false">IF(P479&lt;&gt;"",MIN(0,P479-MAX($P$4:P479)),"")</f>
        <v/>
      </c>
    </row>
    <row r="480" customFormat="false" ht="15" hidden="false" customHeight="true" outlineLevel="0" collapsed="false">
      <c r="A480" s="11" t="str">
        <f aca="false">IF(B480&lt;&gt;"",COUNTA($B$4:B480),"")</f>
        <v/>
      </c>
      <c r="B480" s="12"/>
      <c r="C480" s="12"/>
      <c r="D480" s="12"/>
      <c r="E480" s="12"/>
      <c r="F480" s="12"/>
      <c r="G480" s="12"/>
      <c r="H480" s="12"/>
      <c r="I480" s="13"/>
      <c r="J480" s="12"/>
      <c r="K480" s="14" t="str">
        <f aca="false">IF(AND(I480&lt;&gt;"",H480&lt;&gt;"",J480&lt;&gt;""),IF(J480="W",I480*H480,IF(J480="L",-I480,IF(J480="P",I480*H480*0.5,""))),"")</f>
        <v/>
      </c>
      <c r="L480" s="15" t="str">
        <f aca="false">IF(AND(K480&lt;&gt;"",P479&lt;&gt;""),K480/P479,IF(K480&lt;&gt;"",K480/$D$2,""))</f>
        <v/>
      </c>
      <c r="M480" s="12"/>
      <c r="N480" s="12"/>
      <c r="O480" s="12"/>
      <c r="P480" s="16" t="str">
        <f aca="false">IF(K480&lt;&gt;"",P479+K480,IF(B480&lt;&gt;"",P479,""))</f>
        <v/>
      </c>
      <c r="Q480" s="17" t="str">
        <f aca="false">IF(P480&lt;&gt;"",MIN(0,P480-MAX($P$4:P480)),"")</f>
        <v/>
      </c>
    </row>
    <row r="481" customFormat="false" ht="15" hidden="false" customHeight="true" outlineLevel="0" collapsed="false">
      <c r="A481" s="11" t="str">
        <f aca="false">IF(B481&lt;&gt;"",COUNTA($B$4:B481),"")</f>
        <v/>
      </c>
      <c r="B481" s="20"/>
      <c r="C481" s="20"/>
      <c r="D481" s="20"/>
      <c r="E481" s="20"/>
      <c r="F481" s="20"/>
      <c r="G481" s="20"/>
      <c r="H481" s="20"/>
      <c r="I481" s="21"/>
      <c r="J481" s="20"/>
      <c r="K481" s="14" t="str">
        <f aca="false">IF(AND(I481&lt;&gt;"",H481&lt;&gt;"",J481&lt;&gt;""),IF(J481="W",I481*H481,IF(J481="L",-I481,IF(J481="P",I481*H481*0.5,""))),"")</f>
        <v/>
      </c>
      <c r="L481" s="15" t="str">
        <f aca="false">IF(AND(K481&lt;&gt;"",P480&lt;&gt;""),K481/P480,IF(K481&lt;&gt;"",K481/$D$2,""))</f>
        <v/>
      </c>
      <c r="M481" s="20"/>
      <c r="N481" s="20"/>
      <c r="O481" s="20"/>
      <c r="P481" s="16" t="str">
        <f aca="false">IF(K481&lt;&gt;"",P480+K481,IF(B481&lt;&gt;"",P480,""))</f>
        <v/>
      </c>
      <c r="Q481" s="17" t="str">
        <f aca="false">IF(P481&lt;&gt;"",MIN(0,P481-MAX($P$4:P481)),"")</f>
        <v/>
      </c>
    </row>
    <row r="482" customFormat="false" ht="15" hidden="false" customHeight="true" outlineLevel="0" collapsed="false">
      <c r="A482" s="11" t="str">
        <f aca="false">IF(B482&lt;&gt;"",COUNTA($B$4:B482),"")</f>
        <v/>
      </c>
      <c r="B482" s="12"/>
      <c r="C482" s="12"/>
      <c r="D482" s="12"/>
      <c r="E482" s="12"/>
      <c r="F482" s="12"/>
      <c r="G482" s="12"/>
      <c r="H482" s="12"/>
      <c r="I482" s="13"/>
      <c r="J482" s="12"/>
      <c r="K482" s="14" t="str">
        <f aca="false">IF(AND(I482&lt;&gt;"",H482&lt;&gt;"",J482&lt;&gt;""),IF(J482="W",I482*H482,IF(J482="L",-I482,IF(J482="P",I482*H482*0.5,""))),"")</f>
        <v/>
      </c>
      <c r="L482" s="15" t="str">
        <f aca="false">IF(AND(K482&lt;&gt;"",P481&lt;&gt;""),K482/P481,IF(K482&lt;&gt;"",K482/$D$2,""))</f>
        <v/>
      </c>
      <c r="M482" s="12"/>
      <c r="N482" s="12"/>
      <c r="O482" s="12"/>
      <c r="P482" s="16" t="str">
        <f aca="false">IF(K482&lt;&gt;"",P481+K482,IF(B482&lt;&gt;"",P481,""))</f>
        <v/>
      </c>
      <c r="Q482" s="17" t="str">
        <f aca="false">IF(P482&lt;&gt;"",MIN(0,P482-MAX($P$4:P482)),"")</f>
        <v/>
      </c>
    </row>
    <row r="483" customFormat="false" ht="15" hidden="false" customHeight="true" outlineLevel="0" collapsed="false">
      <c r="A483" s="11" t="str">
        <f aca="false">IF(B483&lt;&gt;"",COUNTA($B$4:B483),"")</f>
        <v/>
      </c>
      <c r="B483" s="20"/>
      <c r="C483" s="20"/>
      <c r="D483" s="20"/>
      <c r="E483" s="20"/>
      <c r="F483" s="20"/>
      <c r="G483" s="20"/>
      <c r="H483" s="20"/>
      <c r="I483" s="21"/>
      <c r="J483" s="20"/>
      <c r="K483" s="14" t="str">
        <f aca="false">IF(AND(I483&lt;&gt;"",H483&lt;&gt;"",J483&lt;&gt;""),IF(J483="W",I483*H483,IF(J483="L",-I483,IF(J483="P",I483*H483*0.5,""))),"")</f>
        <v/>
      </c>
      <c r="L483" s="15" t="str">
        <f aca="false">IF(AND(K483&lt;&gt;"",P482&lt;&gt;""),K483/P482,IF(K483&lt;&gt;"",K483/$D$2,""))</f>
        <v/>
      </c>
      <c r="M483" s="20"/>
      <c r="N483" s="20"/>
      <c r="O483" s="20"/>
      <c r="P483" s="16" t="str">
        <f aca="false">IF(K483&lt;&gt;"",P482+K483,IF(B483&lt;&gt;"",P482,""))</f>
        <v/>
      </c>
      <c r="Q483" s="17" t="str">
        <f aca="false">IF(P483&lt;&gt;"",MIN(0,P483-MAX($P$4:P483)),"")</f>
        <v/>
      </c>
    </row>
    <row r="484" customFormat="false" ht="15" hidden="false" customHeight="true" outlineLevel="0" collapsed="false">
      <c r="A484" s="11" t="str">
        <f aca="false">IF(B484&lt;&gt;"",COUNTA($B$4:B484),"")</f>
        <v/>
      </c>
      <c r="B484" s="12"/>
      <c r="C484" s="12"/>
      <c r="D484" s="12"/>
      <c r="E484" s="12"/>
      <c r="F484" s="12"/>
      <c r="G484" s="12"/>
      <c r="H484" s="12"/>
      <c r="I484" s="13"/>
      <c r="J484" s="12"/>
      <c r="K484" s="14" t="str">
        <f aca="false">IF(AND(I484&lt;&gt;"",H484&lt;&gt;"",J484&lt;&gt;""),IF(J484="W",I484*H484,IF(J484="L",-I484,IF(J484="P",I484*H484*0.5,""))),"")</f>
        <v/>
      </c>
      <c r="L484" s="15" t="str">
        <f aca="false">IF(AND(K484&lt;&gt;"",P483&lt;&gt;""),K484/P483,IF(K484&lt;&gt;"",K484/$D$2,""))</f>
        <v/>
      </c>
      <c r="M484" s="12"/>
      <c r="N484" s="12"/>
      <c r="O484" s="12"/>
      <c r="P484" s="16" t="str">
        <f aca="false">IF(K484&lt;&gt;"",P483+K484,IF(B484&lt;&gt;"",P483,""))</f>
        <v/>
      </c>
      <c r="Q484" s="17" t="str">
        <f aca="false">IF(P484&lt;&gt;"",MIN(0,P484-MAX($P$4:P484)),"")</f>
        <v/>
      </c>
    </row>
    <row r="485" customFormat="false" ht="15" hidden="false" customHeight="true" outlineLevel="0" collapsed="false">
      <c r="A485" s="11" t="str">
        <f aca="false">IF(B485&lt;&gt;"",COUNTA($B$4:B485),"")</f>
        <v/>
      </c>
      <c r="B485" s="20"/>
      <c r="C485" s="20"/>
      <c r="D485" s="20"/>
      <c r="E485" s="20"/>
      <c r="F485" s="20"/>
      <c r="G485" s="20"/>
      <c r="H485" s="20"/>
      <c r="I485" s="21"/>
      <c r="J485" s="20"/>
      <c r="K485" s="14" t="str">
        <f aca="false">IF(AND(I485&lt;&gt;"",H485&lt;&gt;"",J485&lt;&gt;""),IF(J485="W",I485*H485,IF(J485="L",-I485,IF(J485="P",I485*H485*0.5,""))),"")</f>
        <v/>
      </c>
      <c r="L485" s="15" t="str">
        <f aca="false">IF(AND(K485&lt;&gt;"",P484&lt;&gt;""),K485/P484,IF(K485&lt;&gt;"",K485/$D$2,""))</f>
        <v/>
      </c>
      <c r="M485" s="20"/>
      <c r="N485" s="20"/>
      <c r="O485" s="20"/>
      <c r="P485" s="16" t="str">
        <f aca="false">IF(K485&lt;&gt;"",P484+K485,IF(B485&lt;&gt;"",P484,""))</f>
        <v/>
      </c>
      <c r="Q485" s="17" t="str">
        <f aca="false">IF(P485&lt;&gt;"",MIN(0,P485-MAX($P$4:P485)),"")</f>
        <v/>
      </c>
    </row>
    <row r="486" customFormat="false" ht="15" hidden="false" customHeight="true" outlineLevel="0" collapsed="false">
      <c r="A486" s="11" t="str">
        <f aca="false">IF(B486&lt;&gt;"",COUNTA($B$4:B486),"")</f>
        <v/>
      </c>
      <c r="B486" s="12"/>
      <c r="C486" s="12"/>
      <c r="D486" s="12"/>
      <c r="E486" s="12"/>
      <c r="F486" s="12"/>
      <c r="G486" s="12"/>
      <c r="H486" s="12"/>
      <c r="I486" s="13"/>
      <c r="J486" s="12"/>
      <c r="K486" s="14" t="str">
        <f aca="false">IF(AND(I486&lt;&gt;"",H486&lt;&gt;"",J486&lt;&gt;""),IF(J486="W",I486*H486,IF(J486="L",-I486,IF(J486="P",I486*H486*0.5,""))),"")</f>
        <v/>
      </c>
      <c r="L486" s="15" t="str">
        <f aca="false">IF(AND(K486&lt;&gt;"",P485&lt;&gt;""),K486/P485,IF(K486&lt;&gt;"",K486/$D$2,""))</f>
        <v/>
      </c>
      <c r="M486" s="12"/>
      <c r="N486" s="12"/>
      <c r="O486" s="12"/>
      <c r="P486" s="16" t="str">
        <f aca="false">IF(K486&lt;&gt;"",P485+K486,IF(B486&lt;&gt;"",P485,""))</f>
        <v/>
      </c>
      <c r="Q486" s="17" t="str">
        <f aca="false">IF(P486&lt;&gt;"",MIN(0,P486-MAX($P$4:P486)),"")</f>
        <v/>
      </c>
    </row>
    <row r="487" customFormat="false" ht="15" hidden="false" customHeight="true" outlineLevel="0" collapsed="false">
      <c r="A487" s="11" t="str">
        <f aca="false">IF(B487&lt;&gt;"",COUNTA($B$4:B487),"")</f>
        <v/>
      </c>
      <c r="B487" s="20"/>
      <c r="C487" s="20"/>
      <c r="D487" s="20"/>
      <c r="E487" s="20"/>
      <c r="F487" s="20"/>
      <c r="G487" s="20"/>
      <c r="H487" s="20"/>
      <c r="I487" s="21"/>
      <c r="J487" s="20"/>
      <c r="K487" s="14" t="str">
        <f aca="false">IF(AND(I487&lt;&gt;"",H487&lt;&gt;"",J487&lt;&gt;""),IF(J487="W",I487*H487,IF(J487="L",-I487,IF(J487="P",I487*H487*0.5,""))),"")</f>
        <v/>
      </c>
      <c r="L487" s="15" t="str">
        <f aca="false">IF(AND(K487&lt;&gt;"",P486&lt;&gt;""),K487/P486,IF(K487&lt;&gt;"",K487/$D$2,""))</f>
        <v/>
      </c>
      <c r="M487" s="20"/>
      <c r="N487" s="20"/>
      <c r="O487" s="20"/>
      <c r="P487" s="16" t="str">
        <f aca="false">IF(K487&lt;&gt;"",P486+K487,IF(B487&lt;&gt;"",P486,""))</f>
        <v/>
      </c>
      <c r="Q487" s="17" t="str">
        <f aca="false">IF(P487&lt;&gt;"",MIN(0,P487-MAX($P$4:P487)),"")</f>
        <v/>
      </c>
    </row>
    <row r="488" customFormat="false" ht="15" hidden="false" customHeight="true" outlineLevel="0" collapsed="false">
      <c r="A488" s="11" t="str">
        <f aca="false">IF(B488&lt;&gt;"",COUNTA($B$4:B488),"")</f>
        <v/>
      </c>
      <c r="B488" s="12"/>
      <c r="C488" s="12"/>
      <c r="D488" s="12"/>
      <c r="E488" s="12"/>
      <c r="F488" s="12"/>
      <c r="G488" s="12"/>
      <c r="H488" s="12"/>
      <c r="I488" s="13"/>
      <c r="J488" s="12"/>
      <c r="K488" s="14" t="str">
        <f aca="false">IF(AND(I488&lt;&gt;"",H488&lt;&gt;"",J488&lt;&gt;""),IF(J488="W",I488*H488,IF(J488="L",-I488,IF(J488="P",I488*H488*0.5,""))),"")</f>
        <v/>
      </c>
      <c r="L488" s="15" t="str">
        <f aca="false">IF(AND(K488&lt;&gt;"",P487&lt;&gt;""),K488/P487,IF(K488&lt;&gt;"",K488/$D$2,""))</f>
        <v/>
      </c>
      <c r="M488" s="12"/>
      <c r="N488" s="12"/>
      <c r="O488" s="12"/>
      <c r="P488" s="16" t="str">
        <f aca="false">IF(K488&lt;&gt;"",P487+K488,IF(B488&lt;&gt;"",P487,""))</f>
        <v/>
      </c>
      <c r="Q488" s="17" t="str">
        <f aca="false">IF(P488&lt;&gt;"",MIN(0,P488-MAX($P$4:P488)),"")</f>
        <v/>
      </c>
    </row>
    <row r="489" customFormat="false" ht="15" hidden="false" customHeight="true" outlineLevel="0" collapsed="false">
      <c r="A489" s="11" t="str">
        <f aca="false">IF(B489&lt;&gt;"",COUNTA($B$4:B489),"")</f>
        <v/>
      </c>
      <c r="B489" s="20"/>
      <c r="C489" s="20"/>
      <c r="D489" s="20"/>
      <c r="E489" s="20"/>
      <c r="F489" s="20"/>
      <c r="G489" s="20"/>
      <c r="H489" s="20"/>
      <c r="I489" s="21"/>
      <c r="J489" s="20"/>
      <c r="K489" s="14" t="str">
        <f aca="false">IF(AND(I489&lt;&gt;"",H489&lt;&gt;"",J489&lt;&gt;""),IF(J489="W",I489*H489,IF(J489="L",-I489,IF(J489="P",I489*H489*0.5,""))),"")</f>
        <v/>
      </c>
      <c r="L489" s="15" t="str">
        <f aca="false">IF(AND(K489&lt;&gt;"",P488&lt;&gt;""),K489/P488,IF(K489&lt;&gt;"",K489/$D$2,""))</f>
        <v/>
      </c>
      <c r="M489" s="20"/>
      <c r="N489" s="20"/>
      <c r="O489" s="20"/>
      <c r="P489" s="16" t="str">
        <f aca="false">IF(K489&lt;&gt;"",P488+K489,IF(B489&lt;&gt;"",P488,""))</f>
        <v/>
      </c>
      <c r="Q489" s="17" t="str">
        <f aca="false">IF(P489&lt;&gt;"",MIN(0,P489-MAX($P$4:P489)),"")</f>
        <v/>
      </c>
    </row>
    <row r="490" customFormat="false" ht="15" hidden="false" customHeight="true" outlineLevel="0" collapsed="false">
      <c r="A490" s="11" t="str">
        <f aca="false">IF(B490&lt;&gt;"",COUNTA($B$4:B490),"")</f>
        <v/>
      </c>
      <c r="B490" s="12"/>
      <c r="C490" s="12"/>
      <c r="D490" s="12"/>
      <c r="E490" s="12"/>
      <c r="F490" s="12"/>
      <c r="G490" s="12"/>
      <c r="H490" s="12"/>
      <c r="I490" s="13"/>
      <c r="J490" s="12"/>
      <c r="K490" s="14" t="str">
        <f aca="false">IF(AND(I490&lt;&gt;"",H490&lt;&gt;"",J490&lt;&gt;""),IF(J490="W",I490*H490,IF(J490="L",-I490,IF(J490="P",I490*H490*0.5,""))),"")</f>
        <v/>
      </c>
      <c r="L490" s="15" t="str">
        <f aca="false">IF(AND(K490&lt;&gt;"",P489&lt;&gt;""),K490/P489,IF(K490&lt;&gt;"",K490/$D$2,""))</f>
        <v/>
      </c>
      <c r="M490" s="12"/>
      <c r="N490" s="12"/>
      <c r="O490" s="12"/>
      <c r="P490" s="16" t="str">
        <f aca="false">IF(K490&lt;&gt;"",P489+K490,IF(B490&lt;&gt;"",P489,""))</f>
        <v/>
      </c>
      <c r="Q490" s="17" t="str">
        <f aca="false">IF(P490&lt;&gt;"",MIN(0,P490-MAX($P$4:P490)),"")</f>
        <v/>
      </c>
    </row>
    <row r="491" customFormat="false" ht="15" hidden="false" customHeight="true" outlineLevel="0" collapsed="false">
      <c r="A491" s="11" t="str">
        <f aca="false">IF(B491&lt;&gt;"",COUNTA($B$4:B491),"")</f>
        <v/>
      </c>
      <c r="B491" s="20"/>
      <c r="C491" s="20"/>
      <c r="D491" s="20"/>
      <c r="E491" s="20"/>
      <c r="F491" s="20"/>
      <c r="G491" s="20"/>
      <c r="H491" s="20"/>
      <c r="I491" s="21"/>
      <c r="J491" s="20"/>
      <c r="K491" s="14" t="str">
        <f aca="false">IF(AND(I491&lt;&gt;"",H491&lt;&gt;"",J491&lt;&gt;""),IF(J491="W",I491*H491,IF(J491="L",-I491,IF(J491="P",I491*H491*0.5,""))),"")</f>
        <v/>
      </c>
      <c r="L491" s="15" t="str">
        <f aca="false">IF(AND(K491&lt;&gt;"",P490&lt;&gt;""),K491/P490,IF(K491&lt;&gt;"",K491/$D$2,""))</f>
        <v/>
      </c>
      <c r="M491" s="20"/>
      <c r="N491" s="20"/>
      <c r="O491" s="20"/>
      <c r="P491" s="16" t="str">
        <f aca="false">IF(K491&lt;&gt;"",P490+K491,IF(B491&lt;&gt;"",P490,""))</f>
        <v/>
      </c>
      <c r="Q491" s="17" t="str">
        <f aca="false">IF(P491&lt;&gt;"",MIN(0,P491-MAX($P$4:P491)),"")</f>
        <v/>
      </c>
    </row>
    <row r="492" customFormat="false" ht="15" hidden="false" customHeight="true" outlineLevel="0" collapsed="false">
      <c r="A492" s="11" t="str">
        <f aca="false">IF(B492&lt;&gt;"",COUNTA($B$4:B492),"")</f>
        <v/>
      </c>
      <c r="B492" s="12"/>
      <c r="C492" s="12"/>
      <c r="D492" s="12"/>
      <c r="E492" s="12"/>
      <c r="F492" s="12"/>
      <c r="G492" s="12"/>
      <c r="H492" s="12"/>
      <c r="I492" s="13"/>
      <c r="J492" s="12"/>
      <c r="K492" s="14" t="str">
        <f aca="false">IF(AND(I492&lt;&gt;"",H492&lt;&gt;"",J492&lt;&gt;""),IF(J492="W",I492*H492,IF(J492="L",-I492,IF(J492="P",I492*H492*0.5,""))),"")</f>
        <v/>
      </c>
      <c r="L492" s="15" t="str">
        <f aca="false">IF(AND(K492&lt;&gt;"",P491&lt;&gt;""),K492/P491,IF(K492&lt;&gt;"",K492/$D$2,""))</f>
        <v/>
      </c>
      <c r="M492" s="12"/>
      <c r="N492" s="12"/>
      <c r="O492" s="12"/>
      <c r="P492" s="16" t="str">
        <f aca="false">IF(K492&lt;&gt;"",P491+K492,IF(B492&lt;&gt;"",P491,""))</f>
        <v/>
      </c>
      <c r="Q492" s="17" t="str">
        <f aca="false">IF(P492&lt;&gt;"",MIN(0,P492-MAX($P$4:P492)),"")</f>
        <v/>
      </c>
    </row>
    <row r="493" customFormat="false" ht="15" hidden="false" customHeight="true" outlineLevel="0" collapsed="false">
      <c r="A493" s="11" t="str">
        <f aca="false">IF(B493&lt;&gt;"",COUNTA($B$4:B493),"")</f>
        <v/>
      </c>
      <c r="B493" s="20"/>
      <c r="C493" s="20"/>
      <c r="D493" s="20"/>
      <c r="E493" s="20"/>
      <c r="F493" s="20"/>
      <c r="G493" s="20"/>
      <c r="H493" s="20"/>
      <c r="I493" s="21"/>
      <c r="J493" s="20"/>
      <c r="K493" s="14" t="str">
        <f aca="false">IF(AND(I493&lt;&gt;"",H493&lt;&gt;"",J493&lt;&gt;""),IF(J493="W",I493*H493,IF(J493="L",-I493,IF(J493="P",I493*H493*0.5,""))),"")</f>
        <v/>
      </c>
      <c r="L493" s="15" t="str">
        <f aca="false">IF(AND(K493&lt;&gt;"",P492&lt;&gt;""),K493/P492,IF(K493&lt;&gt;"",K493/$D$2,""))</f>
        <v/>
      </c>
      <c r="M493" s="20"/>
      <c r="N493" s="20"/>
      <c r="O493" s="20"/>
      <c r="P493" s="16" t="str">
        <f aca="false">IF(K493&lt;&gt;"",P492+K493,IF(B493&lt;&gt;"",P492,""))</f>
        <v/>
      </c>
      <c r="Q493" s="17" t="str">
        <f aca="false">IF(P493&lt;&gt;"",MIN(0,P493-MAX($P$4:P493)),"")</f>
        <v/>
      </c>
    </row>
    <row r="494" customFormat="false" ht="15" hidden="false" customHeight="true" outlineLevel="0" collapsed="false">
      <c r="A494" s="11" t="str">
        <f aca="false">IF(B494&lt;&gt;"",COUNTA($B$4:B494),"")</f>
        <v/>
      </c>
      <c r="B494" s="12"/>
      <c r="C494" s="12"/>
      <c r="D494" s="12"/>
      <c r="E494" s="12"/>
      <c r="F494" s="12"/>
      <c r="G494" s="12"/>
      <c r="H494" s="12"/>
      <c r="I494" s="13"/>
      <c r="J494" s="12"/>
      <c r="K494" s="14" t="str">
        <f aca="false">IF(AND(I494&lt;&gt;"",H494&lt;&gt;"",J494&lt;&gt;""),IF(J494="W",I494*H494,IF(J494="L",-I494,IF(J494="P",I494*H494*0.5,""))),"")</f>
        <v/>
      </c>
      <c r="L494" s="15" t="str">
        <f aca="false">IF(AND(K494&lt;&gt;"",P493&lt;&gt;""),K494/P493,IF(K494&lt;&gt;"",K494/$D$2,""))</f>
        <v/>
      </c>
      <c r="M494" s="12"/>
      <c r="N494" s="12"/>
      <c r="O494" s="12"/>
      <c r="P494" s="16" t="str">
        <f aca="false">IF(K494&lt;&gt;"",P493+K494,IF(B494&lt;&gt;"",P493,""))</f>
        <v/>
      </c>
      <c r="Q494" s="17" t="str">
        <f aca="false">IF(P494&lt;&gt;"",MIN(0,P494-MAX($P$4:P494)),"")</f>
        <v/>
      </c>
    </row>
    <row r="495" customFormat="false" ht="15" hidden="false" customHeight="true" outlineLevel="0" collapsed="false">
      <c r="A495" s="11" t="str">
        <f aca="false">IF(B495&lt;&gt;"",COUNTA($B$4:B495),"")</f>
        <v/>
      </c>
      <c r="B495" s="20"/>
      <c r="C495" s="20"/>
      <c r="D495" s="20"/>
      <c r="E495" s="20"/>
      <c r="F495" s="20"/>
      <c r="G495" s="20"/>
      <c r="H495" s="20"/>
      <c r="I495" s="21"/>
      <c r="J495" s="20"/>
      <c r="K495" s="14" t="str">
        <f aca="false">IF(AND(I495&lt;&gt;"",H495&lt;&gt;"",J495&lt;&gt;""),IF(J495="W",I495*H495,IF(J495="L",-I495,IF(J495="P",I495*H495*0.5,""))),"")</f>
        <v/>
      </c>
      <c r="L495" s="15" t="str">
        <f aca="false">IF(AND(K495&lt;&gt;"",P494&lt;&gt;""),K495/P494,IF(K495&lt;&gt;"",K495/$D$2,""))</f>
        <v/>
      </c>
      <c r="M495" s="20"/>
      <c r="N495" s="20"/>
      <c r="O495" s="20"/>
      <c r="P495" s="16" t="str">
        <f aca="false">IF(K495&lt;&gt;"",P494+K495,IF(B495&lt;&gt;"",P494,""))</f>
        <v/>
      </c>
      <c r="Q495" s="17" t="str">
        <f aca="false">IF(P495&lt;&gt;"",MIN(0,P495-MAX($P$4:P495)),"")</f>
        <v/>
      </c>
    </row>
    <row r="496" customFormat="false" ht="15" hidden="false" customHeight="true" outlineLevel="0" collapsed="false">
      <c r="A496" s="11" t="str">
        <f aca="false">IF(B496&lt;&gt;"",COUNTA($B$4:B496),"")</f>
        <v/>
      </c>
      <c r="B496" s="12"/>
      <c r="C496" s="12"/>
      <c r="D496" s="12"/>
      <c r="E496" s="12"/>
      <c r="F496" s="12"/>
      <c r="G496" s="12"/>
      <c r="H496" s="12"/>
      <c r="I496" s="13"/>
      <c r="J496" s="12"/>
      <c r="K496" s="14" t="str">
        <f aca="false">IF(AND(I496&lt;&gt;"",H496&lt;&gt;"",J496&lt;&gt;""),IF(J496="W",I496*H496,IF(J496="L",-I496,IF(J496="P",I496*H496*0.5,""))),"")</f>
        <v/>
      </c>
      <c r="L496" s="15" t="str">
        <f aca="false">IF(AND(K496&lt;&gt;"",P495&lt;&gt;""),K496/P495,IF(K496&lt;&gt;"",K496/$D$2,""))</f>
        <v/>
      </c>
      <c r="M496" s="12"/>
      <c r="N496" s="12"/>
      <c r="O496" s="12"/>
      <c r="P496" s="16" t="str">
        <f aca="false">IF(K496&lt;&gt;"",P495+K496,IF(B496&lt;&gt;"",P495,""))</f>
        <v/>
      </c>
      <c r="Q496" s="17" t="str">
        <f aca="false">IF(P496&lt;&gt;"",MIN(0,P496-MAX($P$4:P496)),"")</f>
        <v/>
      </c>
    </row>
    <row r="497" customFormat="false" ht="15" hidden="false" customHeight="true" outlineLevel="0" collapsed="false">
      <c r="A497" s="11" t="str">
        <f aca="false">IF(B497&lt;&gt;"",COUNTA($B$4:B497),"")</f>
        <v/>
      </c>
      <c r="B497" s="20"/>
      <c r="C497" s="20"/>
      <c r="D497" s="20"/>
      <c r="E497" s="20"/>
      <c r="F497" s="20"/>
      <c r="G497" s="20"/>
      <c r="H497" s="20"/>
      <c r="I497" s="21"/>
      <c r="J497" s="20"/>
      <c r="K497" s="14" t="str">
        <f aca="false">IF(AND(I497&lt;&gt;"",H497&lt;&gt;"",J497&lt;&gt;""),IF(J497="W",I497*H497,IF(J497="L",-I497,IF(J497="P",I497*H497*0.5,""))),"")</f>
        <v/>
      </c>
      <c r="L497" s="15" t="str">
        <f aca="false">IF(AND(K497&lt;&gt;"",P496&lt;&gt;""),K497/P496,IF(K497&lt;&gt;"",K497/$D$2,""))</f>
        <v/>
      </c>
      <c r="M497" s="20"/>
      <c r="N497" s="20"/>
      <c r="O497" s="20"/>
      <c r="P497" s="16" t="str">
        <f aca="false">IF(K497&lt;&gt;"",P496+K497,IF(B497&lt;&gt;"",P496,""))</f>
        <v/>
      </c>
      <c r="Q497" s="17" t="str">
        <f aca="false">IF(P497&lt;&gt;"",MIN(0,P497-MAX($P$4:P497)),"")</f>
        <v/>
      </c>
    </row>
    <row r="498" customFormat="false" ht="15" hidden="false" customHeight="true" outlineLevel="0" collapsed="false">
      <c r="A498" s="11" t="str">
        <f aca="false">IF(B498&lt;&gt;"",COUNTA($B$4:B498),"")</f>
        <v/>
      </c>
      <c r="B498" s="12"/>
      <c r="C498" s="12"/>
      <c r="D498" s="12"/>
      <c r="E498" s="12"/>
      <c r="F498" s="12"/>
      <c r="G498" s="12"/>
      <c r="H498" s="12"/>
      <c r="I498" s="13"/>
      <c r="J498" s="12"/>
      <c r="K498" s="14" t="str">
        <f aca="false">IF(AND(I498&lt;&gt;"",H498&lt;&gt;"",J498&lt;&gt;""),IF(J498="W",I498*H498,IF(J498="L",-I498,IF(J498="P",I498*H498*0.5,""))),"")</f>
        <v/>
      </c>
      <c r="L498" s="15" t="str">
        <f aca="false">IF(AND(K498&lt;&gt;"",P497&lt;&gt;""),K498/P497,IF(K498&lt;&gt;"",K498/$D$2,""))</f>
        <v/>
      </c>
      <c r="M498" s="12"/>
      <c r="N498" s="12"/>
      <c r="O498" s="12"/>
      <c r="P498" s="16" t="str">
        <f aca="false">IF(K498&lt;&gt;"",P497+K498,IF(B498&lt;&gt;"",P497,""))</f>
        <v/>
      </c>
      <c r="Q498" s="17" t="str">
        <f aca="false">IF(P498&lt;&gt;"",MIN(0,P498-MAX($P$4:P498)),"")</f>
        <v/>
      </c>
    </row>
    <row r="499" customFormat="false" ht="15" hidden="false" customHeight="true" outlineLevel="0" collapsed="false">
      <c r="A499" s="11" t="str">
        <f aca="false">IF(B499&lt;&gt;"",COUNTA($B$4:B499),"")</f>
        <v/>
      </c>
      <c r="B499" s="20"/>
      <c r="C499" s="20"/>
      <c r="D499" s="20"/>
      <c r="E499" s="20"/>
      <c r="F499" s="20"/>
      <c r="G499" s="20"/>
      <c r="H499" s="20"/>
      <c r="I499" s="21"/>
      <c r="J499" s="20"/>
      <c r="K499" s="14" t="str">
        <f aca="false">IF(AND(I499&lt;&gt;"",H499&lt;&gt;"",J499&lt;&gt;""),IF(J499="W",I499*H499,IF(J499="L",-I499,IF(J499="P",I499*H499*0.5,""))),"")</f>
        <v/>
      </c>
      <c r="L499" s="15" t="str">
        <f aca="false">IF(AND(K499&lt;&gt;"",P498&lt;&gt;""),K499/P498,IF(K499&lt;&gt;"",K499/$D$2,""))</f>
        <v/>
      </c>
      <c r="M499" s="20"/>
      <c r="N499" s="20"/>
      <c r="O499" s="20"/>
      <c r="P499" s="16" t="str">
        <f aca="false">IF(K499&lt;&gt;"",P498+K499,IF(B499&lt;&gt;"",P498,""))</f>
        <v/>
      </c>
      <c r="Q499" s="17" t="str">
        <f aca="false">IF(P499&lt;&gt;"",MIN(0,P499-MAX($P$4:P499)),"")</f>
        <v/>
      </c>
    </row>
    <row r="500" customFormat="false" ht="15" hidden="false" customHeight="true" outlineLevel="0" collapsed="false">
      <c r="A500" s="11" t="str">
        <f aca="false">IF(B500&lt;&gt;"",COUNTA($B$4:B500),"")</f>
        <v/>
      </c>
      <c r="B500" s="12"/>
      <c r="C500" s="12"/>
      <c r="D500" s="12"/>
      <c r="E500" s="12"/>
      <c r="F500" s="12"/>
      <c r="G500" s="12"/>
      <c r="H500" s="12"/>
      <c r="I500" s="13"/>
      <c r="J500" s="12"/>
      <c r="K500" s="14" t="str">
        <f aca="false">IF(AND(I500&lt;&gt;"",H500&lt;&gt;"",J500&lt;&gt;""),IF(J500="W",I500*H500,IF(J500="L",-I500,IF(J500="P",I500*H500*0.5,""))),"")</f>
        <v/>
      </c>
      <c r="L500" s="15" t="str">
        <f aca="false">IF(AND(K500&lt;&gt;"",P499&lt;&gt;""),K500/P499,IF(K500&lt;&gt;"",K500/$D$2,""))</f>
        <v/>
      </c>
      <c r="M500" s="12"/>
      <c r="N500" s="12"/>
      <c r="O500" s="12"/>
      <c r="P500" s="16" t="str">
        <f aca="false">IF(K500&lt;&gt;"",P499+K500,IF(B500&lt;&gt;"",P499,""))</f>
        <v/>
      </c>
      <c r="Q500" s="17" t="str">
        <f aca="false">IF(P500&lt;&gt;"",MIN(0,P500-MAX($P$4:P500)),"")</f>
        <v/>
      </c>
    </row>
    <row r="501" customFormat="false" ht="15" hidden="false" customHeight="true" outlineLevel="0" collapsed="false">
      <c r="A501" s="11" t="str">
        <f aca="false">IF(B501&lt;&gt;"",COUNTA($B$4:B501),"")</f>
        <v/>
      </c>
      <c r="B501" s="20"/>
      <c r="C501" s="20"/>
      <c r="D501" s="20"/>
      <c r="E501" s="20"/>
      <c r="F501" s="20"/>
      <c r="G501" s="20"/>
      <c r="H501" s="20"/>
      <c r="I501" s="21"/>
      <c r="J501" s="20"/>
      <c r="K501" s="14" t="str">
        <f aca="false">IF(AND(I501&lt;&gt;"",H501&lt;&gt;"",J501&lt;&gt;""),IF(J501="W",I501*H501,IF(J501="L",-I501,IF(J501="P",I501*H501*0.5,""))),"")</f>
        <v/>
      </c>
      <c r="L501" s="15" t="str">
        <f aca="false">IF(AND(K501&lt;&gt;"",P500&lt;&gt;""),K501/P500,IF(K501&lt;&gt;"",K501/$D$2,""))</f>
        <v/>
      </c>
      <c r="M501" s="20"/>
      <c r="N501" s="20"/>
      <c r="O501" s="20"/>
      <c r="P501" s="16" t="str">
        <f aca="false">IF(K501&lt;&gt;"",P500+K501,IF(B501&lt;&gt;"",P500,""))</f>
        <v/>
      </c>
      <c r="Q501" s="17" t="str">
        <f aca="false">IF(P501&lt;&gt;"",MIN(0,P501-MAX($P$4:P501)),"")</f>
        <v/>
      </c>
    </row>
    <row r="502" customFormat="false" ht="15" hidden="false" customHeight="true" outlineLevel="0" collapsed="false">
      <c r="A502" s="11" t="str">
        <f aca="false">IF(B502&lt;&gt;"",COUNTA($B$4:B502),"")</f>
        <v/>
      </c>
      <c r="B502" s="12"/>
      <c r="C502" s="12"/>
      <c r="D502" s="12"/>
      <c r="E502" s="12"/>
      <c r="F502" s="12"/>
      <c r="G502" s="12"/>
      <c r="H502" s="12"/>
      <c r="I502" s="13"/>
      <c r="J502" s="12"/>
      <c r="K502" s="14" t="str">
        <f aca="false">IF(AND(I502&lt;&gt;"",H502&lt;&gt;"",J502&lt;&gt;""),IF(J502="W",I502*H502,IF(J502="L",-I502,IF(J502="P",I502*H502*0.5,""))),"")</f>
        <v/>
      </c>
      <c r="L502" s="15" t="str">
        <f aca="false">IF(AND(K502&lt;&gt;"",P501&lt;&gt;""),K502/P501,IF(K502&lt;&gt;"",K502/$D$2,""))</f>
        <v/>
      </c>
      <c r="M502" s="12"/>
      <c r="N502" s="12"/>
      <c r="O502" s="12"/>
      <c r="P502" s="16" t="str">
        <f aca="false">IF(K502&lt;&gt;"",P501+K502,IF(B502&lt;&gt;"",P501,""))</f>
        <v/>
      </c>
      <c r="Q502" s="17" t="str">
        <f aca="false">IF(P502&lt;&gt;"",MIN(0,P502-MAX($P$4:P502)),"")</f>
        <v/>
      </c>
    </row>
    <row r="503" customFormat="false" ht="15" hidden="false" customHeight="true" outlineLevel="0" collapsed="false">
      <c r="A503" s="11" t="str">
        <f aca="false">IF(B503&lt;&gt;"",COUNTA($B$4:B503),"")</f>
        <v/>
      </c>
      <c r="B503" s="20"/>
      <c r="C503" s="20"/>
      <c r="D503" s="20"/>
      <c r="E503" s="20"/>
      <c r="F503" s="20"/>
      <c r="G503" s="20"/>
      <c r="H503" s="20"/>
      <c r="I503" s="21"/>
      <c r="J503" s="20"/>
      <c r="K503" s="14" t="str">
        <f aca="false">IF(AND(I503&lt;&gt;"",H503&lt;&gt;"",J503&lt;&gt;""),IF(J503="W",I503*H503,IF(J503="L",-I503,IF(J503="P",I503*H503*0.5,""))),"")</f>
        <v/>
      </c>
      <c r="L503" s="15" t="str">
        <f aca="false">IF(AND(K503&lt;&gt;"",P502&lt;&gt;""),K503/P502,IF(K503&lt;&gt;"",K503/$D$2,""))</f>
        <v/>
      </c>
      <c r="M503" s="20"/>
      <c r="N503" s="20"/>
      <c r="O503" s="20"/>
      <c r="P503" s="16" t="str">
        <f aca="false">IF(K503&lt;&gt;"",P502+K503,IF(B503&lt;&gt;"",P502,""))</f>
        <v/>
      </c>
      <c r="Q503" s="17" t="str">
        <f aca="false">IF(P503&lt;&gt;"",MIN(0,P503-MAX($P$4:P503)),"")</f>
        <v/>
      </c>
    </row>
  </sheetData>
  <conditionalFormatting sqref="M4:M503">
    <cfRule type="expression" priority="2" aboveAverage="0" equalAverage="0" bottom="0" percent="0" rank="0" text="" dxfId="0">
      <formula>M4="Win"</formula>
    </cfRule>
    <cfRule type="expression" priority="3" aboveAverage="0" equalAverage="0" bottom="0" percent="0" rank="0" text="" dxfId="1">
      <formula>M4="Loss"</formula>
    </cfRule>
    <cfRule type="expression" priority="4" aboveAverage="0" equalAverage="0" bottom="0" percent="0" rank="0" text="" dxfId="2">
      <formula>M4="Partial"</formula>
    </cfRule>
  </conditionalFormatting>
  <conditionalFormatting sqref="J4:J503">
    <cfRule type="expression" priority="5" aboveAverage="0" equalAverage="0" bottom="0" percent="0" rank="0" text="" dxfId="0">
      <formula>J4="W"</formula>
    </cfRule>
    <cfRule type="expression" priority="6" aboveAverage="0" equalAverage="0" bottom="0" percent="0" rank="0" text="" dxfId="1">
      <formula>J4="L"</formula>
    </cfRule>
    <cfRule type="expression" priority="7" aboveAverage="0" equalAverage="0" bottom="0" percent="0" rank="0" text="" dxfId="2">
      <formula>J4="P"</formula>
    </cfRule>
  </conditionalFormatting>
  <conditionalFormatting sqref="K4:K503">
    <cfRule type="expression" priority="8" aboveAverage="0" equalAverage="0" bottom="0" percent="0" rank="0" text="" dxfId="0">
      <formula>K4&gt;0</formula>
    </cfRule>
    <cfRule type="expression" priority="9" aboveAverage="0" equalAverage="0" bottom="0" percent="0" rank="0" text="" dxfId="1">
      <formula>K4&lt;0</formula>
    </cfRule>
  </conditionalFormatting>
  <dataValidations count="4">
    <dataValidation allowBlank="true" errorStyle="stop" operator="between" showDropDown="false" showErrorMessage="false" showInputMessage="false" sqref="J4:J503" type="list">
      <formula1>"W,L,P"</formula1>
      <formula2>0</formula2>
    </dataValidation>
    <dataValidation allowBlank="true" errorStyle="stop" operator="between" showDropDown="false" showErrorMessage="false" showInputMessage="false" sqref="M4:M503" type="list">
      <formula1>"Win,Loss,Partial,No Trade"</formula1>
      <formula2>0</formula2>
    </dataValidation>
    <dataValidation allowBlank="true" errorStyle="stop" operator="between" showDropDown="false" showErrorMessage="false" showInputMessage="false" sqref="D4:D503" type="list">
      <formula1>"London,New York,Asia,London/NY Overlap"</formula1>
      <formula2>0</formula2>
    </dataValidation>
    <dataValidation allowBlank="true" errorStyle="stop" operator="between" showDropDown="false" showErrorMessage="false" showInputMessage="false" sqref="C4:C503" type="list">
      <formula1>"BTC,ETH,BTC/USD,ETH/USD,Other"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7"/>
    <col collapsed="false" customWidth="true" hidden="false" outlineLevel="0" max="9" min="9" style="1" width="13"/>
    <col collapsed="false" customWidth="true" hidden="false" outlineLevel="0" max="11" min="10" style="1" width="10"/>
    <col collapsed="false" customWidth="true" hidden="false" outlineLevel="0" max="12" min="12" style="1" width="11"/>
    <col collapsed="false" customWidth="true" hidden="false" outlineLevel="0" max="13" min="13" style="1" width="10"/>
    <col collapsed="false" customWidth="true" hidden="false" outlineLevel="0" max="14" min="14" style="1" width="25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0"/>
    <col collapsed="false" customWidth="true" hidden="false" outlineLevel="0" max="18" min="18" style="1" width="16"/>
    <col collapsed="false" customWidth="true" hidden="false" outlineLevel="0" max="22" min="20" style="1" width="14"/>
  </cols>
  <sheetData>
    <row r="1" customFormat="false" ht="36" hidden="false" customHeight="true" outlineLevel="0" collapsed="false">
      <c r="A1" s="2" t="s">
        <v>38</v>
      </c>
      <c r="S1" s="3" t="s">
        <v>1</v>
      </c>
    </row>
    <row r="2" customFormat="false" ht="21.75" hidden="false" customHeight="true" outlineLevel="0" collapsed="false">
      <c r="A2" s="4" t="s">
        <v>2</v>
      </c>
      <c r="D2" s="5" t="n">
        <v>10000</v>
      </c>
      <c r="E2" s="6" t="s">
        <v>3</v>
      </c>
      <c r="S2" s="7" t="s">
        <v>4</v>
      </c>
      <c r="T2" s="8" t="n">
        <f aca="false">$D$2</f>
        <v>10000</v>
      </c>
    </row>
    <row r="3" customFormat="false" ht="21.75" hidden="false" customHeight="true" outlineLevel="0" collapsed="false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V3" s="10" t="s">
        <v>22</v>
      </c>
    </row>
    <row r="4" customFormat="false" ht="15" hidden="false" customHeight="true" outlineLevel="0" collapsed="false">
      <c r="A4" s="11" t="str">
        <f aca="false">IF(B4&lt;&gt;"",COUNTA($B$4:B4),"")</f>
        <v/>
      </c>
      <c r="B4" s="12"/>
      <c r="C4" s="12"/>
      <c r="D4" s="12"/>
      <c r="E4" s="12"/>
      <c r="F4" s="12"/>
      <c r="G4" s="12"/>
      <c r="H4" s="12"/>
      <c r="I4" s="13"/>
      <c r="J4" s="12"/>
      <c r="K4" s="14" t="str">
        <f aca="false">IF(AND(I4&lt;&gt;"",H4&lt;&gt;"",J4&lt;&gt;""),IF(J4="W",I4*H4,IF(J4="L",-I4,IF(J4="P",I4*H4*0.5,""))),"")</f>
        <v/>
      </c>
      <c r="L4" s="15" t="str">
        <f aca="false">IF(K4&lt;&gt;"",K4/$D$2,"")</f>
        <v/>
      </c>
      <c r="M4" s="12"/>
      <c r="N4" s="12"/>
      <c r="O4" s="12"/>
      <c r="P4" s="16" t="n">
        <f aca="false">IF(K4&lt;&gt;"",$D$2+K4,$D$2)</f>
        <v>10000</v>
      </c>
      <c r="Q4" s="17" t="n">
        <f aca="false">IF(P4&lt;&gt;"",MIN(0,P4-MAX($P$4:P4)),"")</f>
        <v>0</v>
      </c>
      <c r="S4" s="18" t="s">
        <v>23</v>
      </c>
      <c r="T4" s="19" t="n">
        <f aca="false">COUNTIF(M4:M503,"Win")+COUNTIF(M4:M503,"Loss")+COUNTIF(M4:M503,"Partial")</f>
        <v>0</v>
      </c>
      <c r="V4" s="9" t="s">
        <v>8</v>
      </c>
      <c r="W4" s="9" t="s">
        <v>24</v>
      </c>
      <c r="X4" s="9" t="s">
        <v>25</v>
      </c>
    </row>
    <row r="5" customFormat="false" ht="15" hidden="false" customHeight="true" outlineLevel="0" collapsed="false">
      <c r="A5" s="11" t="str">
        <f aca="false">IF(B5&lt;&gt;"",COUNTA($B$4:B5),"")</f>
        <v/>
      </c>
      <c r="B5" s="20"/>
      <c r="C5" s="20"/>
      <c r="D5" s="20"/>
      <c r="E5" s="20"/>
      <c r="F5" s="20"/>
      <c r="G5" s="20"/>
      <c r="H5" s="20"/>
      <c r="I5" s="21"/>
      <c r="J5" s="20"/>
      <c r="K5" s="14" t="str">
        <f aca="false">IF(AND(I5&lt;&gt;"",H5&lt;&gt;"",J5&lt;&gt;""),IF(J5="W",I5*H5,IF(J5="L",-I5,IF(J5="P",I5*H5*0.5,""))),"")</f>
        <v/>
      </c>
      <c r="L5" s="15" t="str">
        <f aca="false">IF(AND(K5&lt;&gt;"",P4&lt;&gt;""),K5/P4,IF(K5&lt;&gt;"",K5/$D$2,""))</f>
        <v/>
      </c>
      <c r="M5" s="20"/>
      <c r="N5" s="20"/>
      <c r="O5" s="20"/>
      <c r="P5" s="16" t="str">
        <f aca="false">IF(K5&lt;&gt;"",P4+K5,IF(B5&lt;&gt;"",P4,""))</f>
        <v/>
      </c>
      <c r="Q5" s="17" t="str">
        <f aca="false">IF(P5&lt;&gt;"",MIN(0,P5-MAX($P$4:P5)),"")</f>
        <v/>
      </c>
      <c r="S5" s="18" t="s">
        <v>26</v>
      </c>
      <c r="T5" s="22" t="n">
        <f aca="false">COUNTIF(M4:M503,"Win")</f>
        <v>0</v>
      </c>
      <c r="V5" s="23" t="s">
        <v>27</v>
      </c>
      <c r="W5" s="23" t="n">
        <f aca="false">COUNTIFS(D4:D503,"London",M4:M503,"Win")+COUNTIFS(D4:D503,"London",M4:M503,"Loss")+COUNTIFS(D4:D503,"London",M4:M503,"Partial")</f>
        <v>0</v>
      </c>
      <c r="X5" s="24" t="n">
        <f aca="false">IFERROR((COUNTIFS(D4:D503,"London",M4:M503,"Win")+COUNTIFS(D4:D503,"London",M4:M503,"Partial"))/(COUNTIFS(D4:D503,"London",M4:M503,"Win")+COUNTIFS(D4:D503,"London",M4:M503,"Loss")+COUNTIFS(D4:D503,"London",M4:M503,"Partial")),0)</f>
        <v>0</v>
      </c>
    </row>
    <row r="6" customFormat="false" ht="15" hidden="false" customHeight="true" outlineLevel="0" collapsed="false">
      <c r="A6" s="11" t="str">
        <f aca="false">IF(B6&lt;&gt;"",COUNTA($B$4:B6),"")</f>
        <v/>
      </c>
      <c r="B6" s="12"/>
      <c r="C6" s="12"/>
      <c r="D6" s="12"/>
      <c r="E6" s="12"/>
      <c r="F6" s="12"/>
      <c r="G6" s="12"/>
      <c r="H6" s="12"/>
      <c r="I6" s="13"/>
      <c r="J6" s="12"/>
      <c r="K6" s="14" t="str">
        <f aca="false">IF(AND(I6&lt;&gt;"",H6&lt;&gt;"",J6&lt;&gt;""),IF(J6="W",I6*H6,IF(J6="L",-I6,IF(J6="P",I6*H6*0.5,""))),"")</f>
        <v/>
      </c>
      <c r="L6" s="15" t="str">
        <f aca="false">IF(AND(K6&lt;&gt;"",P5&lt;&gt;""),K6/P5,IF(K6&lt;&gt;"",K6/$D$2,""))</f>
        <v/>
      </c>
      <c r="M6" s="12"/>
      <c r="N6" s="12"/>
      <c r="O6" s="12"/>
      <c r="P6" s="16" t="str">
        <f aca="false">IF(K6&lt;&gt;"",P5+K6,IF(B6&lt;&gt;"",P5,""))</f>
        <v/>
      </c>
      <c r="Q6" s="17" t="str">
        <f aca="false">IF(P6&lt;&gt;"",MIN(0,P6-MAX($P$4:P6)),"")</f>
        <v/>
      </c>
      <c r="S6" s="18" t="s">
        <v>28</v>
      </c>
      <c r="T6" s="25" t="n">
        <f aca="false">COUNTIF(M4:M503,"Loss")</f>
        <v>0</v>
      </c>
      <c r="V6" s="23" t="s">
        <v>29</v>
      </c>
      <c r="W6" s="23" t="n">
        <f aca="false">COUNTIFS(D4:D503,"New York",M4:M503,"Win")+COUNTIFS(D4:D503,"New York",M4:M503,"Loss")+COUNTIFS(D4:D503,"New York",M4:M503,"Partial")</f>
        <v>0</v>
      </c>
      <c r="X6" s="24" t="n">
        <f aca="false">IFERROR((COUNTIFS(D4:D503,"New York",M4:M503,"Win")+COUNTIFS(D4:D503,"New York",M4:M503,"Partial"))/(COUNTIFS(D4:D503,"New York",M4:M503,"Win")+COUNTIFS(D4:D503,"New York",M4:M503,"Loss")+COUNTIFS(D4:D503,"New York",M4:M503,"Partial")),0)</f>
        <v>0</v>
      </c>
    </row>
    <row r="7" customFormat="false" ht="15" hidden="false" customHeight="true" outlineLevel="0" collapsed="false">
      <c r="A7" s="11" t="str">
        <f aca="false">IF(B7&lt;&gt;"",COUNTA($B$4:B7),"")</f>
        <v/>
      </c>
      <c r="B7" s="20"/>
      <c r="C7" s="20"/>
      <c r="D7" s="20"/>
      <c r="E7" s="20"/>
      <c r="F7" s="20"/>
      <c r="G7" s="20"/>
      <c r="H7" s="20"/>
      <c r="I7" s="21"/>
      <c r="J7" s="20"/>
      <c r="K7" s="14" t="str">
        <f aca="false">IF(AND(I7&lt;&gt;"",H7&lt;&gt;"",J7&lt;&gt;""),IF(J7="W",I7*H7,IF(J7="L",-I7,IF(J7="P",I7*H7*0.5,""))),"")</f>
        <v/>
      </c>
      <c r="L7" s="15" t="str">
        <f aca="false">IF(AND(K7&lt;&gt;"",P6&lt;&gt;""),K7/P6,IF(K7&lt;&gt;"",K7/$D$2,""))</f>
        <v/>
      </c>
      <c r="M7" s="20"/>
      <c r="N7" s="20"/>
      <c r="O7" s="20"/>
      <c r="P7" s="16" t="str">
        <f aca="false">IF(K7&lt;&gt;"",P6+K7,IF(B7&lt;&gt;"",P6,""))</f>
        <v/>
      </c>
      <c r="Q7" s="17" t="str">
        <f aca="false">IF(P7&lt;&gt;"",MIN(0,P7-MAX($P$4:P7)),"")</f>
        <v/>
      </c>
      <c r="S7" s="18" t="s">
        <v>30</v>
      </c>
      <c r="T7" s="22" t="n">
        <f aca="false">COUNTIF(M4:M503,"Partial")</f>
        <v>0</v>
      </c>
      <c r="V7" s="23" t="s">
        <v>31</v>
      </c>
      <c r="W7" s="23" t="n">
        <f aca="false">COUNTIFS(D4:D503,"Asia",M4:M503,"Win")+COUNTIFS(D4:D503,"Asia",M4:M503,"Loss")+COUNTIFS(D4:D503,"Asia",M4:M503,"Partial")</f>
        <v>0</v>
      </c>
      <c r="X7" s="24" t="n">
        <f aca="false">IFERROR((COUNTIFS(D4:D503,"Asia",M4:M503,"Win")+COUNTIFS(D4:D503,"Asia",M4:M503,"Partial"))/(COUNTIFS(D4:D503,"Asia",M4:M503,"Win")+COUNTIFS(D4:D503,"Asia",M4:M503,"Loss")+COUNTIFS(D4:D503,"Asia",M4:M503,"Partial")),0)</f>
        <v>0</v>
      </c>
    </row>
    <row r="8" customFormat="false" ht="15" hidden="false" customHeight="true" outlineLevel="0" collapsed="false">
      <c r="A8" s="11" t="str">
        <f aca="false">IF(B8&lt;&gt;"",COUNTA($B$4:B8),"")</f>
        <v/>
      </c>
      <c r="B8" s="12"/>
      <c r="C8" s="12"/>
      <c r="D8" s="12"/>
      <c r="E8" s="12"/>
      <c r="F8" s="12"/>
      <c r="G8" s="12"/>
      <c r="H8" s="12"/>
      <c r="I8" s="13"/>
      <c r="J8" s="12"/>
      <c r="K8" s="14" t="str">
        <f aca="false">IF(AND(I8&lt;&gt;"",H8&lt;&gt;"",J8&lt;&gt;""),IF(J8="W",I8*H8,IF(J8="L",-I8,IF(J8="P",I8*H8*0.5,""))),"")</f>
        <v/>
      </c>
      <c r="L8" s="15" t="str">
        <f aca="false">IF(AND(K8&lt;&gt;"",P7&lt;&gt;""),K8/P7,IF(K8&lt;&gt;"",K8/$D$2,""))</f>
        <v/>
      </c>
      <c r="M8" s="12"/>
      <c r="N8" s="12"/>
      <c r="O8" s="12"/>
      <c r="P8" s="16" t="str">
        <f aca="false">IF(K8&lt;&gt;"",P7+K8,IF(B8&lt;&gt;"",P7,""))</f>
        <v/>
      </c>
      <c r="Q8" s="17" t="str">
        <f aca="false">IF(P8&lt;&gt;"",MIN(0,P8-MAX($P$4:P8)),"")</f>
        <v/>
      </c>
      <c r="S8" s="18" t="s">
        <v>25</v>
      </c>
      <c r="T8" s="26" t="n">
        <f aca="false">IFERROR((COUNTIF(M4:M503,"Win")+COUNTIF(M4:M503,"Partial"))/(COUNTIF(M4:M503,"Win")+COUNTIF(M4:M503,"Loss")+COUNTIF(M4:M503,"Partial")),0)</f>
        <v>0</v>
      </c>
      <c r="V8" s="23" t="s">
        <v>32</v>
      </c>
      <c r="W8" s="23" t="n">
        <f aca="false">COUNTIFS(D4:D503,"London/NY Overlap",M4:M503,"Win")+COUNTIFS(D4:D503,"London/NY Overlap",M4:M503,"Loss")+COUNTIFS(D4:D503,"London/NY Overlap",M4:M503,"Partial")</f>
        <v>0</v>
      </c>
      <c r="X8" s="24" t="n">
        <f aca="false">IFERROR((COUNTIFS(D4:D503,"London/NY Overlap",M4:M503,"Win")+COUNTIFS(D4:D503,"London/NY Overlap",M4:M503,"Partial"))/(COUNTIFS(D4:D503,"London/NY Overlap",M4:M503,"Win")+COUNTIFS(D4:D503,"London/NY Overlap",M4:M503,"Loss")+COUNTIFS(D4:D503,"London/NY Overlap",M4:M503,"Partial")),0)</f>
        <v>0</v>
      </c>
    </row>
    <row r="9" customFormat="false" ht="15" hidden="false" customHeight="true" outlineLevel="0" collapsed="false">
      <c r="A9" s="11" t="str">
        <f aca="false">IF(B9&lt;&gt;"",COUNTA($B$4:B9),"")</f>
        <v/>
      </c>
      <c r="B9" s="20"/>
      <c r="C9" s="20"/>
      <c r="D9" s="20"/>
      <c r="E9" s="20"/>
      <c r="F9" s="20"/>
      <c r="G9" s="20"/>
      <c r="H9" s="20"/>
      <c r="I9" s="21"/>
      <c r="J9" s="20"/>
      <c r="K9" s="14" t="str">
        <f aca="false">IF(AND(I9&lt;&gt;"",H9&lt;&gt;"",J9&lt;&gt;""),IF(J9="W",I9*H9,IF(J9="L",-I9,IF(J9="P",I9*H9*0.5,""))),"")</f>
        <v/>
      </c>
      <c r="L9" s="15" t="str">
        <f aca="false">IF(AND(K9&lt;&gt;"",P8&lt;&gt;""),K9/P8,IF(K9&lt;&gt;"",K9/$D$2,""))</f>
        <v/>
      </c>
      <c r="M9" s="20"/>
      <c r="N9" s="20"/>
      <c r="O9" s="20"/>
      <c r="P9" s="16" t="str">
        <f aca="false">IF(K9&lt;&gt;"",P8+K9,IF(B9&lt;&gt;"",P8,""))</f>
        <v/>
      </c>
      <c r="Q9" s="17" t="str">
        <f aca="false">IF(P9&lt;&gt;"",MIN(0,P9-MAX($P$4:P9)),"")</f>
        <v/>
      </c>
      <c r="S9" s="18" t="s">
        <v>33</v>
      </c>
      <c r="T9" s="27" t="n">
        <f aca="false">IFERROR(SUM(K4:K503),0)</f>
        <v>0</v>
      </c>
    </row>
    <row r="10" customFormat="false" ht="15" hidden="false" customHeight="true" outlineLevel="0" collapsed="false">
      <c r="A10" s="11" t="str">
        <f aca="false">IF(B10&lt;&gt;"",COUNTA($B$4:B10),"")</f>
        <v/>
      </c>
      <c r="B10" s="12"/>
      <c r="C10" s="12"/>
      <c r="D10" s="12"/>
      <c r="E10" s="12"/>
      <c r="F10" s="12"/>
      <c r="G10" s="12"/>
      <c r="H10" s="12"/>
      <c r="I10" s="13"/>
      <c r="J10" s="12"/>
      <c r="K10" s="14" t="str">
        <f aca="false">IF(AND(I10&lt;&gt;"",H10&lt;&gt;"",J10&lt;&gt;""),IF(J10="W",I10*H10,IF(J10="L",-I10,IF(J10="P",I10*H10*0.5,""))),"")</f>
        <v/>
      </c>
      <c r="L10" s="15" t="str">
        <f aca="false">IF(AND(K10&lt;&gt;"",P9&lt;&gt;""),K10/P9,IF(K10&lt;&gt;"",K10/$D$2,""))</f>
        <v/>
      </c>
      <c r="M10" s="12"/>
      <c r="N10" s="12"/>
      <c r="O10" s="12"/>
      <c r="P10" s="16" t="str">
        <f aca="false">IF(K10&lt;&gt;"",P9+K10,IF(B10&lt;&gt;"",P9,""))</f>
        <v/>
      </c>
      <c r="Q10" s="17" t="str">
        <f aca="false">IF(P10&lt;&gt;"",MIN(0,P10-MAX($P$4:P10)),"")</f>
        <v/>
      </c>
      <c r="S10" s="28" t="s">
        <v>34</v>
      </c>
      <c r="T10" s="29" t="n">
        <f aca="false">IFERROR(SUM(K4:K503)/$D$2,0)</f>
        <v>0</v>
      </c>
    </row>
    <row r="11" customFormat="false" ht="15" hidden="false" customHeight="true" outlineLevel="0" collapsed="false">
      <c r="A11" s="11" t="str">
        <f aca="false">IF(B11&lt;&gt;"",COUNTA($B$4:B11),"")</f>
        <v/>
      </c>
      <c r="B11" s="20"/>
      <c r="C11" s="20"/>
      <c r="D11" s="20"/>
      <c r="E11" s="20"/>
      <c r="F11" s="20"/>
      <c r="G11" s="20"/>
      <c r="H11" s="20"/>
      <c r="I11" s="21"/>
      <c r="J11" s="20"/>
      <c r="K11" s="14" t="str">
        <f aca="false">IF(AND(I11&lt;&gt;"",H11&lt;&gt;"",J11&lt;&gt;""),IF(J11="W",I11*H11,IF(J11="L",-I11,IF(J11="P",I11*H11*0.5,""))),"")</f>
        <v/>
      </c>
      <c r="L11" s="15" t="str">
        <f aca="false">IF(AND(K11&lt;&gt;"",P10&lt;&gt;""),K11/P10,IF(K11&lt;&gt;"",K11/$D$2,""))</f>
        <v/>
      </c>
      <c r="M11" s="20"/>
      <c r="N11" s="20"/>
      <c r="O11" s="20"/>
      <c r="P11" s="16" t="str">
        <f aca="false">IF(K11&lt;&gt;"",P10+K11,IF(B11&lt;&gt;"",P10,""))</f>
        <v/>
      </c>
      <c r="Q11" s="17" t="str">
        <f aca="false">IF(P11&lt;&gt;"",MIN(0,P11-MAX($P$4:P11)),"")</f>
        <v/>
      </c>
      <c r="S11" s="9" t="s">
        <v>35</v>
      </c>
      <c r="T11" s="30" t="n">
        <f aca="false">IFERROR(SUM(K4:K503)/(COUNTIF(M4:M503,"Win")+COUNTIF(M4:M503,"Loss")+COUNTIF(M4:M503,"Partial")),0)</f>
        <v>0</v>
      </c>
      <c r="U11" s="9" t="s">
        <v>36</v>
      </c>
    </row>
    <row r="12" customFormat="false" ht="15" hidden="false" customHeight="true" outlineLevel="0" collapsed="false">
      <c r="A12" s="11" t="str">
        <f aca="false">IF(B12&lt;&gt;"",COUNTA($B$4:B12),"")</f>
        <v/>
      </c>
      <c r="B12" s="12"/>
      <c r="C12" s="12"/>
      <c r="D12" s="12"/>
      <c r="E12" s="12"/>
      <c r="F12" s="12"/>
      <c r="G12" s="12"/>
      <c r="H12" s="12"/>
      <c r="I12" s="13"/>
      <c r="J12" s="12"/>
      <c r="K12" s="14" t="str">
        <f aca="false">IF(AND(I12&lt;&gt;"",H12&lt;&gt;"",J12&lt;&gt;""),IF(J12="W",I12*H12,IF(J12="L",-I12,IF(J12="P",I12*H12*0.5,""))),"")</f>
        <v/>
      </c>
      <c r="L12" s="15" t="str">
        <f aca="false">IF(AND(K12&lt;&gt;"",P11&lt;&gt;""),K12/P11,IF(K12&lt;&gt;"",K12/$D$2,""))</f>
        <v/>
      </c>
      <c r="M12" s="12"/>
      <c r="N12" s="12"/>
      <c r="O12" s="12"/>
      <c r="P12" s="16" t="str">
        <f aca="false">IF(K12&lt;&gt;"",P11+K12,IF(B12&lt;&gt;"",P11,""))</f>
        <v/>
      </c>
      <c r="Q12" s="17" t="str">
        <f aca="false">IF(P12&lt;&gt;"",MIN(0,P12-MAX($P$4:P12)),"")</f>
        <v/>
      </c>
      <c r="S12" s="31" t="str">
        <f aca="false">IF(A4&lt;&gt;"",A4,"")</f>
        <v/>
      </c>
      <c r="T12" s="32" t="n">
        <f aca="false">IF(P4&lt;&gt;"",P4,"")</f>
        <v>10000</v>
      </c>
      <c r="U12" s="33" t="n">
        <f aca="false">IF(P4&lt;&gt;"",(P4-$D$2)/$D$2,"")</f>
        <v>0</v>
      </c>
    </row>
    <row r="13" customFormat="false" ht="15" hidden="false" customHeight="true" outlineLevel="0" collapsed="false">
      <c r="A13" s="11" t="str">
        <f aca="false">IF(B13&lt;&gt;"",COUNTA($B$4:B13),"")</f>
        <v/>
      </c>
      <c r="B13" s="20"/>
      <c r="C13" s="20"/>
      <c r="D13" s="20"/>
      <c r="E13" s="20"/>
      <c r="F13" s="20"/>
      <c r="G13" s="20"/>
      <c r="H13" s="20"/>
      <c r="I13" s="21"/>
      <c r="J13" s="20"/>
      <c r="K13" s="14" t="str">
        <f aca="false">IF(AND(I13&lt;&gt;"",H13&lt;&gt;"",J13&lt;&gt;""),IF(J13="W",I13*H13,IF(J13="L",-I13,IF(J13="P",I13*H13*0.5,""))),"")</f>
        <v/>
      </c>
      <c r="L13" s="15" t="str">
        <f aca="false">IF(AND(K13&lt;&gt;"",P12&lt;&gt;""),K13/P12,IF(K13&lt;&gt;"",K13/$D$2,""))</f>
        <v/>
      </c>
      <c r="M13" s="20"/>
      <c r="N13" s="20"/>
      <c r="O13" s="20"/>
      <c r="P13" s="16" t="str">
        <f aca="false">IF(K13&lt;&gt;"",P12+K13,IF(B13&lt;&gt;"",P12,""))</f>
        <v/>
      </c>
      <c r="Q13" s="17" t="str">
        <f aca="false">IF(P13&lt;&gt;"",MIN(0,P13-MAX($P$4:P13)),"")</f>
        <v/>
      </c>
      <c r="S13" s="31" t="str">
        <f aca="false">IF(A5&lt;&gt;"",A5,"")</f>
        <v/>
      </c>
      <c r="T13" s="34" t="str">
        <f aca="false">IF(P5&lt;&gt;"",P5,"")</f>
        <v/>
      </c>
      <c r="U13" s="33" t="str">
        <f aca="false">IF(P5&lt;&gt;"",(P5-$D$2)/$D$2,"")</f>
        <v/>
      </c>
    </row>
    <row r="14" customFormat="false" ht="15" hidden="false" customHeight="true" outlineLevel="0" collapsed="false">
      <c r="A14" s="11" t="str">
        <f aca="false">IF(B14&lt;&gt;"",COUNTA($B$4:B14),"")</f>
        <v/>
      </c>
      <c r="B14" s="12"/>
      <c r="C14" s="12"/>
      <c r="D14" s="12"/>
      <c r="E14" s="12"/>
      <c r="F14" s="12"/>
      <c r="G14" s="12"/>
      <c r="H14" s="12"/>
      <c r="I14" s="13"/>
      <c r="J14" s="12"/>
      <c r="K14" s="14" t="str">
        <f aca="false">IF(AND(I14&lt;&gt;"",H14&lt;&gt;"",J14&lt;&gt;""),IF(J14="W",I14*H14,IF(J14="L",-I14,IF(J14="P",I14*H14*0.5,""))),"")</f>
        <v/>
      </c>
      <c r="L14" s="15" t="str">
        <f aca="false">IF(AND(K14&lt;&gt;"",P13&lt;&gt;""),K14/P13,IF(K14&lt;&gt;"",K14/$D$2,""))</f>
        <v/>
      </c>
      <c r="M14" s="12"/>
      <c r="N14" s="12"/>
      <c r="O14" s="12"/>
      <c r="P14" s="16" t="str">
        <f aca="false">IF(K14&lt;&gt;"",P13+K14,IF(B14&lt;&gt;"",P13,""))</f>
        <v/>
      </c>
      <c r="Q14" s="17" t="str">
        <f aca="false">IF(P14&lt;&gt;"",MIN(0,P14-MAX($P$4:P14)),"")</f>
        <v/>
      </c>
      <c r="S14" s="31" t="str">
        <f aca="false">IF(A6&lt;&gt;"",A6,"")</f>
        <v/>
      </c>
      <c r="T14" s="34" t="str">
        <f aca="false">IF(P6&lt;&gt;"",P6,"")</f>
        <v/>
      </c>
      <c r="U14" s="33" t="str">
        <f aca="false">IF(P6&lt;&gt;"",(P6-$D$2)/$D$2,"")</f>
        <v/>
      </c>
    </row>
    <row r="15" customFormat="false" ht="15" hidden="false" customHeight="true" outlineLevel="0" collapsed="false">
      <c r="A15" s="11" t="str">
        <f aca="false">IF(B15&lt;&gt;"",COUNTA($B$4:B15),"")</f>
        <v/>
      </c>
      <c r="B15" s="20"/>
      <c r="C15" s="20"/>
      <c r="D15" s="20"/>
      <c r="E15" s="20"/>
      <c r="F15" s="20"/>
      <c r="G15" s="20"/>
      <c r="H15" s="20"/>
      <c r="I15" s="21"/>
      <c r="J15" s="20"/>
      <c r="K15" s="14" t="str">
        <f aca="false">IF(AND(I15&lt;&gt;"",H15&lt;&gt;"",J15&lt;&gt;""),IF(J15="W",I15*H15,IF(J15="L",-I15,IF(J15="P",I15*H15*0.5,""))),"")</f>
        <v/>
      </c>
      <c r="L15" s="15" t="str">
        <f aca="false">IF(AND(K15&lt;&gt;"",P14&lt;&gt;""),K15/P14,IF(K15&lt;&gt;"",K15/$D$2,""))</f>
        <v/>
      </c>
      <c r="M15" s="20"/>
      <c r="N15" s="20"/>
      <c r="O15" s="20"/>
      <c r="P15" s="16" t="str">
        <f aca="false">IF(K15&lt;&gt;"",P14+K15,IF(B15&lt;&gt;"",P14,""))</f>
        <v/>
      </c>
      <c r="Q15" s="17" t="str">
        <f aca="false">IF(P15&lt;&gt;"",MIN(0,P15-MAX($P$4:P15)),"")</f>
        <v/>
      </c>
      <c r="S15" s="35" t="str">
        <f aca="false">IF(A7&lt;&gt;"",A7,"")</f>
        <v/>
      </c>
      <c r="T15" s="36" t="str">
        <f aca="false">IF(P7&lt;&gt;"",P7,"")</f>
        <v/>
      </c>
      <c r="U15" s="33" t="str">
        <f aca="false">IF(P7&lt;&gt;"",(P7-$D$2)/$D$2,"")</f>
        <v/>
      </c>
    </row>
    <row r="16" customFormat="false" ht="15" hidden="false" customHeight="true" outlineLevel="0" collapsed="false">
      <c r="A16" s="11" t="str">
        <f aca="false">IF(B16&lt;&gt;"",COUNTA($B$4:B16),"")</f>
        <v/>
      </c>
      <c r="B16" s="12"/>
      <c r="C16" s="12"/>
      <c r="D16" s="12"/>
      <c r="E16" s="12"/>
      <c r="F16" s="12"/>
      <c r="G16" s="12"/>
      <c r="H16" s="12"/>
      <c r="I16" s="13"/>
      <c r="J16" s="12"/>
      <c r="K16" s="14" t="str">
        <f aca="false">IF(AND(I16&lt;&gt;"",H16&lt;&gt;"",J16&lt;&gt;""),IF(J16="W",I16*H16,IF(J16="L",-I16,IF(J16="P",I16*H16*0.5,""))),"")</f>
        <v/>
      </c>
      <c r="L16" s="15" t="str">
        <f aca="false">IF(AND(K16&lt;&gt;"",P15&lt;&gt;""),K16/P15,IF(K16&lt;&gt;"",K16/$D$2,""))</f>
        <v/>
      </c>
      <c r="M16" s="12"/>
      <c r="N16" s="12"/>
      <c r="O16" s="12"/>
      <c r="P16" s="16" t="str">
        <f aca="false">IF(K16&lt;&gt;"",P15+K16,IF(B16&lt;&gt;"",P15,""))</f>
        <v/>
      </c>
      <c r="Q16" s="17" t="str">
        <f aca="false">IF(P16&lt;&gt;"",MIN(0,P16-MAX($P$4:P16)),"")</f>
        <v/>
      </c>
      <c r="S16" s="35" t="str">
        <f aca="false">IF(A8&lt;&gt;"",A8,"")</f>
        <v/>
      </c>
      <c r="T16" s="36" t="str">
        <f aca="false">IF(P8&lt;&gt;"",P8,"")</f>
        <v/>
      </c>
      <c r="U16" s="33" t="str">
        <f aca="false">IF(P8&lt;&gt;"",(P8-$D$2)/$D$2,"")</f>
        <v/>
      </c>
    </row>
    <row r="17" customFormat="false" ht="15" hidden="false" customHeight="true" outlineLevel="0" collapsed="false">
      <c r="A17" s="11" t="str">
        <f aca="false">IF(B17&lt;&gt;"",COUNTA($B$4:B17),"")</f>
        <v/>
      </c>
      <c r="B17" s="20"/>
      <c r="C17" s="20"/>
      <c r="D17" s="20"/>
      <c r="E17" s="20"/>
      <c r="F17" s="20"/>
      <c r="G17" s="20"/>
      <c r="H17" s="20"/>
      <c r="I17" s="21"/>
      <c r="J17" s="20"/>
      <c r="K17" s="14" t="str">
        <f aca="false">IF(AND(I17&lt;&gt;"",H17&lt;&gt;"",J17&lt;&gt;""),IF(J17="W",I17*H17,IF(J17="L",-I17,IF(J17="P",I17*H17*0.5,""))),"")</f>
        <v/>
      </c>
      <c r="L17" s="15" t="str">
        <f aca="false">IF(AND(K17&lt;&gt;"",P16&lt;&gt;""),K17/P16,IF(K17&lt;&gt;"",K17/$D$2,""))</f>
        <v/>
      </c>
      <c r="M17" s="20"/>
      <c r="N17" s="20"/>
      <c r="O17" s="20"/>
      <c r="P17" s="16" t="str">
        <f aca="false">IF(K17&lt;&gt;"",P16+K17,IF(B17&lt;&gt;"",P16,""))</f>
        <v/>
      </c>
      <c r="Q17" s="17" t="str">
        <f aca="false">IF(P17&lt;&gt;"",MIN(0,P17-MAX($P$4:P17)),"")</f>
        <v/>
      </c>
      <c r="S17" s="35" t="str">
        <f aca="false">IF(A9&lt;&gt;"",A9,"")</f>
        <v/>
      </c>
      <c r="T17" s="36" t="str">
        <f aca="false">IF(P9&lt;&gt;"",P9,"")</f>
        <v/>
      </c>
      <c r="U17" s="33" t="str">
        <f aca="false">IF(P9&lt;&gt;"",(P9-$D$2)/$D$2,"")</f>
        <v/>
      </c>
    </row>
    <row r="18" customFormat="false" ht="15" hidden="false" customHeight="true" outlineLevel="0" collapsed="false">
      <c r="A18" s="11" t="str">
        <f aca="false">IF(B18&lt;&gt;"",COUNTA($B$4:B18),"")</f>
        <v/>
      </c>
      <c r="B18" s="12"/>
      <c r="C18" s="12"/>
      <c r="D18" s="12"/>
      <c r="E18" s="12"/>
      <c r="F18" s="12"/>
      <c r="G18" s="12"/>
      <c r="H18" s="12"/>
      <c r="I18" s="13"/>
      <c r="J18" s="12"/>
      <c r="K18" s="14" t="str">
        <f aca="false">IF(AND(I18&lt;&gt;"",H18&lt;&gt;"",J18&lt;&gt;""),IF(J18="W",I18*H18,IF(J18="L",-I18,IF(J18="P",I18*H18*0.5,""))),"")</f>
        <v/>
      </c>
      <c r="L18" s="15" t="str">
        <f aca="false">IF(AND(K18&lt;&gt;"",P17&lt;&gt;""),K18/P17,IF(K18&lt;&gt;"",K18/$D$2,""))</f>
        <v/>
      </c>
      <c r="M18" s="12"/>
      <c r="N18" s="12"/>
      <c r="O18" s="12"/>
      <c r="P18" s="16" t="str">
        <f aca="false">IF(K18&lt;&gt;"",P17+K18,IF(B18&lt;&gt;"",P17,""))</f>
        <v/>
      </c>
      <c r="Q18" s="17" t="str">
        <f aca="false">IF(P18&lt;&gt;"",MIN(0,P18-MAX($P$4:P18)),"")</f>
        <v/>
      </c>
      <c r="S18" s="35" t="str">
        <f aca="false">IF(A10&lt;&gt;"",A10,"")</f>
        <v/>
      </c>
      <c r="T18" s="36" t="str">
        <f aca="false">IF(P10&lt;&gt;"",P10,"")</f>
        <v/>
      </c>
      <c r="U18" s="33" t="str">
        <f aca="false">IF(P10&lt;&gt;"",(P10-$D$2)/$D$2,"")</f>
        <v/>
      </c>
    </row>
    <row r="19" customFormat="false" ht="15" hidden="false" customHeight="true" outlineLevel="0" collapsed="false">
      <c r="A19" s="11" t="str">
        <f aca="false">IF(B19&lt;&gt;"",COUNTA($B$4:B19),"")</f>
        <v/>
      </c>
      <c r="B19" s="20"/>
      <c r="C19" s="20"/>
      <c r="D19" s="20"/>
      <c r="E19" s="20"/>
      <c r="F19" s="20"/>
      <c r="G19" s="20"/>
      <c r="H19" s="20"/>
      <c r="I19" s="21"/>
      <c r="J19" s="20"/>
      <c r="K19" s="14" t="str">
        <f aca="false">IF(AND(I19&lt;&gt;"",H19&lt;&gt;"",J19&lt;&gt;""),IF(J19="W",I19*H19,IF(J19="L",-I19,IF(J19="P",I19*H19*0.5,""))),"")</f>
        <v/>
      </c>
      <c r="L19" s="15" t="str">
        <f aca="false">IF(AND(K19&lt;&gt;"",P18&lt;&gt;""),K19/P18,IF(K19&lt;&gt;"",K19/$D$2,""))</f>
        <v/>
      </c>
      <c r="M19" s="20"/>
      <c r="N19" s="20"/>
      <c r="O19" s="20"/>
      <c r="P19" s="16" t="str">
        <f aca="false">IF(K19&lt;&gt;"",P18+K19,IF(B19&lt;&gt;"",P18,""))</f>
        <v/>
      </c>
      <c r="Q19" s="17" t="str">
        <f aca="false">IF(P19&lt;&gt;"",MIN(0,P19-MAX($P$4:P19)),"")</f>
        <v/>
      </c>
      <c r="S19" s="35" t="str">
        <f aca="false">IF(A11&lt;&gt;"",A11,"")</f>
        <v/>
      </c>
      <c r="T19" s="36" t="str">
        <f aca="false">IF(P11&lt;&gt;"",P11,"")</f>
        <v/>
      </c>
      <c r="U19" s="33" t="str">
        <f aca="false">IF(P11&lt;&gt;"",(P11-$D$2)/$D$2,"")</f>
        <v/>
      </c>
    </row>
    <row r="20" customFormat="false" ht="15" hidden="false" customHeight="true" outlineLevel="0" collapsed="false">
      <c r="A20" s="11" t="str">
        <f aca="false">IF(B20&lt;&gt;"",COUNTA($B$4:B20),"")</f>
        <v/>
      </c>
      <c r="B20" s="12"/>
      <c r="C20" s="12"/>
      <c r="D20" s="12"/>
      <c r="E20" s="12"/>
      <c r="F20" s="12"/>
      <c r="G20" s="12"/>
      <c r="H20" s="12"/>
      <c r="I20" s="13"/>
      <c r="J20" s="12"/>
      <c r="K20" s="14" t="str">
        <f aca="false">IF(AND(I20&lt;&gt;"",H20&lt;&gt;"",J20&lt;&gt;""),IF(J20="W",I20*H20,IF(J20="L",-I20,IF(J20="P",I20*H20*0.5,""))),"")</f>
        <v/>
      </c>
      <c r="L20" s="15" t="str">
        <f aca="false">IF(AND(K20&lt;&gt;"",P19&lt;&gt;""),K20/P19,IF(K20&lt;&gt;"",K20/$D$2,""))</f>
        <v/>
      </c>
      <c r="M20" s="12"/>
      <c r="N20" s="12"/>
      <c r="O20" s="12"/>
      <c r="P20" s="16" t="str">
        <f aca="false">IF(K20&lt;&gt;"",P19+K20,IF(B20&lt;&gt;"",P19,""))</f>
        <v/>
      </c>
      <c r="Q20" s="17" t="str">
        <f aca="false">IF(P20&lt;&gt;"",MIN(0,P20-MAX($P$4:P20)),"")</f>
        <v/>
      </c>
      <c r="S20" s="35" t="str">
        <f aca="false">IF(A12&lt;&gt;"",A12,"")</f>
        <v/>
      </c>
      <c r="T20" s="36" t="str">
        <f aca="false">IF(P12&lt;&gt;"",P12,"")</f>
        <v/>
      </c>
      <c r="U20" s="33" t="str">
        <f aca="false">IF(P12&lt;&gt;"",(P12-$D$2)/$D$2,"")</f>
        <v/>
      </c>
    </row>
    <row r="21" customFormat="false" ht="15" hidden="false" customHeight="true" outlineLevel="0" collapsed="false">
      <c r="A21" s="11" t="str">
        <f aca="false">IF(B21&lt;&gt;"",COUNTA($B$4:B21),"")</f>
        <v/>
      </c>
      <c r="B21" s="20"/>
      <c r="C21" s="20"/>
      <c r="D21" s="20"/>
      <c r="E21" s="20"/>
      <c r="F21" s="20"/>
      <c r="G21" s="20"/>
      <c r="H21" s="20"/>
      <c r="I21" s="21"/>
      <c r="J21" s="20"/>
      <c r="K21" s="14" t="str">
        <f aca="false">IF(AND(I21&lt;&gt;"",H21&lt;&gt;"",J21&lt;&gt;""),IF(J21="W",I21*H21,IF(J21="L",-I21,IF(J21="P",I21*H21*0.5,""))),"")</f>
        <v/>
      </c>
      <c r="L21" s="15" t="str">
        <f aca="false">IF(AND(K21&lt;&gt;"",P20&lt;&gt;""),K21/P20,IF(K21&lt;&gt;"",K21/$D$2,""))</f>
        <v/>
      </c>
      <c r="M21" s="20"/>
      <c r="N21" s="20"/>
      <c r="O21" s="20"/>
      <c r="P21" s="16" t="str">
        <f aca="false">IF(K21&lt;&gt;"",P20+K21,IF(B21&lt;&gt;"",P20,""))</f>
        <v/>
      </c>
      <c r="Q21" s="17" t="str">
        <f aca="false">IF(P21&lt;&gt;"",MIN(0,P21-MAX($P$4:P21)),"")</f>
        <v/>
      </c>
      <c r="S21" s="35" t="str">
        <f aca="false">IF(A13&lt;&gt;"",A13,"")</f>
        <v/>
      </c>
      <c r="T21" s="36" t="str">
        <f aca="false">IF(P13&lt;&gt;"",P13,"")</f>
        <v/>
      </c>
      <c r="U21" s="33" t="str">
        <f aca="false">IF(P13&lt;&gt;"",(P13-$D$2)/$D$2,"")</f>
        <v/>
      </c>
    </row>
    <row r="22" customFormat="false" ht="15" hidden="false" customHeight="true" outlineLevel="0" collapsed="false">
      <c r="A22" s="11" t="str">
        <f aca="false">IF(B22&lt;&gt;"",COUNTA($B$4:B22),"")</f>
        <v/>
      </c>
      <c r="B22" s="12"/>
      <c r="C22" s="12"/>
      <c r="D22" s="12"/>
      <c r="E22" s="12"/>
      <c r="F22" s="12"/>
      <c r="G22" s="12"/>
      <c r="H22" s="12"/>
      <c r="I22" s="13"/>
      <c r="J22" s="12"/>
      <c r="K22" s="14" t="str">
        <f aca="false">IF(AND(I22&lt;&gt;"",H22&lt;&gt;"",J22&lt;&gt;""),IF(J22="W",I22*H22,IF(J22="L",-I22,IF(J22="P",I22*H22*0.5,""))),"")</f>
        <v/>
      </c>
      <c r="L22" s="15" t="str">
        <f aca="false">IF(AND(K22&lt;&gt;"",P21&lt;&gt;""),K22/P21,IF(K22&lt;&gt;"",K22/$D$2,""))</f>
        <v/>
      </c>
      <c r="M22" s="12"/>
      <c r="N22" s="12"/>
      <c r="O22" s="12"/>
      <c r="P22" s="16" t="str">
        <f aca="false">IF(K22&lt;&gt;"",P21+K22,IF(B22&lt;&gt;"",P21,""))</f>
        <v/>
      </c>
      <c r="Q22" s="17" t="str">
        <f aca="false">IF(P22&lt;&gt;"",MIN(0,P22-MAX($P$4:P22)),"")</f>
        <v/>
      </c>
      <c r="S22" s="35" t="str">
        <f aca="false">IF(A14&lt;&gt;"",A14,"")</f>
        <v/>
      </c>
      <c r="T22" s="36" t="str">
        <f aca="false">IF(P14&lt;&gt;"",P14,"")</f>
        <v/>
      </c>
      <c r="U22" s="33" t="str">
        <f aca="false">IF(P14&lt;&gt;"",(P14-$D$2)/$D$2,"")</f>
        <v/>
      </c>
    </row>
    <row r="23" customFormat="false" ht="15" hidden="false" customHeight="true" outlineLevel="0" collapsed="false">
      <c r="A23" s="11" t="str">
        <f aca="false">IF(B23&lt;&gt;"",COUNTA($B$4:B23),"")</f>
        <v/>
      </c>
      <c r="B23" s="20"/>
      <c r="C23" s="20"/>
      <c r="D23" s="20"/>
      <c r="E23" s="20"/>
      <c r="F23" s="20"/>
      <c r="G23" s="20"/>
      <c r="H23" s="20"/>
      <c r="I23" s="21"/>
      <c r="J23" s="20"/>
      <c r="K23" s="14" t="str">
        <f aca="false">IF(AND(I23&lt;&gt;"",H23&lt;&gt;"",J23&lt;&gt;""),IF(J23="W",I23*H23,IF(J23="L",-I23,IF(J23="P",I23*H23*0.5,""))),"")</f>
        <v/>
      </c>
      <c r="L23" s="15" t="str">
        <f aca="false">IF(AND(K23&lt;&gt;"",P22&lt;&gt;""),K23/P22,IF(K23&lt;&gt;"",K23/$D$2,""))</f>
        <v/>
      </c>
      <c r="M23" s="20"/>
      <c r="N23" s="20"/>
      <c r="O23" s="20"/>
      <c r="P23" s="16" t="str">
        <f aca="false">IF(K23&lt;&gt;"",P22+K23,IF(B23&lt;&gt;"",P22,""))</f>
        <v/>
      </c>
      <c r="Q23" s="17" t="str">
        <f aca="false">IF(P23&lt;&gt;"",MIN(0,P23-MAX($P$4:P23)),"")</f>
        <v/>
      </c>
      <c r="S23" s="35" t="str">
        <f aca="false">IF(A15&lt;&gt;"",A15,"")</f>
        <v/>
      </c>
      <c r="T23" s="36" t="str">
        <f aca="false">IF(P15&lt;&gt;"",P15,"")</f>
        <v/>
      </c>
      <c r="U23" s="33" t="str">
        <f aca="false">IF(P15&lt;&gt;"",(P15-$D$2)/$D$2,"")</f>
        <v/>
      </c>
    </row>
    <row r="24" customFormat="false" ht="15" hidden="false" customHeight="true" outlineLevel="0" collapsed="false">
      <c r="A24" s="11" t="str">
        <f aca="false">IF(B24&lt;&gt;"",COUNTA($B$4:B24),"")</f>
        <v/>
      </c>
      <c r="B24" s="12"/>
      <c r="C24" s="12"/>
      <c r="D24" s="12"/>
      <c r="E24" s="12"/>
      <c r="F24" s="12"/>
      <c r="G24" s="12"/>
      <c r="H24" s="12"/>
      <c r="I24" s="13"/>
      <c r="J24" s="12"/>
      <c r="K24" s="14" t="str">
        <f aca="false">IF(AND(I24&lt;&gt;"",H24&lt;&gt;"",J24&lt;&gt;""),IF(J24="W",I24*H24,IF(J24="L",-I24,IF(J24="P",I24*H24*0.5,""))),"")</f>
        <v/>
      </c>
      <c r="L24" s="15" t="str">
        <f aca="false">IF(AND(K24&lt;&gt;"",P23&lt;&gt;""),K24/P23,IF(K24&lt;&gt;"",K24/$D$2,""))</f>
        <v/>
      </c>
      <c r="M24" s="12"/>
      <c r="N24" s="12"/>
      <c r="O24" s="12"/>
      <c r="P24" s="16" t="str">
        <f aca="false">IF(K24&lt;&gt;"",P23+K24,IF(B24&lt;&gt;"",P23,""))</f>
        <v/>
      </c>
      <c r="Q24" s="17" t="str">
        <f aca="false">IF(P24&lt;&gt;"",MIN(0,P24-MAX($P$4:P24)),"")</f>
        <v/>
      </c>
      <c r="S24" s="35" t="str">
        <f aca="false">IF(A16&lt;&gt;"",A16,"")</f>
        <v/>
      </c>
      <c r="T24" s="36" t="str">
        <f aca="false">IF(P16&lt;&gt;"",P16,"")</f>
        <v/>
      </c>
      <c r="U24" s="33" t="str">
        <f aca="false">IF(P16&lt;&gt;"",(P16-$D$2)/$D$2,"")</f>
        <v/>
      </c>
    </row>
    <row r="25" customFormat="false" ht="15" hidden="false" customHeight="true" outlineLevel="0" collapsed="false">
      <c r="A25" s="11" t="str">
        <f aca="false">IF(B25&lt;&gt;"",COUNTA($B$4:B25),"")</f>
        <v/>
      </c>
      <c r="B25" s="20"/>
      <c r="C25" s="20"/>
      <c r="D25" s="20"/>
      <c r="E25" s="20"/>
      <c r="F25" s="20"/>
      <c r="G25" s="20"/>
      <c r="H25" s="20"/>
      <c r="I25" s="21"/>
      <c r="J25" s="20"/>
      <c r="K25" s="14" t="str">
        <f aca="false">IF(AND(I25&lt;&gt;"",H25&lt;&gt;"",J25&lt;&gt;""),IF(J25="W",I25*H25,IF(J25="L",-I25,IF(J25="P",I25*H25*0.5,""))),"")</f>
        <v/>
      </c>
      <c r="L25" s="15" t="str">
        <f aca="false">IF(AND(K25&lt;&gt;"",P24&lt;&gt;""),K25/P24,IF(K25&lt;&gt;"",K25/$D$2,""))</f>
        <v/>
      </c>
      <c r="M25" s="20"/>
      <c r="N25" s="20"/>
      <c r="O25" s="20"/>
      <c r="P25" s="16" t="str">
        <f aca="false">IF(K25&lt;&gt;"",P24+K25,IF(B25&lt;&gt;"",P24,""))</f>
        <v/>
      </c>
      <c r="Q25" s="17" t="str">
        <f aca="false">IF(P25&lt;&gt;"",MIN(0,P25-MAX($P$4:P25)),"")</f>
        <v/>
      </c>
      <c r="S25" s="35" t="str">
        <f aca="false">IF(A17&lt;&gt;"",A17,"")</f>
        <v/>
      </c>
      <c r="T25" s="36" t="str">
        <f aca="false">IF(P17&lt;&gt;"",P17,"")</f>
        <v/>
      </c>
      <c r="U25" s="33" t="str">
        <f aca="false">IF(P17&lt;&gt;"",(P17-$D$2)/$D$2,"")</f>
        <v/>
      </c>
    </row>
    <row r="26" customFormat="false" ht="15" hidden="false" customHeight="true" outlineLevel="0" collapsed="false">
      <c r="A26" s="11" t="str">
        <f aca="false">IF(B26&lt;&gt;"",COUNTA($B$4:B26),"")</f>
        <v/>
      </c>
      <c r="B26" s="12"/>
      <c r="C26" s="12"/>
      <c r="D26" s="12"/>
      <c r="E26" s="12"/>
      <c r="F26" s="12"/>
      <c r="G26" s="12"/>
      <c r="H26" s="12"/>
      <c r="I26" s="13"/>
      <c r="J26" s="12"/>
      <c r="K26" s="14" t="str">
        <f aca="false">IF(AND(I26&lt;&gt;"",H26&lt;&gt;"",J26&lt;&gt;""),IF(J26="W",I26*H26,IF(J26="L",-I26,IF(J26="P",I26*H26*0.5,""))),"")</f>
        <v/>
      </c>
      <c r="L26" s="15" t="str">
        <f aca="false">IF(AND(K26&lt;&gt;"",P25&lt;&gt;""),K26/P25,IF(K26&lt;&gt;"",K26/$D$2,""))</f>
        <v/>
      </c>
      <c r="M26" s="12"/>
      <c r="N26" s="12"/>
      <c r="O26" s="12"/>
      <c r="P26" s="16" t="str">
        <f aca="false">IF(K26&lt;&gt;"",P25+K26,IF(B26&lt;&gt;"",P25,""))</f>
        <v/>
      </c>
      <c r="Q26" s="17" t="str">
        <f aca="false">IF(P26&lt;&gt;"",MIN(0,P26-MAX($P$4:P26)),"")</f>
        <v/>
      </c>
      <c r="S26" s="35" t="str">
        <f aca="false">IF(A18&lt;&gt;"",A18,"")</f>
        <v/>
      </c>
      <c r="T26" s="36" t="str">
        <f aca="false">IF(P18&lt;&gt;"",P18,"")</f>
        <v/>
      </c>
      <c r="U26" s="33" t="str">
        <f aca="false">IF(P18&lt;&gt;"",(P18-$D$2)/$D$2,"")</f>
        <v/>
      </c>
    </row>
    <row r="27" customFormat="false" ht="15" hidden="false" customHeight="true" outlineLevel="0" collapsed="false">
      <c r="A27" s="11" t="str">
        <f aca="false">IF(B27&lt;&gt;"",COUNTA($B$4:B27),"")</f>
        <v/>
      </c>
      <c r="B27" s="20"/>
      <c r="C27" s="20"/>
      <c r="D27" s="20"/>
      <c r="E27" s="20"/>
      <c r="F27" s="20"/>
      <c r="G27" s="20"/>
      <c r="H27" s="20"/>
      <c r="I27" s="21"/>
      <c r="J27" s="20"/>
      <c r="K27" s="14" t="str">
        <f aca="false">IF(AND(I27&lt;&gt;"",H27&lt;&gt;"",J27&lt;&gt;""),IF(J27="W",I27*H27,IF(J27="L",-I27,IF(J27="P",I27*H27*0.5,""))),"")</f>
        <v/>
      </c>
      <c r="L27" s="15" t="str">
        <f aca="false">IF(AND(K27&lt;&gt;"",P26&lt;&gt;""),K27/P26,IF(K27&lt;&gt;"",K27/$D$2,""))</f>
        <v/>
      </c>
      <c r="M27" s="20"/>
      <c r="N27" s="20"/>
      <c r="O27" s="20"/>
      <c r="P27" s="16" t="str">
        <f aca="false">IF(K27&lt;&gt;"",P26+K27,IF(B27&lt;&gt;"",P26,""))</f>
        <v/>
      </c>
      <c r="Q27" s="17" t="str">
        <f aca="false">IF(P27&lt;&gt;"",MIN(0,P27-MAX($P$4:P27)),"")</f>
        <v/>
      </c>
      <c r="S27" s="35" t="str">
        <f aca="false">IF(A19&lt;&gt;"",A19,"")</f>
        <v/>
      </c>
      <c r="T27" s="36" t="str">
        <f aca="false">IF(P19&lt;&gt;"",P19,"")</f>
        <v/>
      </c>
      <c r="U27" s="33" t="str">
        <f aca="false">IF(P19&lt;&gt;"",(P19-$D$2)/$D$2,"")</f>
        <v/>
      </c>
    </row>
    <row r="28" customFormat="false" ht="15" hidden="false" customHeight="true" outlineLevel="0" collapsed="false">
      <c r="A28" s="11" t="str">
        <f aca="false">IF(B28&lt;&gt;"",COUNTA($B$4:B28),"")</f>
        <v/>
      </c>
      <c r="B28" s="12"/>
      <c r="C28" s="12"/>
      <c r="D28" s="12"/>
      <c r="E28" s="12"/>
      <c r="F28" s="12"/>
      <c r="G28" s="12"/>
      <c r="H28" s="12"/>
      <c r="I28" s="13"/>
      <c r="J28" s="12"/>
      <c r="K28" s="14" t="str">
        <f aca="false">IF(AND(I28&lt;&gt;"",H28&lt;&gt;"",J28&lt;&gt;""),IF(J28="W",I28*H28,IF(J28="L",-I28,IF(J28="P",I28*H28*0.5,""))),"")</f>
        <v/>
      </c>
      <c r="L28" s="15" t="str">
        <f aca="false">IF(AND(K28&lt;&gt;"",P27&lt;&gt;""),K28/P27,IF(K28&lt;&gt;"",K28/$D$2,""))</f>
        <v/>
      </c>
      <c r="M28" s="12"/>
      <c r="N28" s="12"/>
      <c r="O28" s="12"/>
      <c r="P28" s="16" t="str">
        <f aca="false">IF(K28&lt;&gt;"",P27+K28,IF(B28&lt;&gt;"",P27,""))</f>
        <v/>
      </c>
      <c r="Q28" s="17" t="str">
        <f aca="false">IF(P28&lt;&gt;"",MIN(0,P28-MAX($P$4:P28)),"")</f>
        <v/>
      </c>
      <c r="S28" s="35" t="str">
        <f aca="false">IF(A20&lt;&gt;"",A20,"")</f>
        <v/>
      </c>
      <c r="T28" s="36" t="str">
        <f aca="false">IF(P20&lt;&gt;"",P20,"")</f>
        <v/>
      </c>
      <c r="U28" s="33" t="str">
        <f aca="false">IF(P20&lt;&gt;"",(P20-$D$2)/$D$2,"")</f>
        <v/>
      </c>
    </row>
    <row r="29" customFormat="false" ht="15" hidden="false" customHeight="true" outlineLevel="0" collapsed="false">
      <c r="A29" s="11" t="str">
        <f aca="false">IF(B29&lt;&gt;"",COUNTA($B$4:B29),"")</f>
        <v/>
      </c>
      <c r="B29" s="20"/>
      <c r="C29" s="20"/>
      <c r="D29" s="20"/>
      <c r="E29" s="20"/>
      <c r="F29" s="20"/>
      <c r="G29" s="20"/>
      <c r="H29" s="20"/>
      <c r="I29" s="21"/>
      <c r="J29" s="20"/>
      <c r="K29" s="14" t="str">
        <f aca="false">IF(AND(I29&lt;&gt;"",H29&lt;&gt;"",J29&lt;&gt;""),IF(J29="W",I29*H29,IF(J29="L",-I29,IF(J29="P",I29*H29*0.5,""))),"")</f>
        <v/>
      </c>
      <c r="L29" s="15" t="str">
        <f aca="false">IF(AND(K29&lt;&gt;"",P28&lt;&gt;""),K29/P28,IF(K29&lt;&gt;"",K29/$D$2,""))</f>
        <v/>
      </c>
      <c r="M29" s="20"/>
      <c r="N29" s="20"/>
      <c r="O29" s="20"/>
      <c r="P29" s="16" t="str">
        <f aca="false">IF(K29&lt;&gt;"",P28+K29,IF(B29&lt;&gt;"",P28,""))</f>
        <v/>
      </c>
      <c r="Q29" s="17" t="str">
        <f aca="false">IF(P29&lt;&gt;"",MIN(0,P29-MAX($P$4:P29)),"")</f>
        <v/>
      </c>
      <c r="S29" s="35" t="str">
        <f aca="false">IF(A21&lt;&gt;"",A21,"")</f>
        <v/>
      </c>
      <c r="T29" s="36" t="str">
        <f aca="false">IF(P21&lt;&gt;"",P21,"")</f>
        <v/>
      </c>
      <c r="U29" s="33" t="str">
        <f aca="false">IF(P21&lt;&gt;"",(P21-$D$2)/$D$2,"")</f>
        <v/>
      </c>
    </row>
    <row r="30" customFormat="false" ht="15" hidden="false" customHeight="true" outlineLevel="0" collapsed="false">
      <c r="A30" s="11" t="str">
        <f aca="false">IF(B30&lt;&gt;"",COUNTA($B$4:B30),"")</f>
        <v/>
      </c>
      <c r="B30" s="12"/>
      <c r="C30" s="12"/>
      <c r="D30" s="12"/>
      <c r="E30" s="12"/>
      <c r="F30" s="12"/>
      <c r="G30" s="12"/>
      <c r="H30" s="12"/>
      <c r="I30" s="13"/>
      <c r="J30" s="12"/>
      <c r="K30" s="14" t="str">
        <f aca="false">IF(AND(I30&lt;&gt;"",H30&lt;&gt;"",J30&lt;&gt;""),IF(J30="W",I30*H30,IF(J30="L",-I30,IF(J30="P",I30*H30*0.5,""))),"")</f>
        <v/>
      </c>
      <c r="L30" s="15" t="str">
        <f aca="false">IF(AND(K30&lt;&gt;"",P29&lt;&gt;""),K30/P29,IF(K30&lt;&gt;"",K30/$D$2,""))</f>
        <v/>
      </c>
      <c r="M30" s="12"/>
      <c r="N30" s="12"/>
      <c r="O30" s="12"/>
      <c r="P30" s="16" t="str">
        <f aca="false">IF(K30&lt;&gt;"",P29+K30,IF(B30&lt;&gt;"",P29,""))</f>
        <v/>
      </c>
      <c r="Q30" s="17" t="str">
        <f aca="false">IF(P30&lt;&gt;"",MIN(0,P30-MAX($P$4:P30)),"")</f>
        <v/>
      </c>
      <c r="S30" s="35" t="str">
        <f aca="false">IF(A22&lt;&gt;"",A22,"")</f>
        <v/>
      </c>
      <c r="T30" s="36" t="str">
        <f aca="false">IF(P22&lt;&gt;"",P22,"")</f>
        <v/>
      </c>
      <c r="U30" s="33" t="str">
        <f aca="false">IF(P22&lt;&gt;"",(P22-$D$2)/$D$2,"")</f>
        <v/>
      </c>
    </row>
    <row r="31" customFormat="false" ht="15" hidden="false" customHeight="true" outlineLevel="0" collapsed="false">
      <c r="A31" s="11" t="str">
        <f aca="false">IF(B31&lt;&gt;"",COUNTA($B$4:B31),"")</f>
        <v/>
      </c>
      <c r="B31" s="20"/>
      <c r="C31" s="20"/>
      <c r="D31" s="20"/>
      <c r="E31" s="20"/>
      <c r="F31" s="20"/>
      <c r="G31" s="20"/>
      <c r="H31" s="20"/>
      <c r="I31" s="21"/>
      <c r="J31" s="20"/>
      <c r="K31" s="14" t="str">
        <f aca="false">IF(AND(I31&lt;&gt;"",H31&lt;&gt;"",J31&lt;&gt;""),IF(J31="W",I31*H31,IF(J31="L",-I31,IF(J31="P",I31*H31*0.5,""))),"")</f>
        <v/>
      </c>
      <c r="L31" s="15" t="str">
        <f aca="false">IF(AND(K31&lt;&gt;"",P30&lt;&gt;""),K31/P30,IF(K31&lt;&gt;"",K31/$D$2,""))</f>
        <v/>
      </c>
      <c r="M31" s="20"/>
      <c r="N31" s="20"/>
      <c r="O31" s="20"/>
      <c r="P31" s="16" t="str">
        <f aca="false">IF(K31&lt;&gt;"",P30+K31,IF(B31&lt;&gt;"",P30,""))</f>
        <v/>
      </c>
      <c r="Q31" s="17" t="str">
        <f aca="false">IF(P31&lt;&gt;"",MIN(0,P31-MAX($P$4:P31)),"")</f>
        <v/>
      </c>
      <c r="S31" s="35" t="str">
        <f aca="false">IF(A23&lt;&gt;"",A23,"")</f>
        <v/>
      </c>
      <c r="T31" s="36" t="str">
        <f aca="false">IF(P23&lt;&gt;"",P23,"")</f>
        <v/>
      </c>
      <c r="U31" s="33" t="str">
        <f aca="false">IF(P23&lt;&gt;"",(P23-$D$2)/$D$2,"")</f>
        <v/>
      </c>
    </row>
    <row r="32" customFormat="false" ht="15" hidden="false" customHeight="true" outlineLevel="0" collapsed="false">
      <c r="A32" s="11" t="str">
        <f aca="false">IF(B32&lt;&gt;"",COUNTA($B$4:B32),"")</f>
        <v/>
      </c>
      <c r="B32" s="12"/>
      <c r="C32" s="12"/>
      <c r="D32" s="12"/>
      <c r="E32" s="12"/>
      <c r="F32" s="12"/>
      <c r="G32" s="12"/>
      <c r="H32" s="12"/>
      <c r="I32" s="13"/>
      <c r="J32" s="12"/>
      <c r="K32" s="14" t="str">
        <f aca="false">IF(AND(I32&lt;&gt;"",H32&lt;&gt;"",J32&lt;&gt;""),IF(J32="W",I32*H32,IF(J32="L",-I32,IF(J32="P",I32*H32*0.5,""))),"")</f>
        <v/>
      </c>
      <c r="L32" s="15" t="str">
        <f aca="false">IF(AND(K32&lt;&gt;"",P31&lt;&gt;""),K32/P31,IF(K32&lt;&gt;"",K32/$D$2,""))</f>
        <v/>
      </c>
      <c r="M32" s="12"/>
      <c r="N32" s="12"/>
      <c r="O32" s="12"/>
      <c r="P32" s="16" t="str">
        <f aca="false">IF(K32&lt;&gt;"",P31+K32,IF(B32&lt;&gt;"",P31,""))</f>
        <v/>
      </c>
      <c r="Q32" s="17" t="str">
        <f aca="false">IF(P32&lt;&gt;"",MIN(0,P32-MAX($P$4:P32)),"")</f>
        <v/>
      </c>
      <c r="S32" s="35" t="str">
        <f aca="false">IF(A24&lt;&gt;"",A24,"")</f>
        <v/>
      </c>
      <c r="T32" s="36" t="str">
        <f aca="false">IF(P24&lt;&gt;"",P24,"")</f>
        <v/>
      </c>
      <c r="U32" s="33" t="str">
        <f aca="false">IF(P24&lt;&gt;"",(P24-$D$2)/$D$2,"")</f>
        <v/>
      </c>
    </row>
    <row r="33" customFormat="false" ht="15" hidden="false" customHeight="true" outlineLevel="0" collapsed="false">
      <c r="A33" s="11" t="str">
        <f aca="false">IF(B33&lt;&gt;"",COUNTA($B$4:B33),"")</f>
        <v/>
      </c>
      <c r="B33" s="20"/>
      <c r="C33" s="20"/>
      <c r="D33" s="20"/>
      <c r="E33" s="20"/>
      <c r="F33" s="20"/>
      <c r="G33" s="20"/>
      <c r="H33" s="20"/>
      <c r="I33" s="21"/>
      <c r="J33" s="20"/>
      <c r="K33" s="14" t="str">
        <f aca="false">IF(AND(I33&lt;&gt;"",H33&lt;&gt;"",J33&lt;&gt;""),IF(J33="W",I33*H33,IF(J33="L",-I33,IF(J33="P",I33*H33*0.5,""))),"")</f>
        <v/>
      </c>
      <c r="L33" s="15" t="str">
        <f aca="false">IF(AND(K33&lt;&gt;"",P32&lt;&gt;""),K33/P32,IF(K33&lt;&gt;"",K33/$D$2,""))</f>
        <v/>
      </c>
      <c r="M33" s="20"/>
      <c r="N33" s="20"/>
      <c r="O33" s="20"/>
      <c r="P33" s="16" t="str">
        <f aca="false">IF(K33&lt;&gt;"",P32+K33,IF(B33&lt;&gt;"",P32,""))</f>
        <v/>
      </c>
      <c r="Q33" s="17" t="str">
        <f aca="false">IF(P33&lt;&gt;"",MIN(0,P33-MAX($P$4:P33)),"")</f>
        <v/>
      </c>
      <c r="S33" s="35" t="str">
        <f aca="false">IF(A25&lt;&gt;"",A25,"")</f>
        <v/>
      </c>
      <c r="T33" s="36" t="str">
        <f aca="false">IF(P25&lt;&gt;"",P25,"")</f>
        <v/>
      </c>
      <c r="U33" s="33" t="str">
        <f aca="false">IF(P25&lt;&gt;"",(P25-$D$2)/$D$2,"")</f>
        <v/>
      </c>
    </row>
    <row r="34" customFormat="false" ht="15" hidden="false" customHeight="true" outlineLevel="0" collapsed="false">
      <c r="A34" s="11" t="str">
        <f aca="false">IF(B34&lt;&gt;"",COUNTA($B$4:B34),"")</f>
        <v/>
      </c>
      <c r="B34" s="12"/>
      <c r="C34" s="12"/>
      <c r="D34" s="12"/>
      <c r="E34" s="12"/>
      <c r="F34" s="12"/>
      <c r="G34" s="12"/>
      <c r="H34" s="12"/>
      <c r="I34" s="13"/>
      <c r="J34" s="12"/>
      <c r="K34" s="14" t="str">
        <f aca="false">IF(AND(I34&lt;&gt;"",H34&lt;&gt;"",J34&lt;&gt;""),IF(J34="W",I34*H34,IF(J34="L",-I34,IF(J34="P",I34*H34*0.5,""))),"")</f>
        <v/>
      </c>
      <c r="L34" s="15" t="str">
        <f aca="false">IF(AND(K34&lt;&gt;"",P33&lt;&gt;""),K34/P33,IF(K34&lt;&gt;"",K34/$D$2,""))</f>
        <v/>
      </c>
      <c r="M34" s="12"/>
      <c r="N34" s="12"/>
      <c r="O34" s="12"/>
      <c r="P34" s="16" t="str">
        <f aca="false">IF(K34&lt;&gt;"",P33+K34,IF(B34&lt;&gt;"",P33,""))</f>
        <v/>
      </c>
      <c r="Q34" s="17" t="str">
        <f aca="false">IF(P34&lt;&gt;"",MIN(0,P34-MAX($P$4:P34)),"")</f>
        <v/>
      </c>
      <c r="S34" s="35" t="str">
        <f aca="false">IF(A26&lt;&gt;"",A26,"")</f>
        <v/>
      </c>
      <c r="T34" s="36" t="str">
        <f aca="false">IF(P26&lt;&gt;"",P26,"")</f>
        <v/>
      </c>
      <c r="U34" s="33" t="str">
        <f aca="false">IF(P26&lt;&gt;"",(P26-$D$2)/$D$2,"")</f>
        <v/>
      </c>
    </row>
    <row r="35" customFormat="false" ht="15" hidden="false" customHeight="true" outlineLevel="0" collapsed="false">
      <c r="A35" s="11" t="str">
        <f aca="false">IF(B35&lt;&gt;"",COUNTA($B$4:B35),"")</f>
        <v/>
      </c>
      <c r="B35" s="20"/>
      <c r="C35" s="20"/>
      <c r="D35" s="20"/>
      <c r="E35" s="20"/>
      <c r="F35" s="20"/>
      <c r="G35" s="20"/>
      <c r="H35" s="20"/>
      <c r="I35" s="21"/>
      <c r="J35" s="20"/>
      <c r="K35" s="14" t="str">
        <f aca="false">IF(AND(I35&lt;&gt;"",H35&lt;&gt;"",J35&lt;&gt;""),IF(J35="W",I35*H35,IF(J35="L",-I35,IF(J35="P",I35*H35*0.5,""))),"")</f>
        <v/>
      </c>
      <c r="L35" s="15" t="str">
        <f aca="false">IF(AND(K35&lt;&gt;"",P34&lt;&gt;""),K35/P34,IF(K35&lt;&gt;"",K35/$D$2,""))</f>
        <v/>
      </c>
      <c r="M35" s="20"/>
      <c r="N35" s="20"/>
      <c r="O35" s="20"/>
      <c r="P35" s="16" t="str">
        <f aca="false">IF(K35&lt;&gt;"",P34+K35,IF(B35&lt;&gt;"",P34,""))</f>
        <v/>
      </c>
      <c r="Q35" s="17" t="str">
        <f aca="false">IF(P35&lt;&gt;"",MIN(0,P35-MAX($P$4:P35)),"")</f>
        <v/>
      </c>
      <c r="S35" s="35" t="str">
        <f aca="false">IF(A27&lt;&gt;"",A27,"")</f>
        <v/>
      </c>
      <c r="T35" s="36" t="str">
        <f aca="false">IF(P27&lt;&gt;"",P27,"")</f>
        <v/>
      </c>
      <c r="U35" s="33" t="str">
        <f aca="false">IF(P27&lt;&gt;"",(P27-$D$2)/$D$2,"")</f>
        <v/>
      </c>
    </row>
    <row r="36" customFormat="false" ht="15" hidden="false" customHeight="true" outlineLevel="0" collapsed="false">
      <c r="A36" s="11" t="str">
        <f aca="false">IF(B36&lt;&gt;"",COUNTA($B$4:B36),"")</f>
        <v/>
      </c>
      <c r="B36" s="12"/>
      <c r="C36" s="12"/>
      <c r="D36" s="12"/>
      <c r="E36" s="12"/>
      <c r="F36" s="12"/>
      <c r="G36" s="12"/>
      <c r="H36" s="12"/>
      <c r="I36" s="13"/>
      <c r="J36" s="12"/>
      <c r="K36" s="14" t="str">
        <f aca="false">IF(AND(I36&lt;&gt;"",H36&lt;&gt;"",J36&lt;&gt;""),IF(J36="W",I36*H36,IF(J36="L",-I36,IF(J36="P",I36*H36*0.5,""))),"")</f>
        <v/>
      </c>
      <c r="L36" s="15" t="str">
        <f aca="false">IF(AND(K36&lt;&gt;"",P35&lt;&gt;""),K36/P35,IF(K36&lt;&gt;"",K36/$D$2,""))</f>
        <v/>
      </c>
      <c r="M36" s="12"/>
      <c r="N36" s="12"/>
      <c r="O36" s="12"/>
      <c r="P36" s="16" t="str">
        <f aca="false">IF(K36&lt;&gt;"",P35+K36,IF(B36&lt;&gt;"",P35,""))</f>
        <v/>
      </c>
      <c r="Q36" s="17" t="str">
        <f aca="false">IF(P36&lt;&gt;"",MIN(0,P36-MAX($P$4:P36)),"")</f>
        <v/>
      </c>
      <c r="S36" s="35" t="str">
        <f aca="false">IF(A28&lt;&gt;"",A28,"")</f>
        <v/>
      </c>
      <c r="T36" s="36" t="str">
        <f aca="false">IF(P28&lt;&gt;"",P28,"")</f>
        <v/>
      </c>
      <c r="U36" s="33" t="str">
        <f aca="false">IF(P28&lt;&gt;"",(P28-$D$2)/$D$2,"")</f>
        <v/>
      </c>
    </row>
    <row r="37" customFormat="false" ht="15" hidden="false" customHeight="true" outlineLevel="0" collapsed="false">
      <c r="A37" s="11" t="str">
        <f aca="false">IF(B37&lt;&gt;"",COUNTA($B$4:B37),"")</f>
        <v/>
      </c>
      <c r="B37" s="20"/>
      <c r="C37" s="20"/>
      <c r="D37" s="20"/>
      <c r="E37" s="20"/>
      <c r="F37" s="20"/>
      <c r="G37" s="20"/>
      <c r="H37" s="20"/>
      <c r="I37" s="21"/>
      <c r="J37" s="20"/>
      <c r="K37" s="14" t="str">
        <f aca="false">IF(AND(I37&lt;&gt;"",H37&lt;&gt;"",J37&lt;&gt;""),IF(J37="W",I37*H37,IF(J37="L",-I37,IF(J37="P",I37*H37*0.5,""))),"")</f>
        <v/>
      </c>
      <c r="L37" s="15" t="str">
        <f aca="false">IF(AND(K37&lt;&gt;"",P36&lt;&gt;""),K37/P36,IF(K37&lt;&gt;"",K37/$D$2,""))</f>
        <v/>
      </c>
      <c r="M37" s="20"/>
      <c r="N37" s="20"/>
      <c r="O37" s="20"/>
      <c r="P37" s="16" t="str">
        <f aca="false">IF(K37&lt;&gt;"",P36+K37,IF(B37&lt;&gt;"",P36,""))</f>
        <v/>
      </c>
      <c r="Q37" s="17" t="str">
        <f aca="false">IF(P37&lt;&gt;"",MIN(0,P37-MAX($P$4:P37)),"")</f>
        <v/>
      </c>
      <c r="S37" s="35" t="str">
        <f aca="false">IF(A29&lt;&gt;"",A29,"")</f>
        <v/>
      </c>
      <c r="T37" s="36" t="str">
        <f aca="false">IF(P29&lt;&gt;"",P29,"")</f>
        <v/>
      </c>
      <c r="U37" s="33" t="str">
        <f aca="false">IF(P29&lt;&gt;"",(P29-$D$2)/$D$2,"")</f>
        <v/>
      </c>
    </row>
    <row r="38" customFormat="false" ht="15" hidden="false" customHeight="true" outlineLevel="0" collapsed="false">
      <c r="A38" s="11" t="str">
        <f aca="false">IF(B38&lt;&gt;"",COUNTA($B$4:B38),"")</f>
        <v/>
      </c>
      <c r="B38" s="12"/>
      <c r="C38" s="12"/>
      <c r="D38" s="12"/>
      <c r="E38" s="12"/>
      <c r="F38" s="12"/>
      <c r="G38" s="12"/>
      <c r="H38" s="12"/>
      <c r="I38" s="13"/>
      <c r="J38" s="12"/>
      <c r="K38" s="14" t="str">
        <f aca="false">IF(AND(I38&lt;&gt;"",H38&lt;&gt;"",J38&lt;&gt;""),IF(J38="W",I38*H38,IF(J38="L",-I38,IF(J38="P",I38*H38*0.5,""))),"")</f>
        <v/>
      </c>
      <c r="L38" s="15" t="str">
        <f aca="false">IF(AND(K38&lt;&gt;"",P37&lt;&gt;""),K38/P37,IF(K38&lt;&gt;"",K38/$D$2,""))</f>
        <v/>
      </c>
      <c r="M38" s="12"/>
      <c r="N38" s="12"/>
      <c r="O38" s="12"/>
      <c r="P38" s="16" t="str">
        <f aca="false">IF(K38&lt;&gt;"",P37+K38,IF(B38&lt;&gt;"",P37,""))</f>
        <v/>
      </c>
      <c r="Q38" s="17" t="str">
        <f aca="false">IF(P38&lt;&gt;"",MIN(0,P38-MAX($P$4:P38)),"")</f>
        <v/>
      </c>
      <c r="S38" s="35" t="str">
        <f aca="false">IF(A30&lt;&gt;"",A30,"")</f>
        <v/>
      </c>
      <c r="T38" s="36" t="str">
        <f aca="false">IF(P30&lt;&gt;"",P30,"")</f>
        <v/>
      </c>
      <c r="U38" s="33" t="str">
        <f aca="false">IF(P30&lt;&gt;"",(P30-$D$2)/$D$2,"")</f>
        <v/>
      </c>
    </row>
    <row r="39" customFormat="false" ht="15" hidden="false" customHeight="true" outlineLevel="0" collapsed="false">
      <c r="A39" s="11" t="str">
        <f aca="false">IF(B39&lt;&gt;"",COUNTA($B$4:B39),"")</f>
        <v/>
      </c>
      <c r="B39" s="20"/>
      <c r="C39" s="20"/>
      <c r="D39" s="20"/>
      <c r="E39" s="20"/>
      <c r="F39" s="20"/>
      <c r="G39" s="20"/>
      <c r="H39" s="20"/>
      <c r="I39" s="21"/>
      <c r="J39" s="20"/>
      <c r="K39" s="14" t="str">
        <f aca="false">IF(AND(I39&lt;&gt;"",H39&lt;&gt;"",J39&lt;&gt;""),IF(J39="W",I39*H39,IF(J39="L",-I39,IF(J39="P",I39*H39*0.5,""))),"")</f>
        <v/>
      </c>
      <c r="L39" s="15" t="str">
        <f aca="false">IF(AND(K39&lt;&gt;"",P38&lt;&gt;""),K39/P38,IF(K39&lt;&gt;"",K39/$D$2,""))</f>
        <v/>
      </c>
      <c r="M39" s="20"/>
      <c r="N39" s="20"/>
      <c r="O39" s="20"/>
      <c r="P39" s="16" t="str">
        <f aca="false">IF(K39&lt;&gt;"",P38+K39,IF(B39&lt;&gt;"",P38,""))</f>
        <v/>
      </c>
      <c r="Q39" s="17" t="str">
        <f aca="false">IF(P39&lt;&gt;"",MIN(0,P39-MAX($P$4:P39)),"")</f>
        <v/>
      </c>
      <c r="S39" s="35" t="str">
        <f aca="false">IF(A31&lt;&gt;"",A31,"")</f>
        <v/>
      </c>
      <c r="T39" s="36" t="str">
        <f aca="false">IF(P31&lt;&gt;"",P31,"")</f>
        <v/>
      </c>
      <c r="U39" s="33" t="str">
        <f aca="false">IF(P31&lt;&gt;"",(P31-$D$2)/$D$2,"")</f>
        <v/>
      </c>
    </row>
    <row r="40" customFormat="false" ht="15" hidden="false" customHeight="true" outlineLevel="0" collapsed="false">
      <c r="A40" s="11" t="str">
        <f aca="false">IF(B40&lt;&gt;"",COUNTA($B$4:B40),"")</f>
        <v/>
      </c>
      <c r="B40" s="12"/>
      <c r="C40" s="12"/>
      <c r="D40" s="12"/>
      <c r="E40" s="12"/>
      <c r="F40" s="12"/>
      <c r="G40" s="12"/>
      <c r="H40" s="12"/>
      <c r="I40" s="13"/>
      <c r="J40" s="12"/>
      <c r="K40" s="14" t="str">
        <f aca="false">IF(AND(I40&lt;&gt;"",H40&lt;&gt;"",J40&lt;&gt;""),IF(J40="W",I40*H40,IF(J40="L",-I40,IF(J40="P",I40*H40*0.5,""))),"")</f>
        <v/>
      </c>
      <c r="L40" s="15" t="str">
        <f aca="false">IF(AND(K40&lt;&gt;"",P39&lt;&gt;""),K40/P39,IF(K40&lt;&gt;"",K40/$D$2,""))</f>
        <v/>
      </c>
      <c r="M40" s="12"/>
      <c r="N40" s="12"/>
      <c r="O40" s="12"/>
      <c r="P40" s="16" t="str">
        <f aca="false">IF(K40&lt;&gt;"",P39+K40,IF(B40&lt;&gt;"",P39,""))</f>
        <v/>
      </c>
      <c r="Q40" s="17" t="str">
        <f aca="false">IF(P40&lt;&gt;"",MIN(0,P40-MAX($P$4:P40)),"")</f>
        <v/>
      </c>
      <c r="S40" s="35" t="str">
        <f aca="false">IF(A32&lt;&gt;"",A32,"")</f>
        <v/>
      </c>
      <c r="T40" s="36" t="str">
        <f aca="false">IF(P32&lt;&gt;"",P32,"")</f>
        <v/>
      </c>
      <c r="U40" s="33" t="str">
        <f aca="false">IF(P32&lt;&gt;"",(P32-$D$2)/$D$2,"")</f>
        <v/>
      </c>
    </row>
    <row r="41" customFormat="false" ht="15" hidden="false" customHeight="true" outlineLevel="0" collapsed="false">
      <c r="A41" s="11" t="str">
        <f aca="false">IF(B41&lt;&gt;"",COUNTA($B$4:B41),"")</f>
        <v/>
      </c>
      <c r="B41" s="20"/>
      <c r="C41" s="20"/>
      <c r="D41" s="20"/>
      <c r="E41" s="20"/>
      <c r="F41" s="20"/>
      <c r="G41" s="20"/>
      <c r="H41" s="20"/>
      <c r="I41" s="21"/>
      <c r="J41" s="20"/>
      <c r="K41" s="14" t="str">
        <f aca="false">IF(AND(I41&lt;&gt;"",H41&lt;&gt;"",J41&lt;&gt;""),IF(J41="W",I41*H41,IF(J41="L",-I41,IF(J41="P",I41*H41*0.5,""))),"")</f>
        <v/>
      </c>
      <c r="L41" s="15" t="str">
        <f aca="false">IF(AND(K41&lt;&gt;"",P40&lt;&gt;""),K41/P40,IF(K41&lt;&gt;"",K41/$D$2,""))</f>
        <v/>
      </c>
      <c r="M41" s="20"/>
      <c r="N41" s="20"/>
      <c r="O41" s="20"/>
      <c r="P41" s="16" t="str">
        <f aca="false">IF(K41&lt;&gt;"",P40+K41,IF(B41&lt;&gt;"",P40,""))</f>
        <v/>
      </c>
      <c r="Q41" s="17" t="str">
        <f aca="false">IF(P41&lt;&gt;"",MIN(0,P41-MAX($P$4:P41)),"")</f>
        <v/>
      </c>
      <c r="S41" s="35" t="str">
        <f aca="false">IF(A33&lt;&gt;"",A33,"")</f>
        <v/>
      </c>
      <c r="T41" s="36" t="str">
        <f aca="false">IF(P33&lt;&gt;"",P33,"")</f>
        <v/>
      </c>
      <c r="U41" s="33" t="str">
        <f aca="false">IF(P33&lt;&gt;"",(P33-$D$2)/$D$2,"")</f>
        <v/>
      </c>
    </row>
    <row r="42" customFormat="false" ht="15" hidden="false" customHeight="true" outlineLevel="0" collapsed="false">
      <c r="A42" s="11" t="str">
        <f aca="false">IF(B42&lt;&gt;"",COUNTA($B$4:B42),"")</f>
        <v/>
      </c>
      <c r="B42" s="12"/>
      <c r="C42" s="12"/>
      <c r="D42" s="12"/>
      <c r="E42" s="12"/>
      <c r="F42" s="12"/>
      <c r="G42" s="12"/>
      <c r="H42" s="12"/>
      <c r="I42" s="13"/>
      <c r="J42" s="12"/>
      <c r="K42" s="14" t="str">
        <f aca="false">IF(AND(I42&lt;&gt;"",H42&lt;&gt;"",J42&lt;&gt;""),IF(J42="W",I42*H42,IF(J42="L",-I42,IF(J42="P",I42*H42*0.5,""))),"")</f>
        <v/>
      </c>
      <c r="L42" s="15" t="str">
        <f aca="false">IF(AND(K42&lt;&gt;"",P41&lt;&gt;""),K42/P41,IF(K42&lt;&gt;"",K42/$D$2,""))</f>
        <v/>
      </c>
      <c r="M42" s="12"/>
      <c r="N42" s="12"/>
      <c r="O42" s="12"/>
      <c r="P42" s="16" t="str">
        <f aca="false">IF(K42&lt;&gt;"",P41+K42,IF(B42&lt;&gt;"",P41,""))</f>
        <v/>
      </c>
      <c r="Q42" s="17" t="str">
        <f aca="false">IF(P42&lt;&gt;"",MIN(0,P42-MAX($P$4:P42)),"")</f>
        <v/>
      </c>
      <c r="S42" s="35" t="str">
        <f aca="false">IF(A34&lt;&gt;"",A34,"")</f>
        <v/>
      </c>
      <c r="T42" s="36" t="str">
        <f aca="false">IF(P34&lt;&gt;"",P34,"")</f>
        <v/>
      </c>
      <c r="U42" s="33" t="str">
        <f aca="false">IF(P34&lt;&gt;"",(P34-$D$2)/$D$2,"")</f>
        <v/>
      </c>
    </row>
    <row r="43" customFormat="false" ht="15" hidden="false" customHeight="true" outlineLevel="0" collapsed="false">
      <c r="A43" s="11" t="str">
        <f aca="false">IF(B43&lt;&gt;"",COUNTA($B$4:B43),"")</f>
        <v/>
      </c>
      <c r="B43" s="20"/>
      <c r="C43" s="20"/>
      <c r="D43" s="20"/>
      <c r="E43" s="20"/>
      <c r="F43" s="20"/>
      <c r="G43" s="20"/>
      <c r="H43" s="20"/>
      <c r="I43" s="21"/>
      <c r="J43" s="20"/>
      <c r="K43" s="14" t="str">
        <f aca="false">IF(AND(I43&lt;&gt;"",H43&lt;&gt;"",J43&lt;&gt;""),IF(J43="W",I43*H43,IF(J43="L",-I43,IF(J43="P",I43*H43*0.5,""))),"")</f>
        <v/>
      </c>
      <c r="L43" s="15" t="str">
        <f aca="false">IF(AND(K43&lt;&gt;"",P42&lt;&gt;""),K43/P42,IF(K43&lt;&gt;"",K43/$D$2,""))</f>
        <v/>
      </c>
      <c r="M43" s="20"/>
      <c r="N43" s="20"/>
      <c r="O43" s="20"/>
      <c r="P43" s="16" t="str">
        <f aca="false">IF(K43&lt;&gt;"",P42+K43,IF(B43&lt;&gt;"",P42,""))</f>
        <v/>
      </c>
      <c r="Q43" s="17" t="str">
        <f aca="false">IF(P43&lt;&gt;"",MIN(0,P43-MAX($P$4:P43)),"")</f>
        <v/>
      </c>
      <c r="S43" s="35" t="str">
        <f aca="false">IF(A35&lt;&gt;"",A35,"")</f>
        <v/>
      </c>
      <c r="T43" s="36" t="str">
        <f aca="false">IF(P35&lt;&gt;"",P35,"")</f>
        <v/>
      </c>
      <c r="U43" s="33" t="str">
        <f aca="false">IF(P35&lt;&gt;"",(P35-$D$2)/$D$2,"")</f>
        <v/>
      </c>
    </row>
    <row r="44" customFormat="false" ht="15" hidden="false" customHeight="true" outlineLevel="0" collapsed="false">
      <c r="A44" s="11" t="str">
        <f aca="false">IF(B44&lt;&gt;"",COUNTA($B$4:B44),"")</f>
        <v/>
      </c>
      <c r="B44" s="12"/>
      <c r="C44" s="12"/>
      <c r="D44" s="12"/>
      <c r="E44" s="12"/>
      <c r="F44" s="12"/>
      <c r="G44" s="12"/>
      <c r="H44" s="12"/>
      <c r="I44" s="13"/>
      <c r="J44" s="12"/>
      <c r="K44" s="14" t="str">
        <f aca="false">IF(AND(I44&lt;&gt;"",H44&lt;&gt;"",J44&lt;&gt;""),IF(J44="W",I44*H44,IF(J44="L",-I44,IF(J44="P",I44*H44*0.5,""))),"")</f>
        <v/>
      </c>
      <c r="L44" s="15" t="str">
        <f aca="false">IF(AND(K44&lt;&gt;"",P43&lt;&gt;""),K44/P43,IF(K44&lt;&gt;"",K44/$D$2,""))</f>
        <v/>
      </c>
      <c r="M44" s="12"/>
      <c r="N44" s="12"/>
      <c r="O44" s="12"/>
      <c r="P44" s="16" t="str">
        <f aca="false">IF(K44&lt;&gt;"",P43+K44,IF(B44&lt;&gt;"",P43,""))</f>
        <v/>
      </c>
      <c r="Q44" s="17" t="str">
        <f aca="false">IF(P44&lt;&gt;"",MIN(0,P44-MAX($P$4:P44)),"")</f>
        <v/>
      </c>
      <c r="S44" s="35" t="str">
        <f aca="false">IF(A36&lt;&gt;"",A36,"")</f>
        <v/>
      </c>
      <c r="T44" s="36" t="str">
        <f aca="false">IF(P36&lt;&gt;"",P36,"")</f>
        <v/>
      </c>
      <c r="U44" s="33" t="str">
        <f aca="false">IF(P36&lt;&gt;"",(P36-$D$2)/$D$2,"")</f>
        <v/>
      </c>
    </row>
    <row r="45" customFormat="false" ht="15" hidden="false" customHeight="true" outlineLevel="0" collapsed="false">
      <c r="A45" s="11" t="str">
        <f aca="false">IF(B45&lt;&gt;"",COUNTA($B$4:B45),"")</f>
        <v/>
      </c>
      <c r="B45" s="20"/>
      <c r="C45" s="20"/>
      <c r="D45" s="20"/>
      <c r="E45" s="20"/>
      <c r="F45" s="20"/>
      <c r="G45" s="20"/>
      <c r="H45" s="20"/>
      <c r="I45" s="21"/>
      <c r="J45" s="20"/>
      <c r="K45" s="14" t="str">
        <f aca="false">IF(AND(I45&lt;&gt;"",H45&lt;&gt;"",J45&lt;&gt;""),IF(J45="W",I45*H45,IF(J45="L",-I45,IF(J45="P",I45*H45*0.5,""))),"")</f>
        <v/>
      </c>
      <c r="L45" s="15" t="str">
        <f aca="false">IF(AND(K45&lt;&gt;"",P44&lt;&gt;""),K45/P44,IF(K45&lt;&gt;"",K45/$D$2,""))</f>
        <v/>
      </c>
      <c r="M45" s="20"/>
      <c r="N45" s="20"/>
      <c r="O45" s="20"/>
      <c r="P45" s="16" t="str">
        <f aca="false">IF(K45&lt;&gt;"",P44+K45,IF(B45&lt;&gt;"",P44,""))</f>
        <v/>
      </c>
      <c r="Q45" s="17" t="str">
        <f aca="false">IF(P45&lt;&gt;"",MIN(0,P45-MAX($P$4:P45)),"")</f>
        <v/>
      </c>
      <c r="S45" s="35" t="str">
        <f aca="false">IF(A37&lt;&gt;"",A37,"")</f>
        <v/>
      </c>
      <c r="T45" s="36" t="str">
        <f aca="false">IF(P37&lt;&gt;"",P37,"")</f>
        <v/>
      </c>
      <c r="U45" s="33" t="str">
        <f aca="false">IF(P37&lt;&gt;"",(P37-$D$2)/$D$2,"")</f>
        <v/>
      </c>
    </row>
    <row r="46" customFormat="false" ht="15" hidden="false" customHeight="true" outlineLevel="0" collapsed="false">
      <c r="A46" s="11" t="str">
        <f aca="false">IF(B46&lt;&gt;"",COUNTA($B$4:B46),"")</f>
        <v/>
      </c>
      <c r="B46" s="12"/>
      <c r="C46" s="12"/>
      <c r="D46" s="12"/>
      <c r="E46" s="12"/>
      <c r="F46" s="12"/>
      <c r="G46" s="12"/>
      <c r="H46" s="12"/>
      <c r="I46" s="13"/>
      <c r="J46" s="12"/>
      <c r="K46" s="14" t="str">
        <f aca="false">IF(AND(I46&lt;&gt;"",H46&lt;&gt;"",J46&lt;&gt;""),IF(J46="W",I46*H46,IF(J46="L",-I46,IF(J46="P",I46*H46*0.5,""))),"")</f>
        <v/>
      </c>
      <c r="L46" s="15" t="str">
        <f aca="false">IF(AND(K46&lt;&gt;"",P45&lt;&gt;""),K46/P45,IF(K46&lt;&gt;"",K46/$D$2,""))</f>
        <v/>
      </c>
      <c r="M46" s="12"/>
      <c r="N46" s="12"/>
      <c r="O46" s="12"/>
      <c r="P46" s="16" t="str">
        <f aca="false">IF(K46&lt;&gt;"",P45+K46,IF(B46&lt;&gt;"",P45,""))</f>
        <v/>
      </c>
      <c r="Q46" s="17" t="str">
        <f aca="false">IF(P46&lt;&gt;"",MIN(0,P46-MAX($P$4:P46)),"")</f>
        <v/>
      </c>
      <c r="S46" s="35" t="str">
        <f aca="false">IF(A38&lt;&gt;"",A38,"")</f>
        <v/>
      </c>
      <c r="T46" s="36" t="str">
        <f aca="false">IF(P38&lt;&gt;"",P38,"")</f>
        <v/>
      </c>
      <c r="U46" s="33" t="str">
        <f aca="false">IF(P38&lt;&gt;"",(P38-$D$2)/$D$2,"")</f>
        <v/>
      </c>
    </row>
    <row r="47" customFormat="false" ht="15" hidden="false" customHeight="true" outlineLevel="0" collapsed="false">
      <c r="A47" s="11" t="str">
        <f aca="false">IF(B47&lt;&gt;"",COUNTA($B$4:B47),"")</f>
        <v/>
      </c>
      <c r="B47" s="20"/>
      <c r="C47" s="20"/>
      <c r="D47" s="20"/>
      <c r="E47" s="20"/>
      <c r="F47" s="20"/>
      <c r="G47" s="20"/>
      <c r="H47" s="20"/>
      <c r="I47" s="21"/>
      <c r="J47" s="20"/>
      <c r="K47" s="14" t="str">
        <f aca="false">IF(AND(I47&lt;&gt;"",H47&lt;&gt;"",J47&lt;&gt;""),IF(J47="W",I47*H47,IF(J47="L",-I47,IF(J47="P",I47*H47*0.5,""))),"")</f>
        <v/>
      </c>
      <c r="L47" s="15" t="str">
        <f aca="false">IF(AND(K47&lt;&gt;"",P46&lt;&gt;""),K47/P46,IF(K47&lt;&gt;"",K47/$D$2,""))</f>
        <v/>
      </c>
      <c r="M47" s="20"/>
      <c r="N47" s="20"/>
      <c r="O47" s="20"/>
      <c r="P47" s="16" t="str">
        <f aca="false">IF(K47&lt;&gt;"",P46+K47,IF(B47&lt;&gt;"",P46,""))</f>
        <v/>
      </c>
      <c r="Q47" s="17" t="str">
        <f aca="false">IF(P47&lt;&gt;"",MIN(0,P47-MAX($P$4:P47)),"")</f>
        <v/>
      </c>
      <c r="S47" s="35" t="str">
        <f aca="false">IF(A39&lt;&gt;"",A39,"")</f>
        <v/>
      </c>
      <c r="T47" s="36" t="str">
        <f aca="false">IF(P39&lt;&gt;"",P39,"")</f>
        <v/>
      </c>
      <c r="U47" s="33" t="str">
        <f aca="false">IF(P39&lt;&gt;"",(P39-$D$2)/$D$2,"")</f>
        <v/>
      </c>
    </row>
    <row r="48" customFormat="false" ht="15" hidden="false" customHeight="true" outlineLevel="0" collapsed="false">
      <c r="A48" s="11" t="str">
        <f aca="false">IF(B48&lt;&gt;"",COUNTA($B$4:B48),"")</f>
        <v/>
      </c>
      <c r="B48" s="12"/>
      <c r="C48" s="12"/>
      <c r="D48" s="12"/>
      <c r="E48" s="12"/>
      <c r="F48" s="12"/>
      <c r="G48" s="12"/>
      <c r="H48" s="12"/>
      <c r="I48" s="13"/>
      <c r="J48" s="12"/>
      <c r="K48" s="14" t="str">
        <f aca="false">IF(AND(I48&lt;&gt;"",H48&lt;&gt;"",J48&lt;&gt;""),IF(J48="W",I48*H48,IF(J48="L",-I48,IF(J48="P",I48*H48*0.5,""))),"")</f>
        <v/>
      </c>
      <c r="L48" s="15" t="str">
        <f aca="false">IF(AND(K48&lt;&gt;"",P47&lt;&gt;""),K48/P47,IF(K48&lt;&gt;"",K48/$D$2,""))</f>
        <v/>
      </c>
      <c r="M48" s="12"/>
      <c r="N48" s="12"/>
      <c r="O48" s="12"/>
      <c r="P48" s="16" t="str">
        <f aca="false">IF(K48&lt;&gt;"",P47+K48,IF(B48&lt;&gt;"",P47,""))</f>
        <v/>
      </c>
      <c r="Q48" s="17" t="str">
        <f aca="false">IF(P48&lt;&gt;"",MIN(0,P48-MAX($P$4:P48)),"")</f>
        <v/>
      </c>
      <c r="S48" s="35" t="str">
        <f aca="false">IF(A40&lt;&gt;"",A40,"")</f>
        <v/>
      </c>
      <c r="T48" s="36" t="str">
        <f aca="false">IF(P40&lt;&gt;"",P40,"")</f>
        <v/>
      </c>
      <c r="U48" s="33" t="str">
        <f aca="false">IF(P40&lt;&gt;"",(P40-$D$2)/$D$2,"")</f>
        <v/>
      </c>
    </row>
    <row r="49" customFormat="false" ht="15" hidden="false" customHeight="true" outlineLevel="0" collapsed="false">
      <c r="A49" s="11" t="str">
        <f aca="false">IF(B49&lt;&gt;"",COUNTA($B$4:B49),"")</f>
        <v/>
      </c>
      <c r="B49" s="20"/>
      <c r="C49" s="20"/>
      <c r="D49" s="20"/>
      <c r="E49" s="20"/>
      <c r="F49" s="20"/>
      <c r="G49" s="20"/>
      <c r="H49" s="20"/>
      <c r="I49" s="21"/>
      <c r="J49" s="20"/>
      <c r="K49" s="14" t="str">
        <f aca="false">IF(AND(I49&lt;&gt;"",H49&lt;&gt;"",J49&lt;&gt;""),IF(J49="W",I49*H49,IF(J49="L",-I49,IF(J49="P",I49*H49*0.5,""))),"")</f>
        <v/>
      </c>
      <c r="L49" s="15" t="str">
        <f aca="false">IF(AND(K49&lt;&gt;"",P48&lt;&gt;""),K49/P48,IF(K49&lt;&gt;"",K49/$D$2,""))</f>
        <v/>
      </c>
      <c r="M49" s="20"/>
      <c r="N49" s="20"/>
      <c r="O49" s="20"/>
      <c r="P49" s="16" t="str">
        <f aca="false">IF(K49&lt;&gt;"",P48+K49,IF(B49&lt;&gt;"",P48,""))</f>
        <v/>
      </c>
      <c r="Q49" s="17" t="str">
        <f aca="false">IF(P49&lt;&gt;"",MIN(0,P49-MAX($P$4:P49)),"")</f>
        <v/>
      </c>
      <c r="S49" s="35" t="str">
        <f aca="false">IF(A41&lt;&gt;"",A41,"")</f>
        <v/>
      </c>
      <c r="T49" s="36" t="str">
        <f aca="false">IF(P41&lt;&gt;"",P41,"")</f>
        <v/>
      </c>
      <c r="U49" s="33" t="str">
        <f aca="false">IF(P41&lt;&gt;"",(P41-$D$2)/$D$2,"")</f>
        <v/>
      </c>
    </row>
    <row r="50" customFormat="false" ht="15" hidden="false" customHeight="true" outlineLevel="0" collapsed="false">
      <c r="A50" s="11" t="str">
        <f aca="false">IF(B50&lt;&gt;"",COUNTA($B$4:B50),"")</f>
        <v/>
      </c>
      <c r="B50" s="12"/>
      <c r="C50" s="12"/>
      <c r="D50" s="12"/>
      <c r="E50" s="12"/>
      <c r="F50" s="12"/>
      <c r="G50" s="12"/>
      <c r="H50" s="12"/>
      <c r="I50" s="13"/>
      <c r="J50" s="12"/>
      <c r="K50" s="14" t="str">
        <f aca="false">IF(AND(I50&lt;&gt;"",H50&lt;&gt;"",J50&lt;&gt;""),IF(J50="W",I50*H50,IF(J50="L",-I50,IF(J50="P",I50*H50*0.5,""))),"")</f>
        <v/>
      </c>
      <c r="L50" s="15" t="str">
        <f aca="false">IF(AND(K50&lt;&gt;"",P49&lt;&gt;""),K50/P49,IF(K50&lt;&gt;"",K50/$D$2,""))</f>
        <v/>
      </c>
      <c r="M50" s="12"/>
      <c r="N50" s="12"/>
      <c r="O50" s="12"/>
      <c r="P50" s="16" t="str">
        <f aca="false">IF(K50&lt;&gt;"",P49+K50,IF(B50&lt;&gt;"",P49,""))</f>
        <v/>
      </c>
      <c r="Q50" s="17" t="str">
        <f aca="false">IF(P50&lt;&gt;"",MIN(0,P50-MAX($P$4:P50)),"")</f>
        <v/>
      </c>
      <c r="S50" s="35" t="str">
        <f aca="false">IF(A42&lt;&gt;"",A42,"")</f>
        <v/>
      </c>
      <c r="T50" s="36" t="str">
        <f aca="false">IF(P42&lt;&gt;"",P42,"")</f>
        <v/>
      </c>
      <c r="U50" s="33" t="str">
        <f aca="false">IF(P42&lt;&gt;"",(P42-$D$2)/$D$2,"")</f>
        <v/>
      </c>
    </row>
    <row r="51" customFormat="false" ht="15" hidden="false" customHeight="true" outlineLevel="0" collapsed="false">
      <c r="A51" s="11" t="str">
        <f aca="false">IF(B51&lt;&gt;"",COUNTA($B$4:B51),"")</f>
        <v/>
      </c>
      <c r="B51" s="20"/>
      <c r="C51" s="20"/>
      <c r="D51" s="20"/>
      <c r="E51" s="20"/>
      <c r="F51" s="20"/>
      <c r="G51" s="20"/>
      <c r="H51" s="20"/>
      <c r="I51" s="21"/>
      <c r="J51" s="20"/>
      <c r="K51" s="14" t="str">
        <f aca="false">IF(AND(I51&lt;&gt;"",H51&lt;&gt;"",J51&lt;&gt;""),IF(J51="W",I51*H51,IF(J51="L",-I51,IF(J51="P",I51*H51*0.5,""))),"")</f>
        <v/>
      </c>
      <c r="L51" s="15" t="str">
        <f aca="false">IF(AND(K51&lt;&gt;"",P50&lt;&gt;""),K51/P50,IF(K51&lt;&gt;"",K51/$D$2,""))</f>
        <v/>
      </c>
      <c r="M51" s="20"/>
      <c r="N51" s="20"/>
      <c r="O51" s="20"/>
      <c r="P51" s="16" t="str">
        <f aca="false">IF(K51&lt;&gt;"",P50+K51,IF(B51&lt;&gt;"",P50,""))</f>
        <v/>
      </c>
      <c r="Q51" s="17" t="str">
        <f aca="false">IF(P51&lt;&gt;"",MIN(0,P51-MAX($P$4:P51)),"")</f>
        <v/>
      </c>
      <c r="S51" s="35" t="str">
        <f aca="false">IF(A43&lt;&gt;"",A43,"")</f>
        <v/>
      </c>
      <c r="T51" s="36" t="str">
        <f aca="false">IF(P43&lt;&gt;"",P43,"")</f>
        <v/>
      </c>
      <c r="U51" s="33" t="str">
        <f aca="false">IF(P43&lt;&gt;"",(P43-$D$2)/$D$2,"")</f>
        <v/>
      </c>
    </row>
    <row r="52" customFormat="false" ht="15" hidden="false" customHeight="true" outlineLevel="0" collapsed="false">
      <c r="A52" s="11" t="str">
        <f aca="false">IF(B52&lt;&gt;"",COUNTA($B$4:B52),"")</f>
        <v/>
      </c>
      <c r="B52" s="12"/>
      <c r="C52" s="12"/>
      <c r="D52" s="12"/>
      <c r="E52" s="12"/>
      <c r="F52" s="12"/>
      <c r="G52" s="12"/>
      <c r="H52" s="12"/>
      <c r="I52" s="13"/>
      <c r="J52" s="12"/>
      <c r="K52" s="14" t="str">
        <f aca="false">IF(AND(I52&lt;&gt;"",H52&lt;&gt;"",J52&lt;&gt;""),IF(J52="W",I52*H52,IF(J52="L",-I52,IF(J52="P",I52*H52*0.5,""))),"")</f>
        <v/>
      </c>
      <c r="L52" s="15" t="str">
        <f aca="false">IF(AND(K52&lt;&gt;"",P51&lt;&gt;""),K52/P51,IF(K52&lt;&gt;"",K52/$D$2,""))</f>
        <v/>
      </c>
      <c r="M52" s="12"/>
      <c r="N52" s="12"/>
      <c r="O52" s="12"/>
      <c r="P52" s="16" t="str">
        <f aca="false">IF(K52&lt;&gt;"",P51+K52,IF(B52&lt;&gt;"",P51,""))</f>
        <v/>
      </c>
      <c r="Q52" s="17" t="str">
        <f aca="false">IF(P52&lt;&gt;"",MIN(0,P52-MAX($P$4:P52)),"")</f>
        <v/>
      </c>
      <c r="S52" s="35" t="str">
        <f aca="false">IF(A44&lt;&gt;"",A44,"")</f>
        <v/>
      </c>
      <c r="T52" s="36" t="str">
        <f aca="false">IF(P44&lt;&gt;"",P44,"")</f>
        <v/>
      </c>
      <c r="U52" s="33" t="str">
        <f aca="false">IF(P44&lt;&gt;"",(P44-$D$2)/$D$2,"")</f>
        <v/>
      </c>
    </row>
    <row r="53" customFormat="false" ht="15" hidden="false" customHeight="true" outlineLevel="0" collapsed="false">
      <c r="A53" s="11" t="str">
        <f aca="false">IF(B53&lt;&gt;"",COUNTA($B$4:B53),"")</f>
        <v/>
      </c>
      <c r="B53" s="20"/>
      <c r="C53" s="20"/>
      <c r="D53" s="20"/>
      <c r="E53" s="20"/>
      <c r="F53" s="20"/>
      <c r="G53" s="20"/>
      <c r="H53" s="20"/>
      <c r="I53" s="21"/>
      <c r="J53" s="20"/>
      <c r="K53" s="14" t="str">
        <f aca="false">IF(AND(I53&lt;&gt;"",H53&lt;&gt;"",J53&lt;&gt;""),IF(J53="W",I53*H53,IF(J53="L",-I53,IF(J53="P",I53*H53*0.5,""))),"")</f>
        <v/>
      </c>
      <c r="L53" s="15" t="str">
        <f aca="false">IF(AND(K53&lt;&gt;"",P52&lt;&gt;""),K53/P52,IF(K53&lt;&gt;"",K53/$D$2,""))</f>
        <v/>
      </c>
      <c r="M53" s="20"/>
      <c r="N53" s="20"/>
      <c r="O53" s="20"/>
      <c r="P53" s="16" t="str">
        <f aca="false">IF(K53&lt;&gt;"",P52+K53,IF(B53&lt;&gt;"",P52,""))</f>
        <v/>
      </c>
      <c r="Q53" s="17" t="str">
        <f aca="false">IF(P53&lt;&gt;"",MIN(0,P53-MAX($P$4:P53)),"")</f>
        <v/>
      </c>
      <c r="S53" s="35" t="str">
        <f aca="false">IF(A45&lt;&gt;"",A45,"")</f>
        <v/>
      </c>
      <c r="T53" s="36" t="str">
        <f aca="false">IF(P45&lt;&gt;"",P45,"")</f>
        <v/>
      </c>
      <c r="U53" s="33" t="str">
        <f aca="false">IF(P45&lt;&gt;"",(P45-$D$2)/$D$2,"")</f>
        <v/>
      </c>
    </row>
    <row r="54" customFormat="false" ht="15" hidden="false" customHeight="true" outlineLevel="0" collapsed="false">
      <c r="A54" s="11" t="str">
        <f aca="false">IF(B54&lt;&gt;"",COUNTA($B$4:B54),"")</f>
        <v/>
      </c>
      <c r="B54" s="12"/>
      <c r="C54" s="12"/>
      <c r="D54" s="12"/>
      <c r="E54" s="12"/>
      <c r="F54" s="12"/>
      <c r="G54" s="12"/>
      <c r="H54" s="12"/>
      <c r="I54" s="13"/>
      <c r="J54" s="12"/>
      <c r="K54" s="14" t="str">
        <f aca="false">IF(AND(I54&lt;&gt;"",H54&lt;&gt;"",J54&lt;&gt;""),IF(J54="W",I54*H54,IF(J54="L",-I54,IF(J54="P",I54*H54*0.5,""))),"")</f>
        <v/>
      </c>
      <c r="L54" s="15" t="str">
        <f aca="false">IF(AND(K54&lt;&gt;"",P53&lt;&gt;""),K54/P53,IF(K54&lt;&gt;"",K54/$D$2,""))</f>
        <v/>
      </c>
      <c r="M54" s="12"/>
      <c r="N54" s="12"/>
      <c r="O54" s="12"/>
      <c r="P54" s="16" t="str">
        <f aca="false">IF(K54&lt;&gt;"",P53+K54,IF(B54&lt;&gt;"",P53,""))</f>
        <v/>
      </c>
      <c r="Q54" s="17" t="str">
        <f aca="false">IF(P54&lt;&gt;"",MIN(0,P54-MAX($P$4:P54)),"")</f>
        <v/>
      </c>
      <c r="S54" s="35" t="str">
        <f aca="false">IF(A46&lt;&gt;"",A46,"")</f>
        <v/>
      </c>
      <c r="T54" s="36" t="str">
        <f aca="false">IF(P46&lt;&gt;"",P46,"")</f>
        <v/>
      </c>
      <c r="U54" s="33" t="str">
        <f aca="false">IF(P46&lt;&gt;"",(P46-$D$2)/$D$2,"")</f>
        <v/>
      </c>
    </row>
    <row r="55" customFormat="false" ht="15" hidden="false" customHeight="true" outlineLevel="0" collapsed="false">
      <c r="A55" s="11" t="str">
        <f aca="false">IF(B55&lt;&gt;"",COUNTA($B$4:B55),"")</f>
        <v/>
      </c>
      <c r="B55" s="20"/>
      <c r="C55" s="20"/>
      <c r="D55" s="20"/>
      <c r="E55" s="20"/>
      <c r="F55" s="20"/>
      <c r="G55" s="20"/>
      <c r="H55" s="20"/>
      <c r="I55" s="21"/>
      <c r="J55" s="20"/>
      <c r="K55" s="14" t="str">
        <f aca="false">IF(AND(I55&lt;&gt;"",H55&lt;&gt;"",J55&lt;&gt;""),IF(J55="W",I55*H55,IF(J55="L",-I55,IF(J55="P",I55*H55*0.5,""))),"")</f>
        <v/>
      </c>
      <c r="L55" s="15" t="str">
        <f aca="false">IF(AND(K55&lt;&gt;"",P54&lt;&gt;""),K55/P54,IF(K55&lt;&gt;"",K55/$D$2,""))</f>
        <v/>
      </c>
      <c r="M55" s="20"/>
      <c r="N55" s="20"/>
      <c r="O55" s="20"/>
      <c r="P55" s="16" t="str">
        <f aca="false">IF(K55&lt;&gt;"",P54+K55,IF(B55&lt;&gt;"",P54,""))</f>
        <v/>
      </c>
      <c r="Q55" s="17" t="str">
        <f aca="false">IF(P55&lt;&gt;"",MIN(0,P55-MAX($P$4:P55)),"")</f>
        <v/>
      </c>
      <c r="S55" s="35" t="str">
        <f aca="false">IF(A47&lt;&gt;"",A47,"")</f>
        <v/>
      </c>
      <c r="T55" s="36" t="str">
        <f aca="false">IF(P47&lt;&gt;"",P47,"")</f>
        <v/>
      </c>
      <c r="U55" s="33" t="str">
        <f aca="false">IF(P47&lt;&gt;"",(P47-$D$2)/$D$2,"")</f>
        <v/>
      </c>
    </row>
    <row r="56" customFormat="false" ht="15" hidden="false" customHeight="true" outlineLevel="0" collapsed="false">
      <c r="A56" s="11" t="str">
        <f aca="false">IF(B56&lt;&gt;"",COUNTA($B$4:B56),"")</f>
        <v/>
      </c>
      <c r="B56" s="12"/>
      <c r="C56" s="12"/>
      <c r="D56" s="12"/>
      <c r="E56" s="12"/>
      <c r="F56" s="12"/>
      <c r="G56" s="12"/>
      <c r="H56" s="12"/>
      <c r="I56" s="13"/>
      <c r="J56" s="12"/>
      <c r="K56" s="14" t="str">
        <f aca="false">IF(AND(I56&lt;&gt;"",H56&lt;&gt;"",J56&lt;&gt;""),IF(J56="W",I56*H56,IF(J56="L",-I56,IF(J56="P",I56*H56*0.5,""))),"")</f>
        <v/>
      </c>
      <c r="L56" s="15" t="str">
        <f aca="false">IF(AND(K56&lt;&gt;"",P55&lt;&gt;""),K56/P55,IF(K56&lt;&gt;"",K56/$D$2,""))</f>
        <v/>
      </c>
      <c r="M56" s="12"/>
      <c r="N56" s="12"/>
      <c r="O56" s="12"/>
      <c r="P56" s="16" t="str">
        <f aca="false">IF(K56&lt;&gt;"",P55+K56,IF(B56&lt;&gt;"",P55,""))</f>
        <v/>
      </c>
      <c r="Q56" s="17" t="str">
        <f aca="false">IF(P56&lt;&gt;"",MIN(0,P56-MAX($P$4:P56)),"")</f>
        <v/>
      </c>
      <c r="S56" s="35" t="str">
        <f aca="false">IF(A48&lt;&gt;"",A48,"")</f>
        <v/>
      </c>
      <c r="T56" s="36" t="str">
        <f aca="false">IF(P48&lt;&gt;"",P48,"")</f>
        <v/>
      </c>
      <c r="U56" s="33" t="str">
        <f aca="false">IF(P48&lt;&gt;"",(P48-$D$2)/$D$2,"")</f>
        <v/>
      </c>
    </row>
    <row r="57" customFormat="false" ht="15" hidden="false" customHeight="true" outlineLevel="0" collapsed="false">
      <c r="A57" s="11" t="str">
        <f aca="false">IF(B57&lt;&gt;"",COUNTA($B$4:B57),"")</f>
        <v/>
      </c>
      <c r="B57" s="20"/>
      <c r="C57" s="20"/>
      <c r="D57" s="20"/>
      <c r="E57" s="20"/>
      <c r="F57" s="20"/>
      <c r="G57" s="20"/>
      <c r="H57" s="20"/>
      <c r="I57" s="21"/>
      <c r="J57" s="20"/>
      <c r="K57" s="14" t="str">
        <f aca="false">IF(AND(I57&lt;&gt;"",H57&lt;&gt;"",J57&lt;&gt;""),IF(J57="W",I57*H57,IF(J57="L",-I57,IF(J57="P",I57*H57*0.5,""))),"")</f>
        <v/>
      </c>
      <c r="L57" s="15" t="str">
        <f aca="false">IF(AND(K57&lt;&gt;"",P56&lt;&gt;""),K57/P56,IF(K57&lt;&gt;"",K57/$D$2,""))</f>
        <v/>
      </c>
      <c r="M57" s="20"/>
      <c r="N57" s="20"/>
      <c r="O57" s="20"/>
      <c r="P57" s="16" t="str">
        <f aca="false">IF(K57&lt;&gt;"",P56+K57,IF(B57&lt;&gt;"",P56,""))</f>
        <v/>
      </c>
      <c r="Q57" s="17" t="str">
        <f aca="false">IF(P57&lt;&gt;"",MIN(0,P57-MAX($P$4:P57)),"")</f>
        <v/>
      </c>
      <c r="S57" s="35" t="str">
        <f aca="false">IF(A49&lt;&gt;"",A49,"")</f>
        <v/>
      </c>
      <c r="T57" s="36" t="str">
        <f aca="false">IF(P49&lt;&gt;"",P49,"")</f>
        <v/>
      </c>
      <c r="U57" s="33" t="str">
        <f aca="false">IF(P49&lt;&gt;"",(P49-$D$2)/$D$2,"")</f>
        <v/>
      </c>
    </row>
    <row r="58" customFormat="false" ht="15" hidden="false" customHeight="true" outlineLevel="0" collapsed="false">
      <c r="A58" s="11" t="str">
        <f aca="false">IF(B58&lt;&gt;"",COUNTA($B$4:B58),"")</f>
        <v/>
      </c>
      <c r="B58" s="12"/>
      <c r="C58" s="12"/>
      <c r="D58" s="12"/>
      <c r="E58" s="12"/>
      <c r="F58" s="12"/>
      <c r="G58" s="12"/>
      <c r="H58" s="12"/>
      <c r="I58" s="13"/>
      <c r="J58" s="12"/>
      <c r="K58" s="14" t="str">
        <f aca="false">IF(AND(I58&lt;&gt;"",H58&lt;&gt;"",J58&lt;&gt;""),IF(J58="W",I58*H58,IF(J58="L",-I58,IF(J58="P",I58*H58*0.5,""))),"")</f>
        <v/>
      </c>
      <c r="L58" s="15" t="str">
        <f aca="false">IF(AND(K58&lt;&gt;"",P57&lt;&gt;""),K58/P57,IF(K58&lt;&gt;"",K58/$D$2,""))</f>
        <v/>
      </c>
      <c r="M58" s="12"/>
      <c r="N58" s="12"/>
      <c r="O58" s="12"/>
      <c r="P58" s="16" t="str">
        <f aca="false">IF(K58&lt;&gt;"",P57+K58,IF(B58&lt;&gt;"",P57,""))</f>
        <v/>
      </c>
      <c r="Q58" s="17" t="str">
        <f aca="false">IF(P58&lt;&gt;"",MIN(0,P58-MAX($P$4:P58)),"")</f>
        <v/>
      </c>
      <c r="S58" s="35" t="str">
        <f aca="false">IF(A50&lt;&gt;"",A50,"")</f>
        <v/>
      </c>
      <c r="T58" s="36" t="str">
        <f aca="false">IF(P50&lt;&gt;"",P50,"")</f>
        <v/>
      </c>
      <c r="U58" s="33" t="str">
        <f aca="false">IF(P50&lt;&gt;"",(P50-$D$2)/$D$2,"")</f>
        <v/>
      </c>
    </row>
    <row r="59" customFormat="false" ht="15" hidden="false" customHeight="true" outlineLevel="0" collapsed="false">
      <c r="A59" s="11" t="str">
        <f aca="false">IF(B59&lt;&gt;"",COUNTA($B$4:B59),"")</f>
        <v/>
      </c>
      <c r="B59" s="20"/>
      <c r="C59" s="20"/>
      <c r="D59" s="20"/>
      <c r="E59" s="20"/>
      <c r="F59" s="20"/>
      <c r="G59" s="20"/>
      <c r="H59" s="20"/>
      <c r="I59" s="21"/>
      <c r="J59" s="20"/>
      <c r="K59" s="14" t="str">
        <f aca="false">IF(AND(I59&lt;&gt;"",H59&lt;&gt;"",J59&lt;&gt;""),IF(J59="W",I59*H59,IF(J59="L",-I59,IF(J59="P",I59*H59*0.5,""))),"")</f>
        <v/>
      </c>
      <c r="L59" s="15" t="str">
        <f aca="false">IF(AND(K59&lt;&gt;"",P58&lt;&gt;""),K59/P58,IF(K59&lt;&gt;"",K59/$D$2,""))</f>
        <v/>
      </c>
      <c r="M59" s="20"/>
      <c r="N59" s="20"/>
      <c r="O59" s="20"/>
      <c r="P59" s="16" t="str">
        <f aca="false">IF(K59&lt;&gt;"",P58+K59,IF(B59&lt;&gt;"",P58,""))</f>
        <v/>
      </c>
      <c r="Q59" s="17" t="str">
        <f aca="false">IF(P59&lt;&gt;"",MIN(0,P59-MAX($P$4:P59)),"")</f>
        <v/>
      </c>
      <c r="S59" s="35" t="str">
        <f aca="false">IF(A51&lt;&gt;"",A51,"")</f>
        <v/>
      </c>
      <c r="T59" s="36" t="str">
        <f aca="false">IF(P51&lt;&gt;"",P51,"")</f>
        <v/>
      </c>
      <c r="U59" s="33" t="str">
        <f aca="false">IF(P51&lt;&gt;"",(P51-$D$2)/$D$2,"")</f>
        <v/>
      </c>
    </row>
    <row r="60" customFormat="false" ht="15" hidden="false" customHeight="true" outlineLevel="0" collapsed="false">
      <c r="A60" s="11" t="str">
        <f aca="false">IF(B60&lt;&gt;"",COUNTA($B$4:B60),"")</f>
        <v/>
      </c>
      <c r="B60" s="12"/>
      <c r="C60" s="12"/>
      <c r="D60" s="12"/>
      <c r="E60" s="12"/>
      <c r="F60" s="12"/>
      <c r="G60" s="12"/>
      <c r="H60" s="12"/>
      <c r="I60" s="13"/>
      <c r="J60" s="12"/>
      <c r="K60" s="14" t="str">
        <f aca="false">IF(AND(I60&lt;&gt;"",H60&lt;&gt;"",J60&lt;&gt;""),IF(J60="W",I60*H60,IF(J60="L",-I60,IF(J60="P",I60*H60*0.5,""))),"")</f>
        <v/>
      </c>
      <c r="L60" s="15" t="str">
        <f aca="false">IF(AND(K60&lt;&gt;"",P59&lt;&gt;""),K60/P59,IF(K60&lt;&gt;"",K60/$D$2,""))</f>
        <v/>
      </c>
      <c r="M60" s="12"/>
      <c r="N60" s="12"/>
      <c r="O60" s="12"/>
      <c r="P60" s="16" t="str">
        <f aca="false">IF(K60&lt;&gt;"",P59+K60,IF(B60&lt;&gt;"",P59,""))</f>
        <v/>
      </c>
      <c r="Q60" s="17" t="str">
        <f aca="false">IF(P60&lt;&gt;"",MIN(0,P60-MAX($P$4:P60)),"")</f>
        <v/>
      </c>
      <c r="S60" s="35" t="str">
        <f aca="false">IF(A52&lt;&gt;"",A52,"")</f>
        <v/>
      </c>
      <c r="T60" s="36" t="str">
        <f aca="false">IF(P52&lt;&gt;"",P52,"")</f>
        <v/>
      </c>
      <c r="U60" s="33" t="str">
        <f aca="false">IF(P52&lt;&gt;"",(P52-$D$2)/$D$2,"")</f>
        <v/>
      </c>
    </row>
    <row r="61" customFormat="false" ht="15" hidden="false" customHeight="true" outlineLevel="0" collapsed="false">
      <c r="A61" s="11" t="str">
        <f aca="false">IF(B61&lt;&gt;"",COUNTA($B$4:B61),"")</f>
        <v/>
      </c>
      <c r="B61" s="20"/>
      <c r="C61" s="20"/>
      <c r="D61" s="20"/>
      <c r="E61" s="20"/>
      <c r="F61" s="20"/>
      <c r="G61" s="20"/>
      <c r="H61" s="20"/>
      <c r="I61" s="21"/>
      <c r="J61" s="20"/>
      <c r="K61" s="14" t="str">
        <f aca="false">IF(AND(I61&lt;&gt;"",H61&lt;&gt;"",J61&lt;&gt;""),IF(J61="W",I61*H61,IF(J61="L",-I61,IF(J61="P",I61*H61*0.5,""))),"")</f>
        <v/>
      </c>
      <c r="L61" s="15" t="str">
        <f aca="false">IF(AND(K61&lt;&gt;"",P60&lt;&gt;""),K61/P60,IF(K61&lt;&gt;"",K61/$D$2,""))</f>
        <v/>
      </c>
      <c r="M61" s="20"/>
      <c r="N61" s="20"/>
      <c r="O61" s="20"/>
      <c r="P61" s="16" t="str">
        <f aca="false">IF(K61&lt;&gt;"",P60+K61,IF(B61&lt;&gt;"",P60,""))</f>
        <v/>
      </c>
      <c r="Q61" s="17" t="str">
        <f aca="false">IF(P61&lt;&gt;"",MIN(0,P61-MAX($P$4:P61)),"")</f>
        <v/>
      </c>
      <c r="S61" s="35" t="str">
        <f aca="false">IF(A53&lt;&gt;"",A53,"")</f>
        <v/>
      </c>
      <c r="T61" s="36" t="str">
        <f aca="false">IF(P53&lt;&gt;"",P53,"")</f>
        <v/>
      </c>
      <c r="U61" s="33" t="str">
        <f aca="false">IF(P53&lt;&gt;"",(P53-$D$2)/$D$2,"")</f>
        <v/>
      </c>
    </row>
    <row r="62" customFormat="false" ht="15" hidden="false" customHeight="true" outlineLevel="0" collapsed="false">
      <c r="A62" s="11" t="str">
        <f aca="false">IF(B62&lt;&gt;"",COUNTA($B$4:B62),"")</f>
        <v/>
      </c>
      <c r="B62" s="12"/>
      <c r="C62" s="12"/>
      <c r="D62" s="12"/>
      <c r="E62" s="12"/>
      <c r="F62" s="12"/>
      <c r="G62" s="12"/>
      <c r="H62" s="12"/>
      <c r="I62" s="13"/>
      <c r="J62" s="12"/>
      <c r="K62" s="14" t="str">
        <f aca="false">IF(AND(I62&lt;&gt;"",H62&lt;&gt;"",J62&lt;&gt;""),IF(J62="W",I62*H62,IF(J62="L",-I62,IF(J62="P",I62*H62*0.5,""))),"")</f>
        <v/>
      </c>
      <c r="L62" s="15" t="str">
        <f aca="false">IF(AND(K62&lt;&gt;"",P61&lt;&gt;""),K62/P61,IF(K62&lt;&gt;"",K62/$D$2,""))</f>
        <v/>
      </c>
      <c r="M62" s="12"/>
      <c r="N62" s="12"/>
      <c r="O62" s="12"/>
      <c r="P62" s="16" t="str">
        <f aca="false">IF(K62&lt;&gt;"",P61+K62,IF(B62&lt;&gt;"",P61,""))</f>
        <v/>
      </c>
      <c r="Q62" s="17" t="str">
        <f aca="false">IF(P62&lt;&gt;"",MIN(0,P62-MAX($P$4:P62)),"")</f>
        <v/>
      </c>
    </row>
    <row r="63" customFormat="false" ht="15" hidden="false" customHeight="true" outlineLevel="0" collapsed="false">
      <c r="A63" s="11" t="str">
        <f aca="false">IF(B63&lt;&gt;"",COUNTA($B$4:B63),"")</f>
        <v/>
      </c>
      <c r="B63" s="20"/>
      <c r="C63" s="20"/>
      <c r="D63" s="20"/>
      <c r="E63" s="20"/>
      <c r="F63" s="20"/>
      <c r="G63" s="20"/>
      <c r="H63" s="20"/>
      <c r="I63" s="21"/>
      <c r="J63" s="20"/>
      <c r="K63" s="14" t="str">
        <f aca="false">IF(AND(I63&lt;&gt;"",H63&lt;&gt;"",J63&lt;&gt;""),IF(J63="W",I63*H63,IF(J63="L",-I63,IF(J63="P",I63*H63*0.5,""))),"")</f>
        <v/>
      </c>
      <c r="L63" s="15" t="str">
        <f aca="false">IF(AND(K63&lt;&gt;"",P62&lt;&gt;""),K63/P62,IF(K63&lt;&gt;"",K63/$D$2,""))</f>
        <v/>
      </c>
      <c r="M63" s="20"/>
      <c r="N63" s="20"/>
      <c r="O63" s="20"/>
      <c r="P63" s="16" t="str">
        <f aca="false">IF(K63&lt;&gt;"",P62+K63,IF(B63&lt;&gt;"",P62,""))</f>
        <v/>
      </c>
      <c r="Q63" s="17" t="str">
        <f aca="false">IF(P63&lt;&gt;"",MIN(0,P63-MAX($P$4:P63)),"")</f>
        <v/>
      </c>
    </row>
    <row r="64" customFormat="false" ht="15" hidden="false" customHeight="true" outlineLevel="0" collapsed="false">
      <c r="A64" s="11" t="str">
        <f aca="false">IF(B64&lt;&gt;"",COUNTA($B$4:B64),"")</f>
        <v/>
      </c>
      <c r="B64" s="12"/>
      <c r="C64" s="12"/>
      <c r="D64" s="12"/>
      <c r="E64" s="12"/>
      <c r="F64" s="12"/>
      <c r="G64" s="12"/>
      <c r="H64" s="12"/>
      <c r="I64" s="13"/>
      <c r="J64" s="12"/>
      <c r="K64" s="14" t="str">
        <f aca="false">IF(AND(I64&lt;&gt;"",H64&lt;&gt;"",J64&lt;&gt;""),IF(J64="W",I64*H64,IF(J64="L",-I64,IF(J64="P",I64*H64*0.5,""))),"")</f>
        <v/>
      </c>
      <c r="L64" s="15" t="str">
        <f aca="false">IF(AND(K64&lt;&gt;"",P63&lt;&gt;""),K64/P63,IF(K64&lt;&gt;"",K64/$D$2,""))</f>
        <v/>
      </c>
      <c r="M64" s="12"/>
      <c r="N64" s="12"/>
      <c r="O64" s="12"/>
      <c r="P64" s="16" t="str">
        <f aca="false">IF(K64&lt;&gt;"",P63+K64,IF(B64&lt;&gt;"",P63,""))</f>
        <v/>
      </c>
      <c r="Q64" s="17" t="str">
        <f aca="false">IF(P64&lt;&gt;"",MIN(0,P64-MAX($P$4:P64)),"")</f>
        <v/>
      </c>
    </row>
    <row r="65" customFormat="false" ht="15" hidden="false" customHeight="true" outlineLevel="0" collapsed="false">
      <c r="A65" s="11" t="str">
        <f aca="false">IF(B65&lt;&gt;"",COUNTA($B$4:B65),"")</f>
        <v/>
      </c>
      <c r="B65" s="20"/>
      <c r="C65" s="20"/>
      <c r="D65" s="20"/>
      <c r="E65" s="20"/>
      <c r="F65" s="20"/>
      <c r="G65" s="20"/>
      <c r="H65" s="20"/>
      <c r="I65" s="21"/>
      <c r="J65" s="20"/>
      <c r="K65" s="14" t="str">
        <f aca="false">IF(AND(I65&lt;&gt;"",H65&lt;&gt;"",J65&lt;&gt;""),IF(J65="W",I65*H65,IF(J65="L",-I65,IF(J65="P",I65*H65*0.5,""))),"")</f>
        <v/>
      </c>
      <c r="L65" s="15" t="str">
        <f aca="false">IF(AND(K65&lt;&gt;"",P64&lt;&gt;""),K65/P64,IF(K65&lt;&gt;"",K65/$D$2,""))</f>
        <v/>
      </c>
      <c r="M65" s="20"/>
      <c r="N65" s="20"/>
      <c r="O65" s="20"/>
      <c r="P65" s="16" t="str">
        <f aca="false">IF(K65&lt;&gt;"",P64+K65,IF(B65&lt;&gt;"",P64,""))</f>
        <v/>
      </c>
      <c r="Q65" s="17" t="str">
        <f aca="false">IF(P65&lt;&gt;"",MIN(0,P65-MAX($P$4:P65)),"")</f>
        <v/>
      </c>
    </row>
    <row r="66" customFormat="false" ht="15" hidden="false" customHeight="true" outlineLevel="0" collapsed="false">
      <c r="A66" s="11" t="str">
        <f aca="false">IF(B66&lt;&gt;"",COUNTA($B$4:B66),"")</f>
        <v/>
      </c>
      <c r="B66" s="12"/>
      <c r="C66" s="12"/>
      <c r="D66" s="12"/>
      <c r="E66" s="12"/>
      <c r="F66" s="12"/>
      <c r="G66" s="12"/>
      <c r="H66" s="12"/>
      <c r="I66" s="13"/>
      <c r="J66" s="12"/>
      <c r="K66" s="14" t="str">
        <f aca="false">IF(AND(I66&lt;&gt;"",H66&lt;&gt;"",J66&lt;&gt;""),IF(J66="W",I66*H66,IF(J66="L",-I66,IF(J66="P",I66*H66*0.5,""))),"")</f>
        <v/>
      </c>
      <c r="L66" s="15" t="str">
        <f aca="false">IF(AND(K66&lt;&gt;"",P65&lt;&gt;""),K66/P65,IF(K66&lt;&gt;"",K66/$D$2,""))</f>
        <v/>
      </c>
      <c r="M66" s="12"/>
      <c r="N66" s="12"/>
      <c r="O66" s="12"/>
      <c r="P66" s="16" t="str">
        <f aca="false">IF(K66&lt;&gt;"",P65+K66,IF(B66&lt;&gt;"",P65,""))</f>
        <v/>
      </c>
      <c r="Q66" s="17" t="str">
        <f aca="false">IF(P66&lt;&gt;"",MIN(0,P66-MAX($P$4:P66)),"")</f>
        <v/>
      </c>
    </row>
    <row r="67" customFormat="false" ht="15" hidden="false" customHeight="true" outlineLevel="0" collapsed="false">
      <c r="A67" s="11" t="str">
        <f aca="false">IF(B67&lt;&gt;"",COUNTA($B$4:B67),"")</f>
        <v/>
      </c>
      <c r="B67" s="20"/>
      <c r="C67" s="20"/>
      <c r="D67" s="20"/>
      <c r="E67" s="20"/>
      <c r="F67" s="20"/>
      <c r="G67" s="20"/>
      <c r="H67" s="20"/>
      <c r="I67" s="21"/>
      <c r="J67" s="20"/>
      <c r="K67" s="14" t="str">
        <f aca="false">IF(AND(I67&lt;&gt;"",H67&lt;&gt;"",J67&lt;&gt;""),IF(J67="W",I67*H67,IF(J67="L",-I67,IF(J67="P",I67*H67*0.5,""))),"")</f>
        <v/>
      </c>
      <c r="L67" s="15" t="str">
        <f aca="false">IF(AND(K67&lt;&gt;"",P66&lt;&gt;""),K67/P66,IF(K67&lt;&gt;"",K67/$D$2,""))</f>
        <v/>
      </c>
      <c r="M67" s="20"/>
      <c r="N67" s="20"/>
      <c r="O67" s="20"/>
      <c r="P67" s="16" t="str">
        <f aca="false">IF(K67&lt;&gt;"",P66+K67,IF(B67&lt;&gt;"",P66,""))</f>
        <v/>
      </c>
      <c r="Q67" s="17" t="str">
        <f aca="false">IF(P67&lt;&gt;"",MIN(0,P67-MAX($P$4:P67)),"")</f>
        <v/>
      </c>
    </row>
    <row r="68" customFormat="false" ht="15" hidden="false" customHeight="true" outlineLevel="0" collapsed="false">
      <c r="A68" s="11" t="str">
        <f aca="false">IF(B68&lt;&gt;"",COUNTA($B$4:B68),"")</f>
        <v/>
      </c>
      <c r="B68" s="12"/>
      <c r="C68" s="12"/>
      <c r="D68" s="12"/>
      <c r="E68" s="12"/>
      <c r="F68" s="12"/>
      <c r="G68" s="12"/>
      <c r="H68" s="12"/>
      <c r="I68" s="13"/>
      <c r="J68" s="12"/>
      <c r="K68" s="14" t="str">
        <f aca="false">IF(AND(I68&lt;&gt;"",H68&lt;&gt;"",J68&lt;&gt;""),IF(J68="W",I68*H68,IF(J68="L",-I68,IF(J68="P",I68*H68*0.5,""))),"")</f>
        <v/>
      </c>
      <c r="L68" s="15" t="str">
        <f aca="false">IF(AND(K68&lt;&gt;"",P67&lt;&gt;""),K68/P67,IF(K68&lt;&gt;"",K68/$D$2,""))</f>
        <v/>
      </c>
      <c r="M68" s="12"/>
      <c r="N68" s="12"/>
      <c r="O68" s="12"/>
      <c r="P68" s="16" t="str">
        <f aca="false">IF(K68&lt;&gt;"",P67+K68,IF(B68&lt;&gt;"",P67,""))</f>
        <v/>
      </c>
      <c r="Q68" s="17" t="str">
        <f aca="false">IF(P68&lt;&gt;"",MIN(0,P68-MAX($P$4:P68)),"")</f>
        <v/>
      </c>
    </row>
    <row r="69" customFormat="false" ht="15" hidden="false" customHeight="true" outlineLevel="0" collapsed="false">
      <c r="A69" s="11" t="str">
        <f aca="false">IF(B69&lt;&gt;"",COUNTA($B$4:B69),"")</f>
        <v/>
      </c>
      <c r="B69" s="20"/>
      <c r="C69" s="20"/>
      <c r="D69" s="20"/>
      <c r="E69" s="20"/>
      <c r="F69" s="20"/>
      <c r="G69" s="20"/>
      <c r="H69" s="20"/>
      <c r="I69" s="21"/>
      <c r="J69" s="20"/>
      <c r="K69" s="14" t="str">
        <f aca="false">IF(AND(I69&lt;&gt;"",H69&lt;&gt;"",J69&lt;&gt;""),IF(J69="W",I69*H69,IF(J69="L",-I69,IF(J69="P",I69*H69*0.5,""))),"")</f>
        <v/>
      </c>
      <c r="L69" s="15" t="str">
        <f aca="false">IF(AND(K69&lt;&gt;"",P68&lt;&gt;""),K69/P68,IF(K69&lt;&gt;"",K69/$D$2,""))</f>
        <v/>
      </c>
      <c r="M69" s="20"/>
      <c r="N69" s="20"/>
      <c r="O69" s="20"/>
      <c r="P69" s="16" t="str">
        <f aca="false">IF(K69&lt;&gt;"",P68+K69,IF(B69&lt;&gt;"",P68,""))</f>
        <v/>
      </c>
      <c r="Q69" s="17" t="str">
        <f aca="false">IF(P69&lt;&gt;"",MIN(0,P69-MAX($P$4:P69)),"")</f>
        <v/>
      </c>
    </row>
    <row r="70" customFormat="false" ht="15" hidden="false" customHeight="true" outlineLevel="0" collapsed="false">
      <c r="A70" s="11" t="str">
        <f aca="false">IF(B70&lt;&gt;"",COUNTA($B$4:B70),"")</f>
        <v/>
      </c>
      <c r="B70" s="12"/>
      <c r="C70" s="12"/>
      <c r="D70" s="12"/>
      <c r="E70" s="12"/>
      <c r="F70" s="12"/>
      <c r="G70" s="12"/>
      <c r="H70" s="12"/>
      <c r="I70" s="13"/>
      <c r="J70" s="12"/>
      <c r="K70" s="14" t="str">
        <f aca="false">IF(AND(I70&lt;&gt;"",H70&lt;&gt;"",J70&lt;&gt;""),IF(J70="W",I70*H70,IF(J70="L",-I70,IF(J70="P",I70*H70*0.5,""))),"")</f>
        <v/>
      </c>
      <c r="L70" s="15" t="str">
        <f aca="false">IF(AND(K70&lt;&gt;"",P69&lt;&gt;""),K70/P69,IF(K70&lt;&gt;"",K70/$D$2,""))</f>
        <v/>
      </c>
      <c r="M70" s="12"/>
      <c r="N70" s="12"/>
      <c r="O70" s="12"/>
      <c r="P70" s="16" t="str">
        <f aca="false">IF(K70&lt;&gt;"",P69+K70,IF(B70&lt;&gt;"",P69,""))</f>
        <v/>
      </c>
      <c r="Q70" s="17" t="str">
        <f aca="false">IF(P70&lt;&gt;"",MIN(0,P70-MAX($P$4:P70)),"")</f>
        <v/>
      </c>
    </row>
    <row r="71" customFormat="false" ht="15" hidden="false" customHeight="true" outlineLevel="0" collapsed="false">
      <c r="A71" s="11" t="str">
        <f aca="false">IF(B71&lt;&gt;"",COUNTA($B$4:B71),"")</f>
        <v/>
      </c>
      <c r="B71" s="20"/>
      <c r="C71" s="20"/>
      <c r="D71" s="20"/>
      <c r="E71" s="20"/>
      <c r="F71" s="20"/>
      <c r="G71" s="20"/>
      <c r="H71" s="20"/>
      <c r="I71" s="21"/>
      <c r="J71" s="20"/>
      <c r="K71" s="14" t="str">
        <f aca="false">IF(AND(I71&lt;&gt;"",H71&lt;&gt;"",J71&lt;&gt;""),IF(J71="W",I71*H71,IF(J71="L",-I71,IF(J71="P",I71*H71*0.5,""))),"")</f>
        <v/>
      </c>
      <c r="L71" s="15" t="str">
        <f aca="false">IF(AND(K71&lt;&gt;"",P70&lt;&gt;""),K71/P70,IF(K71&lt;&gt;"",K71/$D$2,""))</f>
        <v/>
      </c>
      <c r="M71" s="20"/>
      <c r="N71" s="20"/>
      <c r="O71" s="20"/>
      <c r="P71" s="16" t="str">
        <f aca="false">IF(K71&lt;&gt;"",P70+K71,IF(B71&lt;&gt;"",P70,""))</f>
        <v/>
      </c>
      <c r="Q71" s="17" t="str">
        <f aca="false">IF(P71&lt;&gt;"",MIN(0,P71-MAX($P$4:P71)),"")</f>
        <v/>
      </c>
    </row>
    <row r="72" customFormat="false" ht="15" hidden="false" customHeight="true" outlineLevel="0" collapsed="false">
      <c r="A72" s="11" t="str">
        <f aca="false">IF(B72&lt;&gt;"",COUNTA($B$4:B72),"")</f>
        <v/>
      </c>
      <c r="B72" s="12"/>
      <c r="C72" s="12"/>
      <c r="D72" s="12"/>
      <c r="E72" s="12"/>
      <c r="F72" s="12"/>
      <c r="G72" s="12"/>
      <c r="H72" s="12"/>
      <c r="I72" s="13"/>
      <c r="J72" s="12"/>
      <c r="K72" s="14" t="str">
        <f aca="false">IF(AND(I72&lt;&gt;"",H72&lt;&gt;"",J72&lt;&gt;""),IF(J72="W",I72*H72,IF(J72="L",-I72,IF(J72="P",I72*H72*0.5,""))),"")</f>
        <v/>
      </c>
      <c r="L72" s="15" t="str">
        <f aca="false">IF(AND(K72&lt;&gt;"",P71&lt;&gt;""),K72/P71,IF(K72&lt;&gt;"",K72/$D$2,""))</f>
        <v/>
      </c>
      <c r="M72" s="12"/>
      <c r="N72" s="12"/>
      <c r="O72" s="12"/>
      <c r="P72" s="16" t="str">
        <f aca="false">IF(K72&lt;&gt;"",P71+K72,IF(B72&lt;&gt;"",P71,""))</f>
        <v/>
      </c>
      <c r="Q72" s="17" t="str">
        <f aca="false">IF(P72&lt;&gt;"",MIN(0,P72-MAX($P$4:P72)),"")</f>
        <v/>
      </c>
    </row>
    <row r="73" customFormat="false" ht="15" hidden="false" customHeight="true" outlineLevel="0" collapsed="false">
      <c r="A73" s="11" t="str">
        <f aca="false">IF(B73&lt;&gt;"",COUNTA($B$4:B73),"")</f>
        <v/>
      </c>
      <c r="B73" s="20"/>
      <c r="C73" s="20"/>
      <c r="D73" s="20"/>
      <c r="E73" s="20"/>
      <c r="F73" s="20"/>
      <c r="G73" s="20"/>
      <c r="H73" s="20"/>
      <c r="I73" s="21"/>
      <c r="J73" s="20"/>
      <c r="K73" s="14" t="str">
        <f aca="false">IF(AND(I73&lt;&gt;"",H73&lt;&gt;"",J73&lt;&gt;""),IF(J73="W",I73*H73,IF(J73="L",-I73,IF(J73="P",I73*H73*0.5,""))),"")</f>
        <v/>
      </c>
      <c r="L73" s="15" t="str">
        <f aca="false">IF(AND(K73&lt;&gt;"",P72&lt;&gt;""),K73/P72,IF(K73&lt;&gt;"",K73/$D$2,""))</f>
        <v/>
      </c>
      <c r="M73" s="20"/>
      <c r="N73" s="20"/>
      <c r="O73" s="20"/>
      <c r="P73" s="16" t="str">
        <f aca="false">IF(K73&lt;&gt;"",P72+K73,IF(B73&lt;&gt;"",P72,""))</f>
        <v/>
      </c>
      <c r="Q73" s="17" t="str">
        <f aca="false">IF(P73&lt;&gt;"",MIN(0,P73-MAX($P$4:P73)),"")</f>
        <v/>
      </c>
    </row>
    <row r="74" customFormat="false" ht="15" hidden="false" customHeight="true" outlineLevel="0" collapsed="false">
      <c r="A74" s="11" t="str">
        <f aca="false">IF(B74&lt;&gt;"",COUNTA($B$4:B74),"")</f>
        <v/>
      </c>
      <c r="B74" s="12"/>
      <c r="C74" s="12"/>
      <c r="D74" s="12"/>
      <c r="E74" s="12"/>
      <c r="F74" s="12"/>
      <c r="G74" s="12"/>
      <c r="H74" s="12"/>
      <c r="I74" s="13"/>
      <c r="J74" s="12"/>
      <c r="K74" s="14" t="str">
        <f aca="false">IF(AND(I74&lt;&gt;"",H74&lt;&gt;"",J74&lt;&gt;""),IF(J74="W",I74*H74,IF(J74="L",-I74,IF(J74="P",I74*H74*0.5,""))),"")</f>
        <v/>
      </c>
      <c r="L74" s="15" t="str">
        <f aca="false">IF(AND(K74&lt;&gt;"",P73&lt;&gt;""),K74/P73,IF(K74&lt;&gt;"",K74/$D$2,""))</f>
        <v/>
      </c>
      <c r="M74" s="12"/>
      <c r="N74" s="12"/>
      <c r="O74" s="12"/>
      <c r="P74" s="16" t="str">
        <f aca="false">IF(K74&lt;&gt;"",P73+K74,IF(B74&lt;&gt;"",P73,""))</f>
        <v/>
      </c>
      <c r="Q74" s="17" t="str">
        <f aca="false">IF(P74&lt;&gt;"",MIN(0,P74-MAX($P$4:P74)),"")</f>
        <v/>
      </c>
    </row>
    <row r="75" customFormat="false" ht="15" hidden="false" customHeight="true" outlineLevel="0" collapsed="false">
      <c r="A75" s="11" t="str">
        <f aca="false">IF(B75&lt;&gt;"",COUNTA($B$4:B75),"")</f>
        <v/>
      </c>
      <c r="B75" s="20"/>
      <c r="C75" s="20"/>
      <c r="D75" s="20"/>
      <c r="E75" s="20"/>
      <c r="F75" s="20"/>
      <c r="G75" s="20"/>
      <c r="H75" s="20"/>
      <c r="I75" s="21"/>
      <c r="J75" s="20"/>
      <c r="K75" s="14" t="str">
        <f aca="false">IF(AND(I75&lt;&gt;"",H75&lt;&gt;"",J75&lt;&gt;""),IF(J75="W",I75*H75,IF(J75="L",-I75,IF(J75="P",I75*H75*0.5,""))),"")</f>
        <v/>
      </c>
      <c r="L75" s="15" t="str">
        <f aca="false">IF(AND(K75&lt;&gt;"",P74&lt;&gt;""),K75/P74,IF(K75&lt;&gt;"",K75/$D$2,""))</f>
        <v/>
      </c>
      <c r="M75" s="20"/>
      <c r="N75" s="20"/>
      <c r="O75" s="20"/>
      <c r="P75" s="16" t="str">
        <f aca="false">IF(K75&lt;&gt;"",P74+K75,IF(B75&lt;&gt;"",P74,""))</f>
        <v/>
      </c>
      <c r="Q75" s="17" t="str">
        <f aca="false">IF(P75&lt;&gt;"",MIN(0,P75-MAX($P$4:P75)),"")</f>
        <v/>
      </c>
    </row>
    <row r="76" customFormat="false" ht="15" hidden="false" customHeight="true" outlineLevel="0" collapsed="false">
      <c r="A76" s="11" t="str">
        <f aca="false">IF(B76&lt;&gt;"",COUNTA($B$4:B76),"")</f>
        <v/>
      </c>
      <c r="B76" s="12"/>
      <c r="C76" s="12"/>
      <c r="D76" s="12"/>
      <c r="E76" s="12"/>
      <c r="F76" s="12"/>
      <c r="G76" s="12"/>
      <c r="H76" s="12"/>
      <c r="I76" s="13"/>
      <c r="J76" s="12"/>
      <c r="K76" s="14" t="str">
        <f aca="false">IF(AND(I76&lt;&gt;"",H76&lt;&gt;"",J76&lt;&gt;""),IF(J76="W",I76*H76,IF(J76="L",-I76,IF(J76="P",I76*H76*0.5,""))),"")</f>
        <v/>
      </c>
      <c r="L76" s="15" t="str">
        <f aca="false">IF(AND(K76&lt;&gt;"",P75&lt;&gt;""),K76/P75,IF(K76&lt;&gt;"",K76/$D$2,""))</f>
        <v/>
      </c>
      <c r="M76" s="12"/>
      <c r="N76" s="12"/>
      <c r="O76" s="12"/>
      <c r="P76" s="16" t="str">
        <f aca="false">IF(K76&lt;&gt;"",P75+K76,IF(B76&lt;&gt;"",P75,""))</f>
        <v/>
      </c>
      <c r="Q76" s="17" t="str">
        <f aca="false">IF(P76&lt;&gt;"",MIN(0,P76-MAX($P$4:P76)),"")</f>
        <v/>
      </c>
    </row>
    <row r="77" customFormat="false" ht="15" hidden="false" customHeight="true" outlineLevel="0" collapsed="false">
      <c r="A77" s="11" t="str">
        <f aca="false">IF(B77&lt;&gt;"",COUNTA($B$4:B77),"")</f>
        <v/>
      </c>
      <c r="B77" s="20"/>
      <c r="C77" s="20"/>
      <c r="D77" s="20"/>
      <c r="E77" s="20"/>
      <c r="F77" s="20"/>
      <c r="G77" s="20"/>
      <c r="H77" s="20"/>
      <c r="I77" s="21"/>
      <c r="J77" s="20"/>
      <c r="K77" s="14" t="str">
        <f aca="false">IF(AND(I77&lt;&gt;"",H77&lt;&gt;"",J77&lt;&gt;""),IF(J77="W",I77*H77,IF(J77="L",-I77,IF(J77="P",I77*H77*0.5,""))),"")</f>
        <v/>
      </c>
      <c r="L77" s="15" t="str">
        <f aca="false">IF(AND(K77&lt;&gt;"",P76&lt;&gt;""),K77/P76,IF(K77&lt;&gt;"",K77/$D$2,""))</f>
        <v/>
      </c>
      <c r="M77" s="20"/>
      <c r="N77" s="20"/>
      <c r="O77" s="20"/>
      <c r="P77" s="16" t="str">
        <f aca="false">IF(K77&lt;&gt;"",P76+K77,IF(B77&lt;&gt;"",P76,""))</f>
        <v/>
      </c>
      <c r="Q77" s="17" t="str">
        <f aca="false">IF(P77&lt;&gt;"",MIN(0,P77-MAX($P$4:P77)),"")</f>
        <v/>
      </c>
    </row>
    <row r="78" customFormat="false" ht="15" hidden="false" customHeight="true" outlineLevel="0" collapsed="false">
      <c r="A78" s="11" t="str">
        <f aca="false">IF(B78&lt;&gt;"",COUNTA($B$4:B78),"")</f>
        <v/>
      </c>
      <c r="B78" s="12"/>
      <c r="C78" s="12"/>
      <c r="D78" s="12"/>
      <c r="E78" s="12"/>
      <c r="F78" s="12"/>
      <c r="G78" s="12"/>
      <c r="H78" s="12"/>
      <c r="I78" s="13"/>
      <c r="J78" s="12"/>
      <c r="K78" s="14" t="str">
        <f aca="false">IF(AND(I78&lt;&gt;"",H78&lt;&gt;"",J78&lt;&gt;""),IF(J78="W",I78*H78,IF(J78="L",-I78,IF(J78="P",I78*H78*0.5,""))),"")</f>
        <v/>
      </c>
      <c r="L78" s="15" t="str">
        <f aca="false">IF(AND(K78&lt;&gt;"",P77&lt;&gt;""),K78/P77,IF(K78&lt;&gt;"",K78/$D$2,""))</f>
        <v/>
      </c>
      <c r="M78" s="12"/>
      <c r="N78" s="12"/>
      <c r="O78" s="12"/>
      <c r="P78" s="16" t="str">
        <f aca="false">IF(K78&lt;&gt;"",P77+K78,IF(B78&lt;&gt;"",P77,""))</f>
        <v/>
      </c>
      <c r="Q78" s="17" t="str">
        <f aca="false">IF(P78&lt;&gt;"",MIN(0,P78-MAX($P$4:P78)),"")</f>
        <v/>
      </c>
    </row>
    <row r="79" customFormat="false" ht="15" hidden="false" customHeight="true" outlineLevel="0" collapsed="false">
      <c r="A79" s="11" t="str">
        <f aca="false">IF(B79&lt;&gt;"",COUNTA($B$4:B79),"")</f>
        <v/>
      </c>
      <c r="B79" s="20"/>
      <c r="C79" s="20"/>
      <c r="D79" s="20"/>
      <c r="E79" s="20"/>
      <c r="F79" s="20"/>
      <c r="G79" s="20"/>
      <c r="H79" s="20"/>
      <c r="I79" s="21"/>
      <c r="J79" s="20"/>
      <c r="K79" s="14" t="str">
        <f aca="false">IF(AND(I79&lt;&gt;"",H79&lt;&gt;"",J79&lt;&gt;""),IF(J79="W",I79*H79,IF(J79="L",-I79,IF(J79="P",I79*H79*0.5,""))),"")</f>
        <v/>
      </c>
      <c r="L79" s="15" t="str">
        <f aca="false">IF(AND(K79&lt;&gt;"",P78&lt;&gt;""),K79/P78,IF(K79&lt;&gt;"",K79/$D$2,""))</f>
        <v/>
      </c>
      <c r="M79" s="20"/>
      <c r="N79" s="20"/>
      <c r="O79" s="20"/>
      <c r="P79" s="16" t="str">
        <f aca="false">IF(K79&lt;&gt;"",P78+K79,IF(B79&lt;&gt;"",P78,""))</f>
        <v/>
      </c>
      <c r="Q79" s="17" t="str">
        <f aca="false">IF(P79&lt;&gt;"",MIN(0,P79-MAX($P$4:P79)),"")</f>
        <v/>
      </c>
    </row>
    <row r="80" customFormat="false" ht="15" hidden="false" customHeight="true" outlineLevel="0" collapsed="false">
      <c r="A80" s="11" t="str">
        <f aca="false">IF(B80&lt;&gt;"",COUNTA($B$4:B80),"")</f>
        <v/>
      </c>
      <c r="B80" s="12"/>
      <c r="C80" s="12"/>
      <c r="D80" s="12"/>
      <c r="E80" s="12"/>
      <c r="F80" s="12"/>
      <c r="G80" s="12"/>
      <c r="H80" s="12"/>
      <c r="I80" s="13"/>
      <c r="J80" s="12"/>
      <c r="K80" s="14" t="str">
        <f aca="false">IF(AND(I80&lt;&gt;"",H80&lt;&gt;"",J80&lt;&gt;""),IF(J80="W",I80*H80,IF(J80="L",-I80,IF(J80="P",I80*H80*0.5,""))),"")</f>
        <v/>
      </c>
      <c r="L80" s="15" t="str">
        <f aca="false">IF(AND(K80&lt;&gt;"",P79&lt;&gt;""),K80/P79,IF(K80&lt;&gt;"",K80/$D$2,""))</f>
        <v/>
      </c>
      <c r="M80" s="12"/>
      <c r="N80" s="12"/>
      <c r="O80" s="12"/>
      <c r="P80" s="16" t="str">
        <f aca="false">IF(K80&lt;&gt;"",P79+K80,IF(B80&lt;&gt;"",P79,""))</f>
        <v/>
      </c>
      <c r="Q80" s="17" t="str">
        <f aca="false">IF(P80&lt;&gt;"",MIN(0,P80-MAX($P$4:P80)),"")</f>
        <v/>
      </c>
    </row>
    <row r="81" customFormat="false" ht="15" hidden="false" customHeight="true" outlineLevel="0" collapsed="false">
      <c r="A81" s="11" t="str">
        <f aca="false">IF(B81&lt;&gt;"",COUNTA($B$4:B81),"")</f>
        <v/>
      </c>
      <c r="B81" s="20"/>
      <c r="C81" s="20"/>
      <c r="D81" s="20"/>
      <c r="E81" s="20"/>
      <c r="F81" s="20"/>
      <c r="G81" s="20"/>
      <c r="H81" s="20"/>
      <c r="I81" s="21"/>
      <c r="J81" s="20"/>
      <c r="K81" s="14" t="str">
        <f aca="false">IF(AND(I81&lt;&gt;"",H81&lt;&gt;"",J81&lt;&gt;""),IF(J81="W",I81*H81,IF(J81="L",-I81,IF(J81="P",I81*H81*0.5,""))),"")</f>
        <v/>
      </c>
      <c r="L81" s="15" t="str">
        <f aca="false">IF(AND(K81&lt;&gt;"",P80&lt;&gt;""),K81/P80,IF(K81&lt;&gt;"",K81/$D$2,""))</f>
        <v/>
      </c>
      <c r="M81" s="20"/>
      <c r="N81" s="20"/>
      <c r="O81" s="20"/>
      <c r="P81" s="16" t="str">
        <f aca="false">IF(K81&lt;&gt;"",P80+K81,IF(B81&lt;&gt;"",P80,""))</f>
        <v/>
      </c>
      <c r="Q81" s="17" t="str">
        <f aca="false">IF(P81&lt;&gt;"",MIN(0,P81-MAX($P$4:P81)),"")</f>
        <v/>
      </c>
    </row>
    <row r="82" customFormat="false" ht="15" hidden="false" customHeight="true" outlineLevel="0" collapsed="false">
      <c r="A82" s="11" t="str">
        <f aca="false">IF(B82&lt;&gt;"",COUNTA($B$4:B82),"")</f>
        <v/>
      </c>
      <c r="B82" s="12"/>
      <c r="C82" s="12"/>
      <c r="D82" s="12"/>
      <c r="E82" s="12"/>
      <c r="F82" s="12"/>
      <c r="G82" s="12"/>
      <c r="H82" s="12"/>
      <c r="I82" s="13"/>
      <c r="J82" s="12"/>
      <c r="K82" s="14" t="str">
        <f aca="false">IF(AND(I82&lt;&gt;"",H82&lt;&gt;"",J82&lt;&gt;""),IF(J82="W",I82*H82,IF(J82="L",-I82,IF(J82="P",I82*H82*0.5,""))),"")</f>
        <v/>
      </c>
      <c r="L82" s="15" t="str">
        <f aca="false">IF(AND(K82&lt;&gt;"",P81&lt;&gt;""),K82/P81,IF(K82&lt;&gt;"",K82/$D$2,""))</f>
        <v/>
      </c>
      <c r="M82" s="12"/>
      <c r="N82" s="12"/>
      <c r="O82" s="12"/>
      <c r="P82" s="16" t="str">
        <f aca="false">IF(K82&lt;&gt;"",P81+K82,IF(B82&lt;&gt;"",P81,""))</f>
        <v/>
      </c>
      <c r="Q82" s="17" t="str">
        <f aca="false">IF(P82&lt;&gt;"",MIN(0,P82-MAX($P$4:P82)),"")</f>
        <v/>
      </c>
    </row>
    <row r="83" customFormat="false" ht="15" hidden="false" customHeight="true" outlineLevel="0" collapsed="false">
      <c r="A83" s="11" t="str">
        <f aca="false">IF(B83&lt;&gt;"",COUNTA($B$4:B83),"")</f>
        <v/>
      </c>
      <c r="B83" s="20"/>
      <c r="C83" s="20"/>
      <c r="D83" s="20"/>
      <c r="E83" s="20"/>
      <c r="F83" s="20"/>
      <c r="G83" s="20"/>
      <c r="H83" s="20"/>
      <c r="I83" s="21"/>
      <c r="J83" s="20"/>
      <c r="K83" s="14" t="str">
        <f aca="false">IF(AND(I83&lt;&gt;"",H83&lt;&gt;"",J83&lt;&gt;""),IF(J83="W",I83*H83,IF(J83="L",-I83,IF(J83="P",I83*H83*0.5,""))),"")</f>
        <v/>
      </c>
      <c r="L83" s="15" t="str">
        <f aca="false">IF(AND(K83&lt;&gt;"",P82&lt;&gt;""),K83/P82,IF(K83&lt;&gt;"",K83/$D$2,""))</f>
        <v/>
      </c>
      <c r="M83" s="20"/>
      <c r="N83" s="20"/>
      <c r="O83" s="20"/>
      <c r="P83" s="16" t="str">
        <f aca="false">IF(K83&lt;&gt;"",P82+K83,IF(B83&lt;&gt;"",P82,""))</f>
        <v/>
      </c>
      <c r="Q83" s="17" t="str">
        <f aca="false">IF(P83&lt;&gt;"",MIN(0,P83-MAX($P$4:P83)),"")</f>
        <v/>
      </c>
    </row>
    <row r="84" customFormat="false" ht="15" hidden="false" customHeight="true" outlineLevel="0" collapsed="false">
      <c r="A84" s="11" t="str">
        <f aca="false">IF(B84&lt;&gt;"",COUNTA($B$4:B84),"")</f>
        <v/>
      </c>
      <c r="B84" s="12"/>
      <c r="C84" s="12"/>
      <c r="D84" s="12"/>
      <c r="E84" s="12"/>
      <c r="F84" s="12"/>
      <c r="G84" s="12"/>
      <c r="H84" s="12"/>
      <c r="I84" s="13"/>
      <c r="J84" s="12"/>
      <c r="K84" s="14" t="str">
        <f aca="false">IF(AND(I84&lt;&gt;"",H84&lt;&gt;"",J84&lt;&gt;""),IF(J84="W",I84*H84,IF(J84="L",-I84,IF(J84="P",I84*H84*0.5,""))),"")</f>
        <v/>
      </c>
      <c r="L84" s="15" t="str">
        <f aca="false">IF(AND(K84&lt;&gt;"",P83&lt;&gt;""),K84/P83,IF(K84&lt;&gt;"",K84/$D$2,""))</f>
        <v/>
      </c>
      <c r="M84" s="12"/>
      <c r="N84" s="12"/>
      <c r="O84" s="12"/>
      <c r="P84" s="16" t="str">
        <f aca="false">IF(K84&lt;&gt;"",P83+K84,IF(B84&lt;&gt;"",P83,""))</f>
        <v/>
      </c>
      <c r="Q84" s="17" t="str">
        <f aca="false">IF(P84&lt;&gt;"",MIN(0,P84-MAX($P$4:P84)),"")</f>
        <v/>
      </c>
    </row>
    <row r="85" customFormat="false" ht="15" hidden="false" customHeight="true" outlineLevel="0" collapsed="false">
      <c r="A85" s="11" t="str">
        <f aca="false">IF(B85&lt;&gt;"",COUNTA($B$4:B85),"")</f>
        <v/>
      </c>
      <c r="B85" s="20"/>
      <c r="C85" s="20"/>
      <c r="D85" s="20"/>
      <c r="E85" s="20"/>
      <c r="F85" s="20"/>
      <c r="G85" s="20"/>
      <c r="H85" s="20"/>
      <c r="I85" s="21"/>
      <c r="J85" s="20"/>
      <c r="K85" s="14" t="str">
        <f aca="false">IF(AND(I85&lt;&gt;"",H85&lt;&gt;"",J85&lt;&gt;""),IF(J85="W",I85*H85,IF(J85="L",-I85,IF(J85="P",I85*H85*0.5,""))),"")</f>
        <v/>
      </c>
      <c r="L85" s="15" t="str">
        <f aca="false">IF(AND(K85&lt;&gt;"",P84&lt;&gt;""),K85/P84,IF(K85&lt;&gt;"",K85/$D$2,""))</f>
        <v/>
      </c>
      <c r="M85" s="20"/>
      <c r="N85" s="20"/>
      <c r="O85" s="20"/>
      <c r="P85" s="16" t="str">
        <f aca="false">IF(K85&lt;&gt;"",P84+K85,IF(B85&lt;&gt;"",P84,""))</f>
        <v/>
      </c>
      <c r="Q85" s="17" t="str">
        <f aca="false">IF(P85&lt;&gt;"",MIN(0,P85-MAX($P$4:P85)),"")</f>
        <v/>
      </c>
    </row>
    <row r="86" customFormat="false" ht="15" hidden="false" customHeight="true" outlineLevel="0" collapsed="false">
      <c r="A86" s="11" t="str">
        <f aca="false">IF(B86&lt;&gt;"",COUNTA($B$4:B86),"")</f>
        <v/>
      </c>
      <c r="B86" s="12"/>
      <c r="C86" s="12"/>
      <c r="D86" s="12"/>
      <c r="E86" s="12"/>
      <c r="F86" s="12"/>
      <c r="G86" s="12"/>
      <c r="H86" s="12"/>
      <c r="I86" s="13"/>
      <c r="J86" s="12"/>
      <c r="K86" s="14" t="str">
        <f aca="false">IF(AND(I86&lt;&gt;"",H86&lt;&gt;"",J86&lt;&gt;""),IF(J86="W",I86*H86,IF(J86="L",-I86,IF(J86="P",I86*H86*0.5,""))),"")</f>
        <v/>
      </c>
      <c r="L86" s="15" t="str">
        <f aca="false">IF(AND(K86&lt;&gt;"",P85&lt;&gt;""),K86/P85,IF(K86&lt;&gt;"",K86/$D$2,""))</f>
        <v/>
      </c>
      <c r="M86" s="12"/>
      <c r="N86" s="12"/>
      <c r="O86" s="12"/>
      <c r="P86" s="16" t="str">
        <f aca="false">IF(K86&lt;&gt;"",P85+K86,IF(B86&lt;&gt;"",P85,""))</f>
        <v/>
      </c>
      <c r="Q86" s="17" t="str">
        <f aca="false">IF(P86&lt;&gt;"",MIN(0,P86-MAX($P$4:P86)),"")</f>
        <v/>
      </c>
    </row>
    <row r="87" customFormat="false" ht="15" hidden="false" customHeight="true" outlineLevel="0" collapsed="false">
      <c r="A87" s="11" t="str">
        <f aca="false">IF(B87&lt;&gt;"",COUNTA($B$4:B87),"")</f>
        <v/>
      </c>
      <c r="B87" s="20"/>
      <c r="C87" s="20"/>
      <c r="D87" s="20"/>
      <c r="E87" s="20"/>
      <c r="F87" s="20"/>
      <c r="G87" s="20"/>
      <c r="H87" s="20"/>
      <c r="I87" s="21"/>
      <c r="J87" s="20"/>
      <c r="K87" s="14" t="str">
        <f aca="false">IF(AND(I87&lt;&gt;"",H87&lt;&gt;"",J87&lt;&gt;""),IF(J87="W",I87*H87,IF(J87="L",-I87,IF(J87="P",I87*H87*0.5,""))),"")</f>
        <v/>
      </c>
      <c r="L87" s="15" t="str">
        <f aca="false">IF(AND(K87&lt;&gt;"",P86&lt;&gt;""),K87/P86,IF(K87&lt;&gt;"",K87/$D$2,""))</f>
        <v/>
      </c>
      <c r="M87" s="20"/>
      <c r="N87" s="20"/>
      <c r="O87" s="20"/>
      <c r="P87" s="16" t="str">
        <f aca="false">IF(K87&lt;&gt;"",P86+K87,IF(B87&lt;&gt;"",P86,""))</f>
        <v/>
      </c>
      <c r="Q87" s="17" t="str">
        <f aca="false">IF(P87&lt;&gt;"",MIN(0,P87-MAX($P$4:P87)),"")</f>
        <v/>
      </c>
    </row>
    <row r="88" customFormat="false" ht="15" hidden="false" customHeight="true" outlineLevel="0" collapsed="false">
      <c r="A88" s="11" t="str">
        <f aca="false">IF(B88&lt;&gt;"",COUNTA($B$4:B88),"")</f>
        <v/>
      </c>
      <c r="B88" s="12"/>
      <c r="C88" s="12"/>
      <c r="D88" s="12"/>
      <c r="E88" s="12"/>
      <c r="F88" s="12"/>
      <c r="G88" s="12"/>
      <c r="H88" s="12"/>
      <c r="I88" s="13"/>
      <c r="J88" s="12"/>
      <c r="K88" s="14" t="str">
        <f aca="false">IF(AND(I88&lt;&gt;"",H88&lt;&gt;"",J88&lt;&gt;""),IF(J88="W",I88*H88,IF(J88="L",-I88,IF(J88="P",I88*H88*0.5,""))),"")</f>
        <v/>
      </c>
      <c r="L88" s="15" t="str">
        <f aca="false">IF(AND(K88&lt;&gt;"",P87&lt;&gt;""),K88/P87,IF(K88&lt;&gt;"",K88/$D$2,""))</f>
        <v/>
      </c>
      <c r="M88" s="12"/>
      <c r="N88" s="12"/>
      <c r="O88" s="12"/>
      <c r="P88" s="16" t="str">
        <f aca="false">IF(K88&lt;&gt;"",P87+K88,IF(B88&lt;&gt;"",P87,""))</f>
        <v/>
      </c>
      <c r="Q88" s="17" t="str">
        <f aca="false">IF(P88&lt;&gt;"",MIN(0,P88-MAX($P$4:P88)),"")</f>
        <v/>
      </c>
    </row>
    <row r="89" customFormat="false" ht="15" hidden="false" customHeight="true" outlineLevel="0" collapsed="false">
      <c r="A89" s="11" t="str">
        <f aca="false">IF(B89&lt;&gt;"",COUNTA($B$4:B89),"")</f>
        <v/>
      </c>
      <c r="B89" s="20"/>
      <c r="C89" s="20"/>
      <c r="D89" s="20"/>
      <c r="E89" s="20"/>
      <c r="F89" s="20"/>
      <c r="G89" s="20"/>
      <c r="H89" s="20"/>
      <c r="I89" s="21"/>
      <c r="J89" s="20"/>
      <c r="K89" s="14" t="str">
        <f aca="false">IF(AND(I89&lt;&gt;"",H89&lt;&gt;"",J89&lt;&gt;""),IF(J89="W",I89*H89,IF(J89="L",-I89,IF(J89="P",I89*H89*0.5,""))),"")</f>
        <v/>
      </c>
      <c r="L89" s="15" t="str">
        <f aca="false">IF(AND(K89&lt;&gt;"",P88&lt;&gt;""),K89/P88,IF(K89&lt;&gt;"",K89/$D$2,""))</f>
        <v/>
      </c>
      <c r="M89" s="20"/>
      <c r="N89" s="20"/>
      <c r="O89" s="20"/>
      <c r="P89" s="16" t="str">
        <f aca="false">IF(K89&lt;&gt;"",P88+K89,IF(B89&lt;&gt;"",P88,""))</f>
        <v/>
      </c>
      <c r="Q89" s="17" t="str">
        <f aca="false">IF(P89&lt;&gt;"",MIN(0,P89-MAX($P$4:P89)),"")</f>
        <v/>
      </c>
    </row>
    <row r="90" customFormat="false" ht="15" hidden="false" customHeight="true" outlineLevel="0" collapsed="false">
      <c r="A90" s="11" t="str">
        <f aca="false">IF(B90&lt;&gt;"",COUNTA($B$4:B90),"")</f>
        <v/>
      </c>
      <c r="B90" s="12"/>
      <c r="C90" s="12"/>
      <c r="D90" s="12"/>
      <c r="E90" s="12"/>
      <c r="F90" s="12"/>
      <c r="G90" s="12"/>
      <c r="H90" s="12"/>
      <c r="I90" s="13"/>
      <c r="J90" s="12"/>
      <c r="K90" s="14" t="str">
        <f aca="false">IF(AND(I90&lt;&gt;"",H90&lt;&gt;"",J90&lt;&gt;""),IF(J90="W",I90*H90,IF(J90="L",-I90,IF(J90="P",I90*H90*0.5,""))),"")</f>
        <v/>
      </c>
      <c r="L90" s="15" t="str">
        <f aca="false">IF(AND(K90&lt;&gt;"",P89&lt;&gt;""),K90/P89,IF(K90&lt;&gt;"",K90/$D$2,""))</f>
        <v/>
      </c>
      <c r="M90" s="12"/>
      <c r="N90" s="12"/>
      <c r="O90" s="12"/>
      <c r="P90" s="16" t="str">
        <f aca="false">IF(K90&lt;&gt;"",P89+K90,IF(B90&lt;&gt;"",P89,""))</f>
        <v/>
      </c>
      <c r="Q90" s="17" t="str">
        <f aca="false">IF(P90&lt;&gt;"",MIN(0,P90-MAX($P$4:P90)),"")</f>
        <v/>
      </c>
    </row>
    <row r="91" customFormat="false" ht="15" hidden="false" customHeight="true" outlineLevel="0" collapsed="false">
      <c r="A91" s="11" t="str">
        <f aca="false">IF(B91&lt;&gt;"",COUNTA($B$4:B91),"")</f>
        <v/>
      </c>
      <c r="B91" s="20"/>
      <c r="C91" s="20"/>
      <c r="D91" s="20"/>
      <c r="E91" s="20"/>
      <c r="F91" s="20"/>
      <c r="G91" s="20"/>
      <c r="H91" s="20"/>
      <c r="I91" s="21"/>
      <c r="J91" s="20"/>
      <c r="K91" s="14" t="str">
        <f aca="false">IF(AND(I91&lt;&gt;"",H91&lt;&gt;"",J91&lt;&gt;""),IF(J91="W",I91*H91,IF(J91="L",-I91,IF(J91="P",I91*H91*0.5,""))),"")</f>
        <v/>
      </c>
      <c r="L91" s="15" t="str">
        <f aca="false">IF(AND(K91&lt;&gt;"",P90&lt;&gt;""),K91/P90,IF(K91&lt;&gt;"",K91/$D$2,""))</f>
        <v/>
      </c>
      <c r="M91" s="20"/>
      <c r="N91" s="20"/>
      <c r="O91" s="20"/>
      <c r="P91" s="16" t="str">
        <f aca="false">IF(K91&lt;&gt;"",P90+K91,IF(B91&lt;&gt;"",P90,""))</f>
        <v/>
      </c>
      <c r="Q91" s="17" t="str">
        <f aca="false">IF(P91&lt;&gt;"",MIN(0,P91-MAX($P$4:P91)),"")</f>
        <v/>
      </c>
    </row>
    <row r="92" customFormat="false" ht="15" hidden="false" customHeight="true" outlineLevel="0" collapsed="false">
      <c r="A92" s="11" t="str">
        <f aca="false">IF(B92&lt;&gt;"",COUNTA($B$4:B92),"")</f>
        <v/>
      </c>
      <c r="B92" s="12"/>
      <c r="C92" s="12"/>
      <c r="D92" s="12"/>
      <c r="E92" s="12"/>
      <c r="F92" s="12"/>
      <c r="G92" s="12"/>
      <c r="H92" s="12"/>
      <c r="I92" s="13"/>
      <c r="J92" s="12"/>
      <c r="K92" s="14" t="str">
        <f aca="false">IF(AND(I92&lt;&gt;"",H92&lt;&gt;"",J92&lt;&gt;""),IF(J92="W",I92*H92,IF(J92="L",-I92,IF(J92="P",I92*H92*0.5,""))),"")</f>
        <v/>
      </c>
      <c r="L92" s="15" t="str">
        <f aca="false">IF(AND(K92&lt;&gt;"",P91&lt;&gt;""),K92/P91,IF(K92&lt;&gt;"",K92/$D$2,""))</f>
        <v/>
      </c>
      <c r="M92" s="12"/>
      <c r="N92" s="12"/>
      <c r="O92" s="12"/>
      <c r="P92" s="16" t="str">
        <f aca="false">IF(K92&lt;&gt;"",P91+K92,IF(B92&lt;&gt;"",P91,""))</f>
        <v/>
      </c>
      <c r="Q92" s="17" t="str">
        <f aca="false">IF(P92&lt;&gt;"",MIN(0,P92-MAX($P$4:P92)),"")</f>
        <v/>
      </c>
    </row>
    <row r="93" customFormat="false" ht="15" hidden="false" customHeight="true" outlineLevel="0" collapsed="false">
      <c r="A93" s="11" t="str">
        <f aca="false">IF(B93&lt;&gt;"",COUNTA($B$4:B93),"")</f>
        <v/>
      </c>
      <c r="B93" s="20"/>
      <c r="C93" s="20"/>
      <c r="D93" s="20"/>
      <c r="E93" s="20"/>
      <c r="F93" s="20"/>
      <c r="G93" s="20"/>
      <c r="H93" s="20"/>
      <c r="I93" s="21"/>
      <c r="J93" s="20"/>
      <c r="K93" s="14" t="str">
        <f aca="false">IF(AND(I93&lt;&gt;"",H93&lt;&gt;"",J93&lt;&gt;""),IF(J93="W",I93*H93,IF(J93="L",-I93,IF(J93="P",I93*H93*0.5,""))),"")</f>
        <v/>
      </c>
      <c r="L93" s="15" t="str">
        <f aca="false">IF(AND(K93&lt;&gt;"",P92&lt;&gt;""),K93/P92,IF(K93&lt;&gt;"",K93/$D$2,""))</f>
        <v/>
      </c>
      <c r="M93" s="20"/>
      <c r="N93" s="20"/>
      <c r="O93" s="20"/>
      <c r="P93" s="16" t="str">
        <f aca="false">IF(K93&lt;&gt;"",P92+K93,IF(B93&lt;&gt;"",P92,""))</f>
        <v/>
      </c>
      <c r="Q93" s="17" t="str">
        <f aca="false">IF(P93&lt;&gt;"",MIN(0,P93-MAX($P$4:P93)),"")</f>
        <v/>
      </c>
    </row>
    <row r="94" customFormat="false" ht="15" hidden="false" customHeight="true" outlineLevel="0" collapsed="false">
      <c r="A94" s="11" t="str">
        <f aca="false">IF(B94&lt;&gt;"",COUNTA($B$4:B94),"")</f>
        <v/>
      </c>
      <c r="B94" s="12"/>
      <c r="C94" s="12"/>
      <c r="D94" s="12"/>
      <c r="E94" s="12"/>
      <c r="F94" s="12"/>
      <c r="G94" s="12"/>
      <c r="H94" s="12"/>
      <c r="I94" s="13"/>
      <c r="J94" s="12"/>
      <c r="K94" s="14" t="str">
        <f aca="false">IF(AND(I94&lt;&gt;"",H94&lt;&gt;"",J94&lt;&gt;""),IF(J94="W",I94*H94,IF(J94="L",-I94,IF(J94="P",I94*H94*0.5,""))),"")</f>
        <v/>
      </c>
      <c r="L94" s="15" t="str">
        <f aca="false">IF(AND(K94&lt;&gt;"",P93&lt;&gt;""),K94/P93,IF(K94&lt;&gt;"",K94/$D$2,""))</f>
        <v/>
      </c>
      <c r="M94" s="12"/>
      <c r="N94" s="12"/>
      <c r="O94" s="12"/>
      <c r="P94" s="16" t="str">
        <f aca="false">IF(K94&lt;&gt;"",P93+K94,IF(B94&lt;&gt;"",P93,""))</f>
        <v/>
      </c>
      <c r="Q94" s="17" t="str">
        <f aca="false">IF(P94&lt;&gt;"",MIN(0,P94-MAX($P$4:P94)),"")</f>
        <v/>
      </c>
    </row>
    <row r="95" customFormat="false" ht="15" hidden="false" customHeight="true" outlineLevel="0" collapsed="false">
      <c r="A95" s="11" t="str">
        <f aca="false">IF(B95&lt;&gt;"",COUNTA($B$4:B95),"")</f>
        <v/>
      </c>
      <c r="B95" s="20"/>
      <c r="C95" s="20"/>
      <c r="D95" s="20"/>
      <c r="E95" s="20"/>
      <c r="F95" s="20"/>
      <c r="G95" s="20"/>
      <c r="H95" s="20"/>
      <c r="I95" s="21"/>
      <c r="J95" s="20"/>
      <c r="K95" s="14" t="str">
        <f aca="false">IF(AND(I95&lt;&gt;"",H95&lt;&gt;"",J95&lt;&gt;""),IF(J95="W",I95*H95,IF(J95="L",-I95,IF(J95="P",I95*H95*0.5,""))),"")</f>
        <v/>
      </c>
      <c r="L95" s="15" t="str">
        <f aca="false">IF(AND(K95&lt;&gt;"",P94&lt;&gt;""),K95/P94,IF(K95&lt;&gt;"",K95/$D$2,""))</f>
        <v/>
      </c>
      <c r="M95" s="20"/>
      <c r="N95" s="20"/>
      <c r="O95" s="20"/>
      <c r="P95" s="16" t="str">
        <f aca="false">IF(K95&lt;&gt;"",P94+K95,IF(B95&lt;&gt;"",P94,""))</f>
        <v/>
      </c>
      <c r="Q95" s="17" t="str">
        <f aca="false">IF(P95&lt;&gt;"",MIN(0,P95-MAX($P$4:P95)),"")</f>
        <v/>
      </c>
    </row>
    <row r="96" customFormat="false" ht="15" hidden="false" customHeight="true" outlineLevel="0" collapsed="false">
      <c r="A96" s="11" t="str">
        <f aca="false">IF(B96&lt;&gt;"",COUNTA($B$4:B96),"")</f>
        <v/>
      </c>
      <c r="B96" s="12"/>
      <c r="C96" s="12"/>
      <c r="D96" s="12"/>
      <c r="E96" s="12"/>
      <c r="F96" s="12"/>
      <c r="G96" s="12"/>
      <c r="H96" s="12"/>
      <c r="I96" s="13"/>
      <c r="J96" s="12"/>
      <c r="K96" s="14" t="str">
        <f aca="false">IF(AND(I96&lt;&gt;"",H96&lt;&gt;"",J96&lt;&gt;""),IF(J96="W",I96*H96,IF(J96="L",-I96,IF(J96="P",I96*H96*0.5,""))),"")</f>
        <v/>
      </c>
      <c r="L96" s="15" t="str">
        <f aca="false">IF(AND(K96&lt;&gt;"",P95&lt;&gt;""),K96/P95,IF(K96&lt;&gt;"",K96/$D$2,""))</f>
        <v/>
      </c>
      <c r="M96" s="12"/>
      <c r="N96" s="12"/>
      <c r="O96" s="12"/>
      <c r="P96" s="16" t="str">
        <f aca="false">IF(K96&lt;&gt;"",P95+K96,IF(B96&lt;&gt;"",P95,""))</f>
        <v/>
      </c>
      <c r="Q96" s="17" t="str">
        <f aca="false">IF(P96&lt;&gt;"",MIN(0,P96-MAX($P$4:P96)),"")</f>
        <v/>
      </c>
    </row>
    <row r="97" customFormat="false" ht="15" hidden="false" customHeight="true" outlineLevel="0" collapsed="false">
      <c r="A97" s="11" t="str">
        <f aca="false">IF(B97&lt;&gt;"",COUNTA($B$4:B97),"")</f>
        <v/>
      </c>
      <c r="B97" s="20"/>
      <c r="C97" s="20"/>
      <c r="D97" s="20"/>
      <c r="E97" s="20"/>
      <c r="F97" s="20"/>
      <c r="G97" s="20"/>
      <c r="H97" s="20"/>
      <c r="I97" s="21"/>
      <c r="J97" s="20"/>
      <c r="K97" s="14" t="str">
        <f aca="false">IF(AND(I97&lt;&gt;"",H97&lt;&gt;"",J97&lt;&gt;""),IF(J97="W",I97*H97,IF(J97="L",-I97,IF(J97="P",I97*H97*0.5,""))),"")</f>
        <v/>
      </c>
      <c r="L97" s="15" t="str">
        <f aca="false">IF(AND(K97&lt;&gt;"",P96&lt;&gt;""),K97/P96,IF(K97&lt;&gt;"",K97/$D$2,""))</f>
        <v/>
      </c>
      <c r="M97" s="20"/>
      <c r="N97" s="20"/>
      <c r="O97" s="20"/>
      <c r="P97" s="16" t="str">
        <f aca="false">IF(K97&lt;&gt;"",P96+K97,IF(B97&lt;&gt;"",P96,""))</f>
        <v/>
      </c>
      <c r="Q97" s="17" t="str">
        <f aca="false">IF(P97&lt;&gt;"",MIN(0,P97-MAX($P$4:P97)),"")</f>
        <v/>
      </c>
    </row>
    <row r="98" customFormat="false" ht="15" hidden="false" customHeight="true" outlineLevel="0" collapsed="false">
      <c r="A98" s="11" t="str">
        <f aca="false">IF(B98&lt;&gt;"",COUNTA($B$4:B98),"")</f>
        <v/>
      </c>
      <c r="B98" s="12"/>
      <c r="C98" s="12"/>
      <c r="D98" s="12"/>
      <c r="E98" s="12"/>
      <c r="F98" s="12"/>
      <c r="G98" s="12"/>
      <c r="H98" s="12"/>
      <c r="I98" s="13"/>
      <c r="J98" s="12"/>
      <c r="K98" s="14" t="str">
        <f aca="false">IF(AND(I98&lt;&gt;"",H98&lt;&gt;"",J98&lt;&gt;""),IF(J98="W",I98*H98,IF(J98="L",-I98,IF(J98="P",I98*H98*0.5,""))),"")</f>
        <v/>
      </c>
      <c r="L98" s="15" t="str">
        <f aca="false">IF(AND(K98&lt;&gt;"",P97&lt;&gt;""),K98/P97,IF(K98&lt;&gt;"",K98/$D$2,""))</f>
        <v/>
      </c>
      <c r="M98" s="12"/>
      <c r="N98" s="12"/>
      <c r="O98" s="12"/>
      <c r="P98" s="16" t="str">
        <f aca="false">IF(K98&lt;&gt;"",P97+K98,IF(B98&lt;&gt;"",P97,""))</f>
        <v/>
      </c>
      <c r="Q98" s="17" t="str">
        <f aca="false">IF(P98&lt;&gt;"",MIN(0,P98-MAX($P$4:P98)),"")</f>
        <v/>
      </c>
    </row>
    <row r="99" customFormat="false" ht="15" hidden="false" customHeight="true" outlineLevel="0" collapsed="false">
      <c r="A99" s="11" t="str">
        <f aca="false">IF(B99&lt;&gt;"",COUNTA($B$4:B99),"")</f>
        <v/>
      </c>
      <c r="B99" s="20"/>
      <c r="C99" s="20"/>
      <c r="D99" s="20"/>
      <c r="E99" s="20"/>
      <c r="F99" s="20"/>
      <c r="G99" s="20"/>
      <c r="H99" s="20"/>
      <c r="I99" s="21"/>
      <c r="J99" s="20"/>
      <c r="K99" s="14" t="str">
        <f aca="false">IF(AND(I99&lt;&gt;"",H99&lt;&gt;"",J99&lt;&gt;""),IF(J99="W",I99*H99,IF(J99="L",-I99,IF(J99="P",I99*H99*0.5,""))),"")</f>
        <v/>
      </c>
      <c r="L99" s="15" t="str">
        <f aca="false">IF(AND(K99&lt;&gt;"",P98&lt;&gt;""),K99/P98,IF(K99&lt;&gt;"",K99/$D$2,""))</f>
        <v/>
      </c>
      <c r="M99" s="20"/>
      <c r="N99" s="20"/>
      <c r="O99" s="20"/>
      <c r="P99" s="16" t="str">
        <f aca="false">IF(K99&lt;&gt;"",P98+K99,IF(B99&lt;&gt;"",P98,""))</f>
        <v/>
      </c>
      <c r="Q99" s="17" t="str">
        <f aca="false">IF(P99&lt;&gt;"",MIN(0,P99-MAX($P$4:P99)),"")</f>
        <v/>
      </c>
    </row>
    <row r="100" customFormat="false" ht="15" hidden="false" customHeight="true" outlineLevel="0" collapsed="false">
      <c r="A100" s="11" t="str">
        <f aca="false">IF(B100&lt;&gt;"",COUNTA($B$4:B100),"")</f>
        <v/>
      </c>
      <c r="B100" s="12"/>
      <c r="C100" s="12"/>
      <c r="D100" s="12"/>
      <c r="E100" s="12"/>
      <c r="F100" s="12"/>
      <c r="G100" s="12"/>
      <c r="H100" s="12"/>
      <c r="I100" s="13"/>
      <c r="J100" s="12"/>
      <c r="K100" s="14" t="str">
        <f aca="false">IF(AND(I100&lt;&gt;"",H100&lt;&gt;"",J100&lt;&gt;""),IF(J100="W",I100*H100,IF(J100="L",-I100,IF(J100="P",I100*H100*0.5,""))),"")</f>
        <v/>
      </c>
      <c r="L100" s="15" t="str">
        <f aca="false">IF(AND(K100&lt;&gt;"",P99&lt;&gt;""),K100/P99,IF(K100&lt;&gt;"",K100/$D$2,""))</f>
        <v/>
      </c>
      <c r="M100" s="12"/>
      <c r="N100" s="12"/>
      <c r="O100" s="12"/>
      <c r="P100" s="16" t="str">
        <f aca="false">IF(K100&lt;&gt;"",P99+K100,IF(B100&lt;&gt;"",P99,""))</f>
        <v/>
      </c>
      <c r="Q100" s="17" t="str">
        <f aca="false">IF(P100&lt;&gt;"",MIN(0,P100-MAX($P$4:P100)),"")</f>
        <v/>
      </c>
    </row>
    <row r="101" customFormat="false" ht="15" hidden="false" customHeight="true" outlineLevel="0" collapsed="false">
      <c r="A101" s="11" t="str">
        <f aca="false">IF(B101&lt;&gt;"",COUNTA($B$4:B101),"")</f>
        <v/>
      </c>
      <c r="B101" s="20"/>
      <c r="C101" s="20"/>
      <c r="D101" s="20"/>
      <c r="E101" s="20"/>
      <c r="F101" s="20"/>
      <c r="G101" s="20"/>
      <c r="H101" s="20"/>
      <c r="I101" s="21"/>
      <c r="J101" s="20"/>
      <c r="K101" s="14" t="str">
        <f aca="false">IF(AND(I101&lt;&gt;"",H101&lt;&gt;"",J101&lt;&gt;""),IF(J101="W",I101*H101,IF(J101="L",-I101,IF(J101="P",I101*H101*0.5,""))),"")</f>
        <v/>
      </c>
      <c r="L101" s="15" t="str">
        <f aca="false">IF(AND(K101&lt;&gt;"",P100&lt;&gt;""),K101/P100,IF(K101&lt;&gt;"",K101/$D$2,""))</f>
        <v/>
      </c>
      <c r="M101" s="20"/>
      <c r="N101" s="20"/>
      <c r="O101" s="20"/>
      <c r="P101" s="16" t="str">
        <f aca="false">IF(K101&lt;&gt;"",P100+K101,IF(B101&lt;&gt;"",P100,""))</f>
        <v/>
      </c>
      <c r="Q101" s="17" t="str">
        <f aca="false">IF(P101&lt;&gt;"",MIN(0,P101-MAX($P$4:P101)),"")</f>
        <v/>
      </c>
    </row>
    <row r="102" customFormat="false" ht="15" hidden="false" customHeight="true" outlineLevel="0" collapsed="false">
      <c r="A102" s="11" t="str">
        <f aca="false">IF(B102&lt;&gt;"",COUNTA($B$4:B102),"")</f>
        <v/>
      </c>
      <c r="B102" s="12"/>
      <c r="C102" s="12"/>
      <c r="D102" s="12"/>
      <c r="E102" s="12"/>
      <c r="F102" s="12"/>
      <c r="G102" s="12"/>
      <c r="H102" s="12"/>
      <c r="I102" s="13"/>
      <c r="J102" s="12"/>
      <c r="K102" s="14" t="str">
        <f aca="false">IF(AND(I102&lt;&gt;"",H102&lt;&gt;"",J102&lt;&gt;""),IF(J102="W",I102*H102,IF(J102="L",-I102,IF(J102="P",I102*H102*0.5,""))),"")</f>
        <v/>
      </c>
      <c r="L102" s="15" t="str">
        <f aca="false">IF(AND(K102&lt;&gt;"",P101&lt;&gt;""),K102/P101,IF(K102&lt;&gt;"",K102/$D$2,""))</f>
        <v/>
      </c>
      <c r="M102" s="12"/>
      <c r="N102" s="12"/>
      <c r="O102" s="12"/>
      <c r="P102" s="16" t="str">
        <f aca="false">IF(K102&lt;&gt;"",P101+K102,IF(B102&lt;&gt;"",P101,""))</f>
        <v/>
      </c>
      <c r="Q102" s="17" t="str">
        <f aca="false">IF(P102&lt;&gt;"",MIN(0,P102-MAX($P$4:P102)),"")</f>
        <v/>
      </c>
    </row>
    <row r="103" customFormat="false" ht="15" hidden="false" customHeight="true" outlineLevel="0" collapsed="false">
      <c r="A103" s="11" t="str">
        <f aca="false">IF(B103&lt;&gt;"",COUNTA($B$4:B103),"")</f>
        <v/>
      </c>
      <c r="B103" s="20"/>
      <c r="C103" s="20"/>
      <c r="D103" s="20"/>
      <c r="E103" s="20"/>
      <c r="F103" s="20"/>
      <c r="G103" s="20"/>
      <c r="H103" s="20"/>
      <c r="I103" s="21"/>
      <c r="J103" s="20"/>
      <c r="K103" s="14" t="str">
        <f aca="false">IF(AND(I103&lt;&gt;"",H103&lt;&gt;"",J103&lt;&gt;""),IF(J103="W",I103*H103,IF(J103="L",-I103,IF(J103="P",I103*H103*0.5,""))),"")</f>
        <v/>
      </c>
      <c r="L103" s="15" t="str">
        <f aca="false">IF(AND(K103&lt;&gt;"",P102&lt;&gt;""),K103/P102,IF(K103&lt;&gt;"",K103/$D$2,""))</f>
        <v/>
      </c>
      <c r="M103" s="20"/>
      <c r="N103" s="20"/>
      <c r="O103" s="20"/>
      <c r="P103" s="16" t="str">
        <f aca="false">IF(K103&lt;&gt;"",P102+K103,IF(B103&lt;&gt;"",P102,""))</f>
        <v/>
      </c>
      <c r="Q103" s="17" t="str">
        <f aca="false">IF(P103&lt;&gt;"",MIN(0,P103-MAX($P$4:P103)),"")</f>
        <v/>
      </c>
    </row>
    <row r="104" customFormat="false" ht="15" hidden="false" customHeight="true" outlineLevel="0" collapsed="false">
      <c r="A104" s="11" t="str">
        <f aca="false">IF(B104&lt;&gt;"",COUNTA($B$4:B104),"")</f>
        <v/>
      </c>
      <c r="B104" s="12"/>
      <c r="C104" s="12"/>
      <c r="D104" s="12"/>
      <c r="E104" s="12"/>
      <c r="F104" s="12"/>
      <c r="G104" s="12"/>
      <c r="H104" s="12"/>
      <c r="I104" s="13"/>
      <c r="J104" s="12"/>
      <c r="K104" s="14" t="str">
        <f aca="false">IF(AND(I104&lt;&gt;"",H104&lt;&gt;"",J104&lt;&gt;""),IF(J104="W",I104*H104,IF(J104="L",-I104,IF(J104="P",I104*H104*0.5,""))),"")</f>
        <v/>
      </c>
      <c r="L104" s="15" t="str">
        <f aca="false">IF(AND(K104&lt;&gt;"",P103&lt;&gt;""),K104/P103,IF(K104&lt;&gt;"",K104/$D$2,""))</f>
        <v/>
      </c>
      <c r="M104" s="12"/>
      <c r="N104" s="12"/>
      <c r="O104" s="12"/>
      <c r="P104" s="16" t="str">
        <f aca="false">IF(K104&lt;&gt;"",P103+K104,IF(B104&lt;&gt;"",P103,""))</f>
        <v/>
      </c>
      <c r="Q104" s="17" t="str">
        <f aca="false">IF(P104&lt;&gt;"",MIN(0,P104-MAX($P$4:P104)),"")</f>
        <v/>
      </c>
    </row>
    <row r="105" customFormat="false" ht="15" hidden="false" customHeight="true" outlineLevel="0" collapsed="false">
      <c r="A105" s="11" t="str">
        <f aca="false">IF(B105&lt;&gt;"",COUNTA($B$4:B105),"")</f>
        <v/>
      </c>
      <c r="B105" s="20"/>
      <c r="C105" s="20"/>
      <c r="D105" s="20"/>
      <c r="E105" s="20"/>
      <c r="F105" s="20"/>
      <c r="G105" s="20"/>
      <c r="H105" s="20"/>
      <c r="I105" s="21"/>
      <c r="J105" s="20"/>
      <c r="K105" s="14" t="str">
        <f aca="false">IF(AND(I105&lt;&gt;"",H105&lt;&gt;"",J105&lt;&gt;""),IF(J105="W",I105*H105,IF(J105="L",-I105,IF(J105="P",I105*H105*0.5,""))),"")</f>
        <v/>
      </c>
      <c r="L105" s="15" t="str">
        <f aca="false">IF(AND(K105&lt;&gt;"",P104&lt;&gt;""),K105/P104,IF(K105&lt;&gt;"",K105/$D$2,""))</f>
        <v/>
      </c>
      <c r="M105" s="20"/>
      <c r="N105" s="20"/>
      <c r="O105" s="20"/>
      <c r="P105" s="16" t="str">
        <f aca="false">IF(K105&lt;&gt;"",P104+K105,IF(B105&lt;&gt;"",P104,""))</f>
        <v/>
      </c>
      <c r="Q105" s="17" t="str">
        <f aca="false">IF(P105&lt;&gt;"",MIN(0,P105-MAX($P$4:P105)),"")</f>
        <v/>
      </c>
    </row>
    <row r="106" customFormat="false" ht="15" hidden="false" customHeight="true" outlineLevel="0" collapsed="false">
      <c r="A106" s="11" t="str">
        <f aca="false">IF(B106&lt;&gt;"",COUNTA($B$4:B106),"")</f>
        <v/>
      </c>
      <c r="B106" s="12"/>
      <c r="C106" s="12"/>
      <c r="D106" s="12"/>
      <c r="E106" s="12"/>
      <c r="F106" s="12"/>
      <c r="G106" s="12"/>
      <c r="H106" s="12"/>
      <c r="I106" s="13"/>
      <c r="J106" s="12"/>
      <c r="K106" s="14" t="str">
        <f aca="false">IF(AND(I106&lt;&gt;"",H106&lt;&gt;"",J106&lt;&gt;""),IF(J106="W",I106*H106,IF(J106="L",-I106,IF(J106="P",I106*H106*0.5,""))),"")</f>
        <v/>
      </c>
      <c r="L106" s="15" t="str">
        <f aca="false">IF(AND(K106&lt;&gt;"",P105&lt;&gt;""),K106/P105,IF(K106&lt;&gt;"",K106/$D$2,""))</f>
        <v/>
      </c>
      <c r="M106" s="12"/>
      <c r="N106" s="12"/>
      <c r="O106" s="12"/>
      <c r="P106" s="16" t="str">
        <f aca="false">IF(K106&lt;&gt;"",P105+K106,IF(B106&lt;&gt;"",P105,""))</f>
        <v/>
      </c>
      <c r="Q106" s="17" t="str">
        <f aca="false">IF(P106&lt;&gt;"",MIN(0,P106-MAX($P$4:P106)),"")</f>
        <v/>
      </c>
    </row>
    <row r="107" customFormat="false" ht="15" hidden="false" customHeight="true" outlineLevel="0" collapsed="false">
      <c r="A107" s="11" t="str">
        <f aca="false">IF(B107&lt;&gt;"",COUNTA($B$4:B107),"")</f>
        <v/>
      </c>
      <c r="B107" s="20"/>
      <c r="C107" s="20"/>
      <c r="D107" s="20"/>
      <c r="E107" s="20"/>
      <c r="F107" s="20"/>
      <c r="G107" s="20"/>
      <c r="H107" s="20"/>
      <c r="I107" s="21"/>
      <c r="J107" s="20"/>
      <c r="K107" s="14" t="str">
        <f aca="false">IF(AND(I107&lt;&gt;"",H107&lt;&gt;"",J107&lt;&gt;""),IF(J107="W",I107*H107,IF(J107="L",-I107,IF(J107="P",I107*H107*0.5,""))),"")</f>
        <v/>
      </c>
      <c r="L107" s="15" t="str">
        <f aca="false">IF(AND(K107&lt;&gt;"",P106&lt;&gt;""),K107/P106,IF(K107&lt;&gt;"",K107/$D$2,""))</f>
        <v/>
      </c>
      <c r="M107" s="20"/>
      <c r="N107" s="20"/>
      <c r="O107" s="20"/>
      <c r="P107" s="16" t="str">
        <f aca="false">IF(K107&lt;&gt;"",P106+K107,IF(B107&lt;&gt;"",P106,""))</f>
        <v/>
      </c>
      <c r="Q107" s="17" t="str">
        <f aca="false">IF(P107&lt;&gt;"",MIN(0,P107-MAX($P$4:P107)),"")</f>
        <v/>
      </c>
    </row>
    <row r="108" customFormat="false" ht="15" hidden="false" customHeight="true" outlineLevel="0" collapsed="false">
      <c r="A108" s="11" t="str">
        <f aca="false">IF(B108&lt;&gt;"",COUNTA($B$4:B108),"")</f>
        <v/>
      </c>
      <c r="B108" s="12"/>
      <c r="C108" s="12"/>
      <c r="D108" s="12"/>
      <c r="E108" s="12"/>
      <c r="F108" s="12"/>
      <c r="G108" s="12"/>
      <c r="H108" s="12"/>
      <c r="I108" s="13"/>
      <c r="J108" s="12"/>
      <c r="K108" s="14" t="str">
        <f aca="false">IF(AND(I108&lt;&gt;"",H108&lt;&gt;"",J108&lt;&gt;""),IF(J108="W",I108*H108,IF(J108="L",-I108,IF(J108="P",I108*H108*0.5,""))),"")</f>
        <v/>
      </c>
      <c r="L108" s="15" t="str">
        <f aca="false">IF(AND(K108&lt;&gt;"",P107&lt;&gt;""),K108/P107,IF(K108&lt;&gt;"",K108/$D$2,""))</f>
        <v/>
      </c>
      <c r="M108" s="12"/>
      <c r="N108" s="12"/>
      <c r="O108" s="12"/>
      <c r="P108" s="16" t="str">
        <f aca="false">IF(K108&lt;&gt;"",P107+K108,IF(B108&lt;&gt;"",P107,""))</f>
        <v/>
      </c>
      <c r="Q108" s="17" t="str">
        <f aca="false">IF(P108&lt;&gt;"",MIN(0,P108-MAX($P$4:P108)),"")</f>
        <v/>
      </c>
    </row>
    <row r="109" customFormat="false" ht="15" hidden="false" customHeight="true" outlineLevel="0" collapsed="false">
      <c r="A109" s="11" t="str">
        <f aca="false">IF(B109&lt;&gt;"",COUNTA($B$4:B109),"")</f>
        <v/>
      </c>
      <c r="B109" s="20"/>
      <c r="C109" s="20"/>
      <c r="D109" s="20"/>
      <c r="E109" s="20"/>
      <c r="F109" s="20"/>
      <c r="G109" s="20"/>
      <c r="H109" s="20"/>
      <c r="I109" s="21"/>
      <c r="J109" s="20"/>
      <c r="K109" s="14" t="str">
        <f aca="false">IF(AND(I109&lt;&gt;"",H109&lt;&gt;"",J109&lt;&gt;""),IF(J109="W",I109*H109,IF(J109="L",-I109,IF(J109="P",I109*H109*0.5,""))),"")</f>
        <v/>
      </c>
      <c r="L109" s="15" t="str">
        <f aca="false">IF(AND(K109&lt;&gt;"",P108&lt;&gt;""),K109/P108,IF(K109&lt;&gt;"",K109/$D$2,""))</f>
        <v/>
      </c>
      <c r="M109" s="20"/>
      <c r="N109" s="20"/>
      <c r="O109" s="20"/>
      <c r="P109" s="16" t="str">
        <f aca="false">IF(K109&lt;&gt;"",P108+K109,IF(B109&lt;&gt;"",P108,""))</f>
        <v/>
      </c>
      <c r="Q109" s="17" t="str">
        <f aca="false">IF(P109&lt;&gt;"",MIN(0,P109-MAX($P$4:P109)),"")</f>
        <v/>
      </c>
    </row>
    <row r="110" customFormat="false" ht="15" hidden="false" customHeight="true" outlineLevel="0" collapsed="false">
      <c r="A110" s="11" t="str">
        <f aca="false">IF(B110&lt;&gt;"",COUNTA($B$4:B110),"")</f>
        <v/>
      </c>
      <c r="B110" s="12"/>
      <c r="C110" s="12"/>
      <c r="D110" s="12"/>
      <c r="E110" s="12"/>
      <c r="F110" s="12"/>
      <c r="G110" s="12"/>
      <c r="H110" s="12"/>
      <c r="I110" s="13"/>
      <c r="J110" s="12"/>
      <c r="K110" s="14" t="str">
        <f aca="false">IF(AND(I110&lt;&gt;"",H110&lt;&gt;"",J110&lt;&gt;""),IF(J110="W",I110*H110,IF(J110="L",-I110,IF(J110="P",I110*H110*0.5,""))),"")</f>
        <v/>
      </c>
      <c r="L110" s="15" t="str">
        <f aca="false">IF(AND(K110&lt;&gt;"",P109&lt;&gt;""),K110/P109,IF(K110&lt;&gt;"",K110/$D$2,""))</f>
        <v/>
      </c>
      <c r="M110" s="12"/>
      <c r="N110" s="12"/>
      <c r="O110" s="12"/>
      <c r="P110" s="16" t="str">
        <f aca="false">IF(K110&lt;&gt;"",P109+K110,IF(B110&lt;&gt;"",P109,""))</f>
        <v/>
      </c>
      <c r="Q110" s="17" t="str">
        <f aca="false">IF(P110&lt;&gt;"",MIN(0,P110-MAX($P$4:P110)),"")</f>
        <v/>
      </c>
    </row>
    <row r="111" customFormat="false" ht="15" hidden="false" customHeight="true" outlineLevel="0" collapsed="false">
      <c r="A111" s="11" t="str">
        <f aca="false">IF(B111&lt;&gt;"",COUNTA($B$4:B111),"")</f>
        <v/>
      </c>
      <c r="B111" s="20"/>
      <c r="C111" s="20"/>
      <c r="D111" s="20"/>
      <c r="E111" s="20"/>
      <c r="F111" s="20"/>
      <c r="G111" s="20"/>
      <c r="H111" s="20"/>
      <c r="I111" s="21"/>
      <c r="J111" s="20"/>
      <c r="K111" s="14" t="str">
        <f aca="false">IF(AND(I111&lt;&gt;"",H111&lt;&gt;"",J111&lt;&gt;""),IF(J111="W",I111*H111,IF(J111="L",-I111,IF(J111="P",I111*H111*0.5,""))),"")</f>
        <v/>
      </c>
      <c r="L111" s="15" t="str">
        <f aca="false">IF(AND(K111&lt;&gt;"",P110&lt;&gt;""),K111/P110,IF(K111&lt;&gt;"",K111/$D$2,""))</f>
        <v/>
      </c>
      <c r="M111" s="20"/>
      <c r="N111" s="20"/>
      <c r="O111" s="20"/>
      <c r="P111" s="16" t="str">
        <f aca="false">IF(K111&lt;&gt;"",P110+K111,IF(B111&lt;&gt;"",P110,""))</f>
        <v/>
      </c>
      <c r="Q111" s="17" t="str">
        <f aca="false">IF(P111&lt;&gt;"",MIN(0,P111-MAX($P$4:P111)),"")</f>
        <v/>
      </c>
    </row>
    <row r="112" customFormat="false" ht="15" hidden="false" customHeight="true" outlineLevel="0" collapsed="false">
      <c r="A112" s="11" t="str">
        <f aca="false">IF(B112&lt;&gt;"",COUNTA($B$4:B112),"")</f>
        <v/>
      </c>
      <c r="B112" s="12"/>
      <c r="C112" s="12"/>
      <c r="D112" s="12"/>
      <c r="E112" s="12"/>
      <c r="F112" s="12"/>
      <c r="G112" s="12"/>
      <c r="H112" s="12"/>
      <c r="I112" s="13"/>
      <c r="J112" s="12"/>
      <c r="K112" s="14" t="str">
        <f aca="false">IF(AND(I112&lt;&gt;"",H112&lt;&gt;"",J112&lt;&gt;""),IF(J112="W",I112*H112,IF(J112="L",-I112,IF(J112="P",I112*H112*0.5,""))),"")</f>
        <v/>
      </c>
      <c r="L112" s="15" t="str">
        <f aca="false">IF(AND(K112&lt;&gt;"",P111&lt;&gt;""),K112/P111,IF(K112&lt;&gt;"",K112/$D$2,""))</f>
        <v/>
      </c>
      <c r="M112" s="12"/>
      <c r="N112" s="12"/>
      <c r="O112" s="12"/>
      <c r="P112" s="16" t="str">
        <f aca="false">IF(K112&lt;&gt;"",P111+K112,IF(B112&lt;&gt;"",P111,""))</f>
        <v/>
      </c>
      <c r="Q112" s="17" t="str">
        <f aca="false">IF(P112&lt;&gt;"",MIN(0,P112-MAX($P$4:P112)),"")</f>
        <v/>
      </c>
    </row>
    <row r="113" customFormat="false" ht="15" hidden="false" customHeight="true" outlineLevel="0" collapsed="false">
      <c r="A113" s="11" t="str">
        <f aca="false">IF(B113&lt;&gt;"",COUNTA($B$4:B113),"")</f>
        <v/>
      </c>
      <c r="B113" s="20"/>
      <c r="C113" s="20"/>
      <c r="D113" s="20"/>
      <c r="E113" s="20"/>
      <c r="F113" s="20"/>
      <c r="G113" s="20"/>
      <c r="H113" s="20"/>
      <c r="I113" s="21"/>
      <c r="J113" s="20"/>
      <c r="K113" s="14" t="str">
        <f aca="false">IF(AND(I113&lt;&gt;"",H113&lt;&gt;"",J113&lt;&gt;""),IF(J113="W",I113*H113,IF(J113="L",-I113,IF(J113="P",I113*H113*0.5,""))),"")</f>
        <v/>
      </c>
      <c r="L113" s="15" t="str">
        <f aca="false">IF(AND(K113&lt;&gt;"",P112&lt;&gt;""),K113/P112,IF(K113&lt;&gt;"",K113/$D$2,""))</f>
        <v/>
      </c>
      <c r="M113" s="20"/>
      <c r="N113" s="20"/>
      <c r="O113" s="20"/>
      <c r="P113" s="16" t="str">
        <f aca="false">IF(K113&lt;&gt;"",P112+K113,IF(B113&lt;&gt;"",P112,""))</f>
        <v/>
      </c>
      <c r="Q113" s="17" t="str">
        <f aca="false">IF(P113&lt;&gt;"",MIN(0,P113-MAX($P$4:P113)),"")</f>
        <v/>
      </c>
    </row>
    <row r="114" customFormat="false" ht="15" hidden="false" customHeight="true" outlineLevel="0" collapsed="false">
      <c r="A114" s="11" t="str">
        <f aca="false">IF(B114&lt;&gt;"",COUNTA($B$4:B114),"")</f>
        <v/>
      </c>
      <c r="B114" s="12"/>
      <c r="C114" s="12"/>
      <c r="D114" s="12"/>
      <c r="E114" s="12"/>
      <c r="F114" s="12"/>
      <c r="G114" s="12"/>
      <c r="H114" s="12"/>
      <c r="I114" s="13"/>
      <c r="J114" s="12"/>
      <c r="K114" s="14" t="str">
        <f aca="false">IF(AND(I114&lt;&gt;"",H114&lt;&gt;"",J114&lt;&gt;""),IF(J114="W",I114*H114,IF(J114="L",-I114,IF(J114="P",I114*H114*0.5,""))),"")</f>
        <v/>
      </c>
      <c r="L114" s="15" t="str">
        <f aca="false">IF(AND(K114&lt;&gt;"",P113&lt;&gt;""),K114/P113,IF(K114&lt;&gt;"",K114/$D$2,""))</f>
        <v/>
      </c>
      <c r="M114" s="12"/>
      <c r="N114" s="12"/>
      <c r="O114" s="12"/>
      <c r="P114" s="16" t="str">
        <f aca="false">IF(K114&lt;&gt;"",P113+K114,IF(B114&lt;&gt;"",P113,""))</f>
        <v/>
      </c>
      <c r="Q114" s="17" t="str">
        <f aca="false">IF(P114&lt;&gt;"",MIN(0,P114-MAX($P$4:P114)),"")</f>
        <v/>
      </c>
    </row>
    <row r="115" customFormat="false" ht="15" hidden="false" customHeight="true" outlineLevel="0" collapsed="false">
      <c r="A115" s="11" t="str">
        <f aca="false">IF(B115&lt;&gt;"",COUNTA($B$4:B115),"")</f>
        <v/>
      </c>
      <c r="B115" s="20"/>
      <c r="C115" s="20"/>
      <c r="D115" s="20"/>
      <c r="E115" s="20"/>
      <c r="F115" s="20"/>
      <c r="G115" s="20"/>
      <c r="H115" s="20"/>
      <c r="I115" s="21"/>
      <c r="J115" s="20"/>
      <c r="K115" s="14" t="str">
        <f aca="false">IF(AND(I115&lt;&gt;"",H115&lt;&gt;"",J115&lt;&gt;""),IF(J115="W",I115*H115,IF(J115="L",-I115,IF(J115="P",I115*H115*0.5,""))),"")</f>
        <v/>
      </c>
      <c r="L115" s="15" t="str">
        <f aca="false">IF(AND(K115&lt;&gt;"",P114&lt;&gt;""),K115/P114,IF(K115&lt;&gt;"",K115/$D$2,""))</f>
        <v/>
      </c>
      <c r="M115" s="20"/>
      <c r="N115" s="20"/>
      <c r="O115" s="20"/>
      <c r="P115" s="16" t="str">
        <f aca="false">IF(K115&lt;&gt;"",P114+K115,IF(B115&lt;&gt;"",P114,""))</f>
        <v/>
      </c>
      <c r="Q115" s="17" t="str">
        <f aca="false">IF(P115&lt;&gt;"",MIN(0,P115-MAX($P$4:P115)),"")</f>
        <v/>
      </c>
    </row>
    <row r="116" customFormat="false" ht="15" hidden="false" customHeight="true" outlineLevel="0" collapsed="false">
      <c r="A116" s="11" t="str">
        <f aca="false">IF(B116&lt;&gt;"",COUNTA($B$4:B116),"")</f>
        <v/>
      </c>
      <c r="B116" s="12"/>
      <c r="C116" s="12"/>
      <c r="D116" s="12"/>
      <c r="E116" s="12"/>
      <c r="F116" s="12"/>
      <c r="G116" s="12"/>
      <c r="H116" s="12"/>
      <c r="I116" s="13"/>
      <c r="J116" s="12"/>
      <c r="K116" s="14" t="str">
        <f aca="false">IF(AND(I116&lt;&gt;"",H116&lt;&gt;"",J116&lt;&gt;""),IF(J116="W",I116*H116,IF(J116="L",-I116,IF(J116="P",I116*H116*0.5,""))),"")</f>
        <v/>
      </c>
      <c r="L116" s="15" t="str">
        <f aca="false">IF(AND(K116&lt;&gt;"",P115&lt;&gt;""),K116/P115,IF(K116&lt;&gt;"",K116/$D$2,""))</f>
        <v/>
      </c>
      <c r="M116" s="12"/>
      <c r="N116" s="12"/>
      <c r="O116" s="12"/>
      <c r="P116" s="16" t="str">
        <f aca="false">IF(K116&lt;&gt;"",P115+K116,IF(B116&lt;&gt;"",P115,""))</f>
        <v/>
      </c>
      <c r="Q116" s="17" t="str">
        <f aca="false">IF(P116&lt;&gt;"",MIN(0,P116-MAX($P$4:P116)),"")</f>
        <v/>
      </c>
    </row>
    <row r="117" customFormat="false" ht="15" hidden="false" customHeight="true" outlineLevel="0" collapsed="false">
      <c r="A117" s="11" t="str">
        <f aca="false">IF(B117&lt;&gt;"",COUNTA($B$4:B117),"")</f>
        <v/>
      </c>
      <c r="B117" s="20"/>
      <c r="C117" s="20"/>
      <c r="D117" s="20"/>
      <c r="E117" s="20"/>
      <c r="F117" s="20"/>
      <c r="G117" s="20"/>
      <c r="H117" s="20"/>
      <c r="I117" s="21"/>
      <c r="J117" s="20"/>
      <c r="K117" s="14" t="str">
        <f aca="false">IF(AND(I117&lt;&gt;"",H117&lt;&gt;"",J117&lt;&gt;""),IF(J117="W",I117*H117,IF(J117="L",-I117,IF(J117="P",I117*H117*0.5,""))),"")</f>
        <v/>
      </c>
      <c r="L117" s="15" t="str">
        <f aca="false">IF(AND(K117&lt;&gt;"",P116&lt;&gt;""),K117/P116,IF(K117&lt;&gt;"",K117/$D$2,""))</f>
        <v/>
      </c>
      <c r="M117" s="20"/>
      <c r="N117" s="20"/>
      <c r="O117" s="20"/>
      <c r="P117" s="16" t="str">
        <f aca="false">IF(K117&lt;&gt;"",P116+K117,IF(B117&lt;&gt;"",P116,""))</f>
        <v/>
      </c>
      <c r="Q117" s="17" t="str">
        <f aca="false">IF(P117&lt;&gt;"",MIN(0,P117-MAX($P$4:P117)),"")</f>
        <v/>
      </c>
    </row>
    <row r="118" customFormat="false" ht="15" hidden="false" customHeight="true" outlineLevel="0" collapsed="false">
      <c r="A118" s="11" t="str">
        <f aca="false">IF(B118&lt;&gt;"",COUNTA($B$4:B118),"")</f>
        <v/>
      </c>
      <c r="B118" s="12"/>
      <c r="C118" s="12"/>
      <c r="D118" s="12"/>
      <c r="E118" s="12"/>
      <c r="F118" s="12"/>
      <c r="G118" s="12"/>
      <c r="H118" s="12"/>
      <c r="I118" s="13"/>
      <c r="J118" s="12"/>
      <c r="K118" s="14" t="str">
        <f aca="false">IF(AND(I118&lt;&gt;"",H118&lt;&gt;"",J118&lt;&gt;""),IF(J118="W",I118*H118,IF(J118="L",-I118,IF(J118="P",I118*H118*0.5,""))),"")</f>
        <v/>
      </c>
      <c r="L118" s="15" t="str">
        <f aca="false">IF(AND(K118&lt;&gt;"",P117&lt;&gt;""),K118/P117,IF(K118&lt;&gt;"",K118/$D$2,""))</f>
        <v/>
      </c>
      <c r="M118" s="12"/>
      <c r="N118" s="12"/>
      <c r="O118" s="12"/>
      <c r="P118" s="16" t="str">
        <f aca="false">IF(K118&lt;&gt;"",P117+K118,IF(B118&lt;&gt;"",P117,""))</f>
        <v/>
      </c>
      <c r="Q118" s="17" t="str">
        <f aca="false">IF(P118&lt;&gt;"",MIN(0,P118-MAX($P$4:P118)),"")</f>
        <v/>
      </c>
    </row>
    <row r="119" customFormat="false" ht="15" hidden="false" customHeight="true" outlineLevel="0" collapsed="false">
      <c r="A119" s="11" t="str">
        <f aca="false">IF(B119&lt;&gt;"",COUNTA($B$4:B119),"")</f>
        <v/>
      </c>
      <c r="B119" s="20"/>
      <c r="C119" s="20"/>
      <c r="D119" s="20"/>
      <c r="E119" s="20"/>
      <c r="F119" s="20"/>
      <c r="G119" s="20"/>
      <c r="H119" s="20"/>
      <c r="I119" s="21"/>
      <c r="J119" s="20"/>
      <c r="K119" s="14" t="str">
        <f aca="false">IF(AND(I119&lt;&gt;"",H119&lt;&gt;"",J119&lt;&gt;""),IF(J119="W",I119*H119,IF(J119="L",-I119,IF(J119="P",I119*H119*0.5,""))),"")</f>
        <v/>
      </c>
      <c r="L119" s="15" t="str">
        <f aca="false">IF(AND(K119&lt;&gt;"",P118&lt;&gt;""),K119/P118,IF(K119&lt;&gt;"",K119/$D$2,""))</f>
        <v/>
      </c>
      <c r="M119" s="20"/>
      <c r="N119" s="20"/>
      <c r="O119" s="20"/>
      <c r="P119" s="16" t="str">
        <f aca="false">IF(K119&lt;&gt;"",P118+K119,IF(B119&lt;&gt;"",P118,""))</f>
        <v/>
      </c>
      <c r="Q119" s="17" t="str">
        <f aca="false">IF(P119&lt;&gt;"",MIN(0,P119-MAX($P$4:P119)),"")</f>
        <v/>
      </c>
    </row>
    <row r="120" customFormat="false" ht="15" hidden="false" customHeight="true" outlineLevel="0" collapsed="false">
      <c r="A120" s="11" t="str">
        <f aca="false">IF(B120&lt;&gt;"",COUNTA($B$4:B120),"")</f>
        <v/>
      </c>
      <c r="B120" s="12"/>
      <c r="C120" s="12"/>
      <c r="D120" s="12"/>
      <c r="E120" s="12"/>
      <c r="F120" s="12"/>
      <c r="G120" s="12"/>
      <c r="H120" s="12"/>
      <c r="I120" s="13"/>
      <c r="J120" s="12"/>
      <c r="K120" s="14" t="str">
        <f aca="false">IF(AND(I120&lt;&gt;"",H120&lt;&gt;"",J120&lt;&gt;""),IF(J120="W",I120*H120,IF(J120="L",-I120,IF(J120="P",I120*H120*0.5,""))),"")</f>
        <v/>
      </c>
      <c r="L120" s="15" t="str">
        <f aca="false">IF(AND(K120&lt;&gt;"",P119&lt;&gt;""),K120/P119,IF(K120&lt;&gt;"",K120/$D$2,""))</f>
        <v/>
      </c>
      <c r="M120" s="12"/>
      <c r="N120" s="12"/>
      <c r="O120" s="12"/>
      <c r="P120" s="16" t="str">
        <f aca="false">IF(K120&lt;&gt;"",P119+K120,IF(B120&lt;&gt;"",P119,""))</f>
        <v/>
      </c>
      <c r="Q120" s="17" t="str">
        <f aca="false">IF(P120&lt;&gt;"",MIN(0,P120-MAX($P$4:P120)),"")</f>
        <v/>
      </c>
    </row>
    <row r="121" customFormat="false" ht="15" hidden="false" customHeight="true" outlineLevel="0" collapsed="false">
      <c r="A121" s="11" t="str">
        <f aca="false">IF(B121&lt;&gt;"",COUNTA($B$4:B121),"")</f>
        <v/>
      </c>
      <c r="B121" s="20"/>
      <c r="C121" s="20"/>
      <c r="D121" s="20"/>
      <c r="E121" s="20"/>
      <c r="F121" s="20"/>
      <c r="G121" s="20"/>
      <c r="H121" s="20"/>
      <c r="I121" s="21"/>
      <c r="J121" s="20"/>
      <c r="K121" s="14" t="str">
        <f aca="false">IF(AND(I121&lt;&gt;"",H121&lt;&gt;"",J121&lt;&gt;""),IF(J121="W",I121*H121,IF(J121="L",-I121,IF(J121="P",I121*H121*0.5,""))),"")</f>
        <v/>
      </c>
      <c r="L121" s="15" t="str">
        <f aca="false">IF(AND(K121&lt;&gt;"",P120&lt;&gt;""),K121/P120,IF(K121&lt;&gt;"",K121/$D$2,""))</f>
        <v/>
      </c>
      <c r="M121" s="20"/>
      <c r="N121" s="20"/>
      <c r="O121" s="20"/>
      <c r="P121" s="16" t="str">
        <f aca="false">IF(K121&lt;&gt;"",P120+K121,IF(B121&lt;&gt;"",P120,""))</f>
        <v/>
      </c>
      <c r="Q121" s="17" t="str">
        <f aca="false">IF(P121&lt;&gt;"",MIN(0,P121-MAX($P$4:P121)),"")</f>
        <v/>
      </c>
    </row>
    <row r="122" customFormat="false" ht="15" hidden="false" customHeight="true" outlineLevel="0" collapsed="false">
      <c r="A122" s="11" t="str">
        <f aca="false">IF(B122&lt;&gt;"",COUNTA($B$4:B122),"")</f>
        <v/>
      </c>
      <c r="B122" s="12"/>
      <c r="C122" s="12"/>
      <c r="D122" s="12"/>
      <c r="E122" s="12"/>
      <c r="F122" s="12"/>
      <c r="G122" s="12"/>
      <c r="H122" s="12"/>
      <c r="I122" s="13"/>
      <c r="J122" s="12"/>
      <c r="K122" s="14" t="str">
        <f aca="false">IF(AND(I122&lt;&gt;"",H122&lt;&gt;"",J122&lt;&gt;""),IF(J122="W",I122*H122,IF(J122="L",-I122,IF(J122="P",I122*H122*0.5,""))),"")</f>
        <v/>
      </c>
      <c r="L122" s="15" t="str">
        <f aca="false">IF(AND(K122&lt;&gt;"",P121&lt;&gt;""),K122/P121,IF(K122&lt;&gt;"",K122/$D$2,""))</f>
        <v/>
      </c>
      <c r="M122" s="12"/>
      <c r="N122" s="12"/>
      <c r="O122" s="12"/>
      <c r="P122" s="16" t="str">
        <f aca="false">IF(K122&lt;&gt;"",P121+K122,IF(B122&lt;&gt;"",P121,""))</f>
        <v/>
      </c>
      <c r="Q122" s="17" t="str">
        <f aca="false">IF(P122&lt;&gt;"",MIN(0,P122-MAX($P$4:P122)),"")</f>
        <v/>
      </c>
    </row>
    <row r="123" customFormat="false" ht="15" hidden="false" customHeight="true" outlineLevel="0" collapsed="false">
      <c r="A123" s="11" t="str">
        <f aca="false">IF(B123&lt;&gt;"",COUNTA($B$4:B123),"")</f>
        <v/>
      </c>
      <c r="B123" s="20"/>
      <c r="C123" s="20"/>
      <c r="D123" s="20"/>
      <c r="E123" s="20"/>
      <c r="F123" s="20"/>
      <c r="G123" s="20"/>
      <c r="H123" s="20"/>
      <c r="I123" s="21"/>
      <c r="J123" s="20"/>
      <c r="K123" s="14" t="str">
        <f aca="false">IF(AND(I123&lt;&gt;"",H123&lt;&gt;"",J123&lt;&gt;""),IF(J123="W",I123*H123,IF(J123="L",-I123,IF(J123="P",I123*H123*0.5,""))),"")</f>
        <v/>
      </c>
      <c r="L123" s="15" t="str">
        <f aca="false">IF(AND(K123&lt;&gt;"",P122&lt;&gt;""),K123/P122,IF(K123&lt;&gt;"",K123/$D$2,""))</f>
        <v/>
      </c>
      <c r="M123" s="20"/>
      <c r="N123" s="20"/>
      <c r="O123" s="20"/>
      <c r="P123" s="16" t="str">
        <f aca="false">IF(K123&lt;&gt;"",P122+K123,IF(B123&lt;&gt;"",P122,""))</f>
        <v/>
      </c>
      <c r="Q123" s="17" t="str">
        <f aca="false">IF(P123&lt;&gt;"",MIN(0,P123-MAX($P$4:P123)),"")</f>
        <v/>
      </c>
    </row>
    <row r="124" customFormat="false" ht="15" hidden="false" customHeight="true" outlineLevel="0" collapsed="false">
      <c r="A124" s="11" t="str">
        <f aca="false">IF(B124&lt;&gt;"",COUNTA($B$4:B124),"")</f>
        <v/>
      </c>
      <c r="B124" s="12"/>
      <c r="C124" s="12"/>
      <c r="D124" s="12"/>
      <c r="E124" s="12"/>
      <c r="F124" s="12"/>
      <c r="G124" s="12"/>
      <c r="H124" s="12"/>
      <c r="I124" s="13"/>
      <c r="J124" s="12"/>
      <c r="K124" s="14" t="str">
        <f aca="false">IF(AND(I124&lt;&gt;"",H124&lt;&gt;"",J124&lt;&gt;""),IF(J124="W",I124*H124,IF(J124="L",-I124,IF(J124="P",I124*H124*0.5,""))),"")</f>
        <v/>
      </c>
      <c r="L124" s="15" t="str">
        <f aca="false">IF(AND(K124&lt;&gt;"",P123&lt;&gt;""),K124/P123,IF(K124&lt;&gt;"",K124/$D$2,""))</f>
        <v/>
      </c>
      <c r="M124" s="12"/>
      <c r="N124" s="12"/>
      <c r="O124" s="12"/>
      <c r="P124" s="16" t="str">
        <f aca="false">IF(K124&lt;&gt;"",P123+K124,IF(B124&lt;&gt;"",P123,""))</f>
        <v/>
      </c>
      <c r="Q124" s="17" t="str">
        <f aca="false">IF(P124&lt;&gt;"",MIN(0,P124-MAX($P$4:P124)),"")</f>
        <v/>
      </c>
    </row>
    <row r="125" customFormat="false" ht="15" hidden="false" customHeight="true" outlineLevel="0" collapsed="false">
      <c r="A125" s="11" t="str">
        <f aca="false">IF(B125&lt;&gt;"",COUNTA($B$4:B125),"")</f>
        <v/>
      </c>
      <c r="B125" s="20"/>
      <c r="C125" s="20"/>
      <c r="D125" s="20"/>
      <c r="E125" s="20"/>
      <c r="F125" s="20"/>
      <c r="G125" s="20"/>
      <c r="H125" s="20"/>
      <c r="I125" s="21"/>
      <c r="J125" s="20"/>
      <c r="K125" s="14" t="str">
        <f aca="false">IF(AND(I125&lt;&gt;"",H125&lt;&gt;"",J125&lt;&gt;""),IF(J125="W",I125*H125,IF(J125="L",-I125,IF(J125="P",I125*H125*0.5,""))),"")</f>
        <v/>
      </c>
      <c r="L125" s="15" t="str">
        <f aca="false">IF(AND(K125&lt;&gt;"",P124&lt;&gt;""),K125/P124,IF(K125&lt;&gt;"",K125/$D$2,""))</f>
        <v/>
      </c>
      <c r="M125" s="20"/>
      <c r="N125" s="20"/>
      <c r="O125" s="20"/>
      <c r="P125" s="16" t="str">
        <f aca="false">IF(K125&lt;&gt;"",P124+K125,IF(B125&lt;&gt;"",P124,""))</f>
        <v/>
      </c>
      <c r="Q125" s="17" t="str">
        <f aca="false">IF(P125&lt;&gt;"",MIN(0,P125-MAX($P$4:P125)),"")</f>
        <v/>
      </c>
    </row>
    <row r="126" customFormat="false" ht="15" hidden="false" customHeight="true" outlineLevel="0" collapsed="false">
      <c r="A126" s="11" t="str">
        <f aca="false">IF(B126&lt;&gt;"",COUNTA($B$4:B126),"")</f>
        <v/>
      </c>
      <c r="B126" s="12"/>
      <c r="C126" s="12"/>
      <c r="D126" s="12"/>
      <c r="E126" s="12"/>
      <c r="F126" s="12"/>
      <c r="G126" s="12"/>
      <c r="H126" s="12"/>
      <c r="I126" s="13"/>
      <c r="J126" s="12"/>
      <c r="K126" s="14" t="str">
        <f aca="false">IF(AND(I126&lt;&gt;"",H126&lt;&gt;"",J126&lt;&gt;""),IF(J126="W",I126*H126,IF(J126="L",-I126,IF(J126="P",I126*H126*0.5,""))),"")</f>
        <v/>
      </c>
      <c r="L126" s="15" t="str">
        <f aca="false">IF(AND(K126&lt;&gt;"",P125&lt;&gt;""),K126/P125,IF(K126&lt;&gt;"",K126/$D$2,""))</f>
        <v/>
      </c>
      <c r="M126" s="12"/>
      <c r="N126" s="12"/>
      <c r="O126" s="12"/>
      <c r="P126" s="16" t="str">
        <f aca="false">IF(K126&lt;&gt;"",P125+K126,IF(B126&lt;&gt;"",P125,""))</f>
        <v/>
      </c>
      <c r="Q126" s="17" t="str">
        <f aca="false">IF(P126&lt;&gt;"",MIN(0,P126-MAX($P$4:P126)),"")</f>
        <v/>
      </c>
    </row>
    <row r="127" customFormat="false" ht="15" hidden="false" customHeight="true" outlineLevel="0" collapsed="false">
      <c r="A127" s="11" t="str">
        <f aca="false">IF(B127&lt;&gt;"",COUNTA($B$4:B127),"")</f>
        <v/>
      </c>
      <c r="B127" s="20"/>
      <c r="C127" s="20"/>
      <c r="D127" s="20"/>
      <c r="E127" s="20"/>
      <c r="F127" s="20"/>
      <c r="G127" s="20"/>
      <c r="H127" s="20"/>
      <c r="I127" s="21"/>
      <c r="J127" s="20"/>
      <c r="K127" s="14" t="str">
        <f aca="false">IF(AND(I127&lt;&gt;"",H127&lt;&gt;"",J127&lt;&gt;""),IF(J127="W",I127*H127,IF(J127="L",-I127,IF(J127="P",I127*H127*0.5,""))),"")</f>
        <v/>
      </c>
      <c r="L127" s="15" t="str">
        <f aca="false">IF(AND(K127&lt;&gt;"",P126&lt;&gt;""),K127/P126,IF(K127&lt;&gt;"",K127/$D$2,""))</f>
        <v/>
      </c>
      <c r="M127" s="20"/>
      <c r="N127" s="20"/>
      <c r="O127" s="20"/>
      <c r="P127" s="16" t="str">
        <f aca="false">IF(K127&lt;&gt;"",P126+K127,IF(B127&lt;&gt;"",P126,""))</f>
        <v/>
      </c>
      <c r="Q127" s="17" t="str">
        <f aca="false">IF(P127&lt;&gt;"",MIN(0,P127-MAX($P$4:P127)),"")</f>
        <v/>
      </c>
    </row>
    <row r="128" customFormat="false" ht="15" hidden="false" customHeight="true" outlineLevel="0" collapsed="false">
      <c r="A128" s="11" t="str">
        <f aca="false">IF(B128&lt;&gt;"",COUNTA($B$4:B128),"")</f>
        <v/>
      </c>
      <c r="B128" s="12"/>
      <c r="C128" s="12"/>
      <c r="D128" s="12"/>
      <c r="E128" s="12"/>
      <c r="F128" s="12"/>
      <c r="G128" s="12"/>
      <c r="H128" s="12"/>
      <c r="I128" s="13"/>
      <c r="J128" s="12"/>
      <c r="K128" s="14" t="str">
        <f aca="false">IF(AND(I128&lt;&gt;"",H128&lt;&gt;"",J128&lt;&gt;""),IF(J128="W",I128*H128,IF(J128="L",-I128,IF(J128="P",I128*H128*0.5,""))),"")</f>
        <v/>
      </c>
      <c r="L128" s="15" t="str">
        <f aca="false">IF(AND(K128&lt;&gt;"",P127&lt;&gt;""),K128/P127,IF(K128&lt;&gt;"",K128/$D$2,""))</f>
        <v/>
      </c>
      <c r="M128" s="12"/>
      <c r="N128" s="12"/>
      <c r="O128" s="12"/>
      <c r="P128" s="16" t="str">
        <f aca="false">IF(K128&lt;&gt;"",P127+K128,IF(B128&lt;&gt;"",P127,""))</f>
        <v/>
      </c>
      <c r="Q128" s="17" t="str">
        <f aca="false">IF(P128&lt;&gt;"",MIN(0,P128-MAX($P$4:P128)),"")</f>
        <v/>
      </c>
    </row>
    <row r="129" customFormat="false" ht="15" hidden="false" customHeight="true" outlineLevel="0" collapsed="false">
      <c r="A129" s="11" t="str">
        <f aca="false">IF(B129&lt;&gt;"",COUNTA($B$4:B129),"")</f>
        <v/>
      </c>
      <c r="B129" s="20"/>
      <c r="C129" s="20"/>
      <c r="D129" s="20"/>
      <c r="E129" s="20"/>
      <c r="F129" s="20"/>
      <c r="G129" s="20"/>
      <c r="H129" s="20"/>
      <c r="I129" s="21"/>
      <c r="J129" s="20"/>
      <c r="K129" s="14" t="str">
        <f aca="false">IF(AND(I129&lt;&gt;"",H129&lt;&gt;"",J129&lt;&gt;""),IF(J129="W",I129*H129,IF(J129="L",-I129,IF(J129="P",I129*H129*0.5,""))),"")</f>
        <v/>
      </c>
      <c r="L129" s="15" t="str">
        <f aca="false">IF(AND(K129&lt;&gt;"",P128&lt;&gt;""),K129/P128,IF(K129&lt;&gt;"",K129/$D$2,""))</f>
        <v/>
      </c>
      <c r="M129" s="20"/>
      <c r="N129" s="20"/>
      <c r="O129" s="20"/>
      <c r="P129" s="16" t="str">
        <f aca="false">IF(K129&lt;&gt;"",P128+K129,IF(B129&lt;&gt;"",P128,""))</f>
        <v/>
      </c>
      <c r="Q129" s="17" t="str">
        <f aca="false">IF(P129&lt;&gt;"",MIN(0,P129-MAX($P$4:P129)),"")</f>
        <v/>
      </c>
    </row>
    <row r="130" customFormat="false" ht="15" hidden="false" customHeight="true" outlineLevel="0" collapsed="false">
      <c r="A130" s="11" t="str">
        <f aca="false">IF(B130&lt;&gt;"",COUNTA($B$4:B130),"")</f>
        <v/>
      </c>
      <c r="B130" s="12"/>
      <c r="C130" s="12"/>
      <c r="D130" s="12"/>
      <c r="E130" s="12"/>
      <c r="F130" s="12"/>
      <c r="G130" s="12"/>
      <c r="H130" s="12"/>
      <c r="I130" s="13"/>
      <c r="J130" s="12"/>
      <c r="K130" s="14" t="str">
        <f aca="false">IF(AND(I130&lt;&gt;"",H130&lt;&gt;"",J130&lt;&gt;""),IF(J130="W",I130*H130,IF(J130="L",-I130,IF(J130="P",I130*H130*0.5,""))),"")</f>
        <v/>
      </c>
      <c r="L130" s="15" t="str">
        <f aca="false">IF(AND(K130&lt;&gt;"",P129&lt;&gt;""),K130/P129,IF(K130&lt;&gt;"",K130/$D$2,""))</f>
        <v/>
      </c>
      <c r="M130" s="12"/>
      <c r="N130" s="12"/>
      <c r="O130" s="12"/>
      <c r="P130" s="16" t="str">
        <f aca="false">IF(K130&lt;&gt;"",P129+K130,IF(B130&lt;&gt;"",P129,""))</f>
        <v/>
      </c>
      <c r="Q130" s="17" t="str">
        <f aca="false">IF(P130&lt;&gt;"",MIN(0,P130-MAX($P$4:P130)),"")</f>
        <v/>
      </c>
    </row>
    <row r="131" customFormat="false" ht="15" hidden="false" customHeight="true" outlineLevel="0" collapsed="false">
      <c r="A131" s="11" t="str">
        <f aca="false">IF(B131&lt;&gt;"",COUNTA($B$4:B131),"")</f>
        <v/>
      </c>
      <c r="B131" s="20"/>
      <c r="C131" s="20"/>
      <c r="D131" s="20"/>
      <c r="E131" s="20"/>
      <c r="F131" s="20"/>
      <c r="G131" s="20"/>
      <c r="H131" s="20"/>
      <c r="I131" s="21"/>
      <c r="J131" s="20"/>
      <c r="K131" s="14" t="str">
        <f aca="false">IF(AND(I131&lt;&gt;"",H131&lt;&gt;"",J131&lt;&gt;""),IF(J131="W",I131*H131,IF(J131="L",-I131,IF(J131="P",I131*H131*0.5,""))),"")</f>
        <v/>
      </c>
      <c r="L131" s="15" t="str">
        <f aca="false">IF(AND(K131&lt;&gt;"",P130&lt;&gt;""),K131/P130,IF(K131&lt;&gt;"",K131/$D$2,""))</f>
        <v/>
      </c>
      <c r="M131" s="20"/>
      <c r="N131" s="20"/>
      <c r="O131" s="20"/>
      <c r="P131" s="16" t="str">
        <f aca="false">IF(K131&lt;&gt;"",P130+K131,IF(B131&lt;&gt;"",P130,""))</f>
        <v/>
      </c>
      <c r="Q131" s="17" t="str">
        <f aca="false">IF(P131&lt;&gt;"",MIN(0,P131-MAX($P$4:P131)),"")</f>
        <v/>
      </c>
    </row>
    <row r="132" customFormat="false" ht="15" hidden="false" customHeight="true" outlineLevel="0" collapsed="false">
      <c r="A132" s="11" t="str">
        <f aca="false">IF(B132&lt;&gt;"",COUNTA($B$4:B132),"")</f>
        <v/>
      </c>
      <c r="B132" s="12"/>
      <c r="C132" s="12"/>
      <c r="D132" s="12"/>
      <c r="E132" s="12"/>
      <c r="F132" s="12"/>
      <c r="G132" s="12"/>
      <c r="H132" s="12"/>
      <c r="I132" s="13"/>
      <c r="J132" s="12"/>
      <c r="K132" s="14" t="str">
        <f aca="false">IF(AND(I132&lt;&gt;"",H132&lt;&gt;"",J132&lt;&gt;""),IF(J132="W",I132*H132,IF(J132="L",-I132,IF(J132="P",I132*H132*0.5,""))),"")</f>
        <v/>
      </c>
      <c r="L132" s="15" t="str">
        <f aca="false">IF(AND(K132&lt;&gt;"",P131&lt;&gt;""),K132/P131,IF(K132&lt;&gt;"",K132/$D$2,""))</f>
        <v/>
      </c>
      <c r="M132" s="12"/>
      <c r="N132" s="12"/>
      <c r="O132" s="12"/>
      <c r="P132" s="16" t="str">
        <f aca="false">IF(K132&lt;&gt;"",P131+K132,IF(B132&lt;&gt;"",P131,""))</f>
        <v/>
      </c>
      <c r="Q132" s="17" t="str">
        <f aca="false">IF(P132&lt;&gt;"",MIN(0,P132-MAX($P$4:P132)),"")</f>
        <v/>
      </c>
    </row>
    <row r="133" customFormat="false" ht="15" hidden="false" customHeight="true" outlineLevel="0" collapsed="false">
      <c r="A133" s="11" t="str">
        <f aca="false">IF(B133&lt;&gt;"",COUNTA($B$4:B133),"")</f>
        <v/>
      </c>
      <c r="B133" s="20"/>
      <c r="C133" s="20"/>
      <c r="D133" s="20"/>
      <c r="E133" s="20"/>
      <c r="F133" s="20"/>
      <c r="G133" s="20"/>
      <c r="H133" s="20"/>
      <c r="I133" s="21"/>
      <c r="J133" s="20"/>
      <c r="K133" s="14" t="str">
        <f aca="false">IF(AND(I133&lt;&gt;"",H133&lt;&gt;"",J133&lt;&gt;""),IF(J133="W",I133*H133,IF(J133="L",-I133,IF(J133="P",I133*H133*0.5,""))),"")</f>
        <v/>
      </c>
      <c r="L133" s="15" t="str">
        <f aca="false">IF(AND(K133&lt;&gt;"",P132&lt;&gt;""),K133/P132,IF(K133&lt;&gt;"",K133/$D$2,""))</f>
        <v/>
      </c>
      <c r="M133" s="20"/>
      <c r="N133" s="20"/>
      <c r="O133" s="20"/>
      <c r="P133" s="16" t="str">
        <f aca="false">IF(K133&lt;&gt;"",P132+K133,IF(B133&lt;&gt;"",P132,""))</f>
        <v/>
      </c>
      <c r="Q133" s="17" t="str">
        <f aca="false">IF(P133&lt;&gt;"",MIN(0,P133-MAX($P$4:P133)),"")</f>
        <v/>
      </c>
    </row>
    <row r="134" customFormat="false" ht="15" hidden="false" customHeight="true" outlineLevel="0" collapsed="false">
      <c r="A134" s="11" t="str">
        <f aca="false">IF(B134&lt;&gt;"",COUNTA($B$4:B134),"")</f>
        <v/>
      </c>
      <c r="B134" s="12"/>
      <c r="C134" s="12"/>
      <c r="D134" s="12"/>
      <c r="E134" s="12"/>
      <c r="F134" s="12"/>
      <c r="G134" s="12"/>
      <c r="H134" s="12"/>
      <c r="I134" s="13"/>
      <c r="J134" s="12"/>
      <c r="K134" s="14" t="str">
        <f aca="false">IF(AND(I134&lt;&gt;"",H134&lt;&gt;"",J134&lt;&gt;""),IF(J134="W",I134*H134,IF(J134="L",-I134,IF(J134="P",I134*H134*0.5,""))),"")</f>
        <v/>
      </c>
      <c r="L134" s="15" t="str">
        <f aca="false">IF(AND(K134&lt;&gt;"",P133&lt;&gt;""),K134/P133,IF(K134&lt;&gt;"",K134/$D$2,""))</f>
        <v/>
      </c>
      <c r="M134" s="12"/>
      <c r="N134" s="12"/>
      <c r="O134" s="12"/>
      <c r="P134" s="16" t="str">
        <f aca="false">IF(K134&lt;&gt;"",P133+K134,IF(B134&lt;&gt;"",P133,""))</f>
        <v/>
      </c>
      <c r="Q134" s="17" t="str">
        <f aca="false">IF(P134&lt;&gt;"",MIN(0,P134-MAX($P$4:P134)),"")</f>
        <v/>
      </c>
    </row>
    <row r="135" customFormat="false" ht="15" hidden="false" customHeight="true" outlineLevel="0" collapsed="false">
      <c r="A135" s="11" t="str">
        <f aca="false">IF(B135&lt;&gt;"",COUNTA($B$4:B135),"")</f>
        <v/>
      </c>
      <c r="B135" s="20"/>
      <c r="C135" s="20"/>
      <c r="D135" s="20"/>
      <c r="E135" s="20"/>
      <c r="F135" s="20"/>
      <c r="G135" s="20"/>
      <c r="H135" s="20"/>
      <c r="I135" s="21"/>
      <c r="J135" s="20"/>
      <c r="K135" s="14" t="str">
        <f aca="false">IF(AND(I135&lt;&gt;"",H135&lt;&gt;"",J135&lt;&gt;""),IF(J135="W",I135*H135,IF(J135="L",-I135,IF(J135="P",I135*H135*0.5,""))),"")</f>
        <v/>
      </c>
      <c r="L135" s="15" t="str">
        <f aca="false">IF(AND(K135&lt;&gt;"",P134&lt;&gt;""),K135/P134,IF(K135&lt;&gt;"",K135/$D$2,""))</f>
        <v/>
      </c>
      <c r="M135" s="20"/>
      <c r="N135" s="20"/>
      <c r="O135" s="20"/>
      <c r="P135" s="16" t="str">
        <f aca="false">IF(K135&lt;&gt;"",P134+K135,IF(B135&lt;&gt;"",P134,""))</f>
        <v/>
      </c>
      <c r="Q135" s="17" t="str">
        <f aca="false">IF(P135&lt;&gt;"",MIN(0,P135-MAX($P$4:P135)),"")</f>
        <v/>
      </c>
    </row>
    <row r="136" customFormat="false" ht="15" hidden="false" customHeight="true" outlineLevel="0" collapsed="false">
      <c r="A136" s="11" t="str">
        <f aca="false">IF(B136&lt;&gt;"",COUNTA($B$4:B136),"")</f>
        <v/>
      </c>
      <c r="B136" s="12"/>
      <c r="C136" s="12"/>
      <c r="D136" s="12"/>
      <c r="E136" s="12"/>
      <c r="F136" s="12"/>
      <c r="G136" s="12"/>
      <c r="H136" s="12"/>
      <c r="I136" s="13"/>
      <c r="J136" s="12"/>
      <c r="K136" s="14" t="str">
        <f aca="false">IF(AND(I136&lt;&gt;"",H136&lt;&gt;"",J136&lt;&gt;""),IF(J136="W",I136*H136,IF(J136="L",-I136,IF(J136="P",I136*H136*0.5,""))),"")</f>
        <v/>
      </c>
      <c r="L136" s="15" t="str">
        <f aca="false">IF(AND(K136&lt;&gt;"",P135&lt;&gt;""),K136/P135,IF(K136&lt;&gt;"",K136/$D$2,""))</f>
        <v/>
      </c>
      <c r="M136" s="12"/>
      <c r="N136" s="12"/>
      <c r="O136" s="12"/>
      <c r="P136" s="16" t="str">
        <f aca="false">IF(K136&lt;&gt;"",P135+K136,IF(B136&lt;&gt;"",P135,""))</f>
        <v/>
      </c>
      <c r="Q136" s="17" t="str">
        <f aca="false">IF(P136&lt;&gt;"",MIN(0,P136-MAX($P$4:P136)),"")</f>
        <v/>
      </c>
    </row>
    <row r="137" customFormat="false" ht="15" hidden="false" customHeight="true" outlineLevel="0" collapsed="false">
      <c r="A137" s="11" t="str">
        <f aca="false">IF(B137&lt;&gt;"",COUNTA($B$4:B137),"")</f>
        <v/>
      </c>
      <c r="B137" s="20"/>
      <c r="C137" s="20"/>
      <c r="D137" s="20"/>
      <c r="E137" s="20"/>
      <c r="F137" s="20"/>
      <c r="G137" s="20"/>
      <c r="H137" s="20"/>
      <c r="I137" s="21"/>
      <c r="J137" s="20"/>
      <c r="K137" s="14" t="str">
        <f aca="false">IF(AND(I137&lt;&gt;"",H137&lt;&gt;"",J137&lt;&gt;""),IF(J137="W",I137*H137,IF(J137="L",-I137,IF(J137="P",I137*H137*0.5,""))),"")</f>
        <v/>
      </c>
      <c r="L137" s="15" t="str">
        <f aca="false">IF(AND(K137&lt;&gt;"",P136&lt;&gt;""),K137/P136,IF(K137&lt;&gt;"",K137/$D$2,""))</f>
        <v/>
      </c>
      <c r="M137" s="20"/>
      <c r="N137" s="20"/>
      <c r="O137" s="20"/>
      <c r="P137" s="16" t="str">
        <f aca="false">IF(K137&lt;&gt;"",P136+K137,IF(B137&lt;&gt;"",P136,""))</f>
        <v/>
      </c>
      <c r="Q137" s="17" t="str">
        <f aca="false">IF(P137&lt;&gt;"",MIN(0,P137-MAX($P$4:P137)),"")</f>
        <v/>
      </c>
    </row>
    <row r="138" customFormat="false" ht="15" hidden="false" customHeight="true" outlineLevel="0" collapsed="false">
      <c r="A138" s="11" t="str">
        <f aca="false">IF(B138&lt;&gt;"",COUNTA($B$4:B138),"")</f>
        <v/>
      </c>
      <c r="B138" s="12"/>
      <c r="C138" s="12"/>
      <c r="D138" s="12"/>
      <c r="E138" s="12"/>
      <c r="F138" s="12"/>
      <c r="G138" s="12"/>
      <c r="H138" s="12"/>
      <c r="I138" s="13"/>
      <c r="J138" s="12"/>
      <c r="K138" s="14" t="str">
        <f aca="false">IF(AND(I138&lt;&gt;"",H138&lt;&gt;"",J138&lt;&gt;""),IF(J138="W",I138*H138,IF(J138="L",-I138,IF(J138="P",I138*H138*0.5,""))),"")</f>
        <v/>
      </c>
      <c r="L138" s="15" t="str">
        <f aca="false">IF(AND(K138&lt;&gt;"",P137&lt;&gt;""),K138/P137,IF(K138&lt;&gt;"",K138/$D$2,""))</f>
        <v/>
      </c>
      <c r="M138" s="12"/>
      <c r="N138" s="12"/>
      <c r="O138" s="12"/>
      <c r="P138" s="16" t="str">
        <f aca="false">IF(K138&lt;&gt;"",P137+K138,IF(B138&lt;&gt;"",P137,""))</f>
        <v/>
      </c>
      <c r="Q138" s="17" t="str">
        <f aca="false">IF(P138&lt;&gt;"",MIN(0,P138-MAX($P$4:P138)),"")</f>
        <v/>
      </c>
    </row>
    <row r="139" customFormat="false" ht="15" hidden="false" customHeight="true" outlineLevel="0" collapsed="false">
      <c r="A139" s="11" t="str">
        <f aca="false">IF(B139&lt;&gt;"",COUNTA($B$4:B139),"")</f>
        <v/>
      </c>
      <c r="B139" s="20"/>
      <c r="C139" s="20"/>
      <c r="D139" s="20"/>
      <c r="E139" s="20"/>
      <c r="F139" s="20"/>
      <c r="G139" s="20"/>
      <c r="H139" s="20"/>
      <c r="I139" s="21"/>
      <c r="J139" s="20"/>
      <c r="K139" s="14" t="str">
        <f aca="false">IF(AND(I139&lt;&gt;"",H139&lt;&gt;"",J139&lt;&gt;""),IF(J139="W",I139*H139,IF(J139="L",-I139,IF(J139="P",I139*H139*0.5,""))),"")</f>
        <v/>
      </c>
      <c r="L139" s="15" t="str">
        <f aca="false">IF(AND(K139&lt;&gt;"",P138&lt;&gt;""),K139/P138,IF(K139&lt;&gt;"",K139/$D$2,""))</f>
        <v/>
      </c>
      <c r="M139" s="20"/>
      <c r="N139" s="20"/>
      <c r="O139" s="20"/>
      <c r="P139" s="16" t="str">
        <f aca="false">IF(K139&lt;&gt;"",P138+K139,IF(B139&lt;&gt;"",P138,""))</f>
        <v/>
      </c>
      <c r="Q139" s="17" t="str">
        <f aca="false">IF(P139&lt;&gt;"",MIN(0,P139-MAX($P$4:P139)),"")</f>
        <v/>
      </c>
    </row>
    <row r="140" customFormat="false" ht="15" hidden="false" customHeight="true" outlineLevel="0" collapsed="false">
      <c r="A140" s="11" t="str">
        <f aca="false">IF(B140&lt;&gt;"",COUNTA($B$4:B140),"")</f>
        <v/>
      </c>
      <c r="B140" s="12"/>
      <c r="C140" s="12"/>
      <c r="D140" s="12"/>
      <c r="E140" s="12"/>
      <c r="F140" s="12"/>
      <c r="G140" s="12"/>
      <c r="H140" s="12"/>
      <c r="I140" s="13"/>
      <c r="J140" s="12"/>
      <c r="K140" s="14" t="str">
        <f aca="false">IF(AND(I140&lt;&gt;"",H140&lt;&gt;"",J140&lt;&gt;""),IF(J140="W",I140*H140,IF(J140="L",-I140,IF(J140="P",I140*H140*0.5,""))),"")</f>
        <v/>
      </c>
      <c r="L140" s="15" t="str">
        <f aca="false">IF(AND(K140&lt;&gt;"",P139&lt;&gt;""),K140/P139,IF(K140&lt;&gt;"",K140/$D$2,""))</f>
        <v/>
      </c>
      <c r="M140" s="12"/>
      <c r="N140" s="12"/>
      <c r="O140" s="12"/>
      <c r="P140" s="16" t="str">
        <f aca="false">IF(K140&lt;&gt;"",P139+K140,IF(B140&lt;&gt;"",P139,""))</f>
        <v/>
      </c>
      <c r="Q140" s="17" t="str">
        <f aca="false">IF(P140&lt;&gt;"",MIN(0,P140-MAX($P$4:P140)),"")</f>
        <v/>
      </c>
    </row>
    <row r="141" customFormat="false" ht="15" hidden="false" customHeight="true" outlineLevel="0" collapsed="false">
      <c r="A141" s="11" t="str">
        <f aca="false">IF(B141&lt;&gt;"",COUNTA($B$4:B141),"")</f>
        <v/>
      </c>
      <c r="B141" s="20"/>
      <c r="C141" s="20"/>
      <c r="D141" s="20"/>
      <c r="E141" s="20"/>
      <c r="F141" s="20"/>
      <c r="G141" s="20"/>
      <c r="H141" s="20"/>
      <c r="I141" s="21"/>
      <c r="J141" s="20"/>
      <c r="K141" s="14" t="str">
        <f aca="false">IF(AND(I141&lt;&gt;"",H141&lt;&gt;"",J141&lt;&gt;""),IF(J141="W",I141*H141,IF(J141="L",-I141,IF(J141="P",I141*H141*0.5,""))),"")</f>
        <v/>
      </c>
      <c r="L141" s="15" t="str">
        <f aca="false">IF(AND(K141&lt;&gt;"",P140&lt;&gt;""),K141/P140,IF(K141&lt;&gt;"",K141/$D$2,""))</f>
        <v/>
      </c>
      <c r="M141" s="20"/>
      <c r="N141" s="20"/>
      <c r="O141" s="20"/>
      <c r="P141" s="16" t="str">
        <f aca="false">IF(K141&lt;&gt;"",P140+K141,IF(B141&lt;&gt;"",P140,""))</f>
        <v/>
      </c>
      <c r="Q141" s="17" t="str">
        <f aca="false">IF(P141&lt;&gt;"",MIN(0,P141-MAX($P$4:P141)),"")</f>
        <v/>
      </c>
    </row>
    <row r="142" customFormat="false" ht="15" hidden="false" customHeight="true" outlineLevel="0" collapsed="false">
      <c r="A142" s="11" t="str">
        <f aca="false">IF(B142&lt;&gt;"",COUNTA($B$4:B142),"")</f>
        <v/>
      </c>
      <c r="B142" s="12"/>
      <c r="C142" s="12"/>
      <c r="D142" s="12"/>
      <c r="E142" s="12"/>
      <c r="F142" s="12"/>
      <c r="G142" s="12"/>
      <c r="H142" s="12"/>
      <c r="I142" s="13"/>
      <c r="J142" s="12"/>
      <c r="K142" s="14" t="str">
        <f aca="false">IF(AND(I142&lt;&gt;"",H142&lt;&gt;"",J142&lt;&gt;""),IF(J142="W",I142*H142,IF(J142="L",-I142,IF(J142="P",I142*H142*0.5,""))),"")</f>
        <v/>
      </c>
      <c r="L142" s="15" t="str">
        <f aca="false">IF(AND(K142&lt;&gt;"",P141&lt;&gt;""),K142/P141,IF(K142&lt;&gt;"",K142/$D$2,""))</f>
        <v/>
      </c>
      <c r="M142" s="12"/>
      <c r="N142" s="12"/>
      <c r="O142" s="12"/>
      <c r="P142" s="16" t="str">
        <f aca="false">IF(K142&lt;&gt;"",P141+K142,IF(B142&lt;&gt;"",P141,""))</f>
        <v/>
      </c>
      <c r="Q142" s="17" t="str">
        <f aca="false">IF(P142&lt;&gt;"",MIN(0,P142-MAX($P$4:P142)),"")</f>
        <v/>
      </c>
    </row>
    <row r="143" customFormat="false" ht="15" hidden="false" customHeight="true" outlineLevel="0" collapsed="false">
      <c r="A143" s="11" t="str">
        <f aca="false">IF(B143&lt;&gt;"",COUNTA($B$4:B143),"")</f>
        <v/>
      </c>
      <c r="B143" s="20"/>
      <c r="C143" s="20"/>
      <c r="D143" s="20"/>
      <c r="E143" s="20"/>
      <c r="F143" s="20"/>
      <c r="G143" s="20"/>
      <c r="H143" s="20"/>
      <c r="I143" s="21"/>
      <c r="J143" s="20"/>
      <c r="K143" s="14" t="str">
        <f aca="false">IF(AND(I143&lt;&gt;"",H143&lt;&gt;"",J143&lt;&gt;""),IF(J143="W",I143*H143,IF(J143="L",-I143,IF(J143="P",I143*H143*0.5,""))),"")</f>
        <v/>
      </c>
      <c r="L143" s="15" t="str">
        <f aca="false">IF(AND(K143&lt;&gt;"",P142&lt;&gt;""),K143/P142,IF(K143&lt;&gt;"",K143/$D$2,""))</f>
        <v/>
      </c>
      <c r="M143" s="20"/>
      <c r="N143" s="20"/>
      <c r="O143" s="20"/>
      <c r="P143" s="16" t="str">
        <f aca="false">IF(K143&lt;&gt;"",P142+K143,IF(B143&lt;&gt;"",P142,""))</f>
        <v/>
      </c>
      <c r="Q143" s="17" t="str">
        <f aca="false">IF(P143&lt;&gt;"",MIN(0,P143-MAX($P$4:P143)),"")</f>
        <v/>
      </c>
    </row>
    <row r="144" customFormat="false" ht="15" hidden="false" customHeight="true" outlineLevel="0" collapsed="false">
      <c r="A144" s="11" t="str">
        <f aca="false">IF(B144&lt;&gt;"",COUNTA($B$4:B144),"")</f>
        <v/>
      </c>
      <c r="B144" s="12"/>
      <c r="C144" s="12"/>
      <c r="D144" s="12"/>
      <c r="E144" s="12"/>
      <c r="F144" s="12"/>
      <c r="G144" s="12"/>
      <c r="H144" s="12"/>
      <c r="I144" s="13"/>
      <c r="J144" s="12"/>
      <c r="K144" s="14" t="str">
        <f aca="false">IF(AND(I144&lt;&gt;"",H144&lt;&gt;"",J144&lt;&gt;""),IF(J144="W",I144*H144,IF(J144="L",-I144,IF(J144="P",I144*H144*0.5,""))),"")</f>
        <v/>
      </c>
      <c r="L144" s="15" t="str">
        <f aca="false">IF(AND(K144&lt;&gt;"",P143&lt;&gt;""),K144/P143,IF(K144&lt;&gt;"",K144/$D$2,""))</f>
        <v/>
      </c>
      <c r="M144" s="12"/>
      <c r="N144" s="12"/>
      <c r="O144" s="12"/>
      <c r="P144" s="16" t="str">
        <f aca="false">IF(K144&lt;&gt;"",P143+K144,IF(B144&lt;&gt;"",P143,""))</f>
        <v/>
      </c>
      <c r="Q144" s="17" t="str">
        <f aca="false">IF(P144&lt;&gt;"",MIN(0,P144-MAX($P$4:P144)),"")</f>
        <v/>
      </c>
    </row>
    <row r="145" customFormat="false" ht="15" hidden="false" customHeight="true" outlineLevel="0" collapsed="false">
      <c r="A145" s="11" t="str">
        <f aca="false">IF(B145&lt;&gt;"",COUNTA($B$4:B145),"")</f>
        <v/>
      </c>
      <c r="B145" s="20"/>
      <c r="C145" s="20"/>
      <c r="D145" s="20"/>
      <c r="E145" s="20"/>
      <c r="F145" s="20"/>
      <c r="G145" s="20"/>
      <c r="H145" s="20"/>
      <c r="I145" s="21"/>
      <c r="J145" s="20"/>
      <c r="K145" s="14" t="str">
        <f aca="false">IF(AND(I145&lt;&gt;"",H145&lt;&gt;"",J145&lt;&gt;""),IF(J145="W",I145*H145,IF(J145="L",-I145,IF(J145="P",I145*H145*0.5,""))),"")</f>
        <v/>
      </c>
      <c r="L145" s="15" t="str">
        <f aca="false">IF(AND(K145&lt;&gt;"",P144&lt;&gt;""),K145/P144,IF(K145&lt;&gt;"",K145/$D$2,""))</f>
        <v/>
      </c>
      <c r="M145" s="20"/>
      <c r="N145" s="20"/>
      <c r="O145" s="20"/>
      <c r="P145" s="16" t="str">
        <f aca="false">IF(K145&lt;&gt;"",P144+K145,IF(B145&lt;&gt;"",P144,""))</f>
        <v/>
      </c>
      <c r="Q145" s="17" t="str">
        <f aca="false">IF(P145&lt;&gt;"",MIN(0,P145-MAX($P$4:P145)),"")</f>
        <v/>
      </c>
    </row>
    <row r="146" customFormat="false" ht="15" hidden="false" customHeight="true" outlineLevel="0" collapsed="false">
      <c r="A146" s="11" t="str">
        <f aca="false">IF(B146&lt;&gt;"",COUNTA($B$4:B146),"")</f>
        <v/>
      </c>
      <c r="B146" s="12"/>
      <c r="C146" s="12"/>
      <c r="D146" s="12"/>
      <c r="E146" s="12"/>
      <c r="F146" s="12"/>
      <c r="G146" s="12"/>
      <c r="H146" s="12"/>
      <c r="I146" s="13"/>
      <c r="J146" s="12"/>
      <c r="K146" s="14" t="str">
        <f aca="false">IF(AND(I146&lt;&gt;"",H146&lt;&gt;"",J146&lt;&gt;""),IF(J146="W",I146*H146,IF(J146="L",-I146,IF(J146="P",I146*H146*0.5,""))),"")</f>
        <v/>
      </c>
      <c r="L146" s="15" t="str">
        <f aca="false">IF(AND(K146&lt;&gt;"",P145&lt;&gt;""),K146/P145,IF(K146&lt;&gt;"",K146/$D$2,""))</f>
        <v/>
      </c>
      <c r="M146" s="12"/>
      <c r="N146" s="12"/>
      <c r="O146" s="12"/>
      <c r="P146" s="16" t="str">
        <f aca="false">IF(K146&lt;&gt;"",P145+K146,IF(B146&lt;&gt;"",P145,""))</f>
        <v/>
      </c>
      <c r="Q146" s="17" t="str">
        <f aca="false">IF(P146&lt;&gt;"",MIN(0,P146-MAX($P$4:P146)),"")</f>
        <v/>
      </c>
    </row>
    <row r="147" customFormat="false" ht="15" hidden="false" customHeight="true" outlineLevel="0" collapsed="false">
      <c r="A147" s="11" t="str">
        <f aca="false">IF(B147&lt;&gt;"",COUNTA($B$4:B147),"")</f>
        <v/>
      </c>
      <c r="B147" s="20"/>
      <c r="C147" s="20"/>
      <c r="D147" s="20"/>
      <c r="E147" s="20"/>
      <c r="F147" s="20"/>
      <c r="G147" s="20"/>
      <c r="H147" s="20"/>
      <c r="I147" s="21"/>
      <c r="J147" s="20"/>
      <c r="K147" s="14" t="str">
        <f aca="false">IF(AND(I147&lt;&gt;"",H147&lt;&gt;"",J147&lt;&gt;""),IF(J147="W",I147*H147,IF(J147="L",-I147,IF(J147="P",I147*H147*0.5,""))),"")</f>
        <v/>
      </c>
      <c r="L147" s="15" t="str">
        <f aca="false">IF(AND(K147&lt;&gt;"",P146&lt;&gt;""),K147/P146,IF(K147&lt;&gt;"",K147/$D$2,""))</f>
        <v/>
      </c>
      <c r="M147" s="20"/>
      <c r="N147" s="20"/>
      <c r="O147" s="20"/>
      <c r="P147" s="16" t="str">
        <f aca="false">IF(K147&lt;&gt;"",P146+K147,IF(B147&lt;&gt;"",P146,""))</f>
        <v/>
      </c>
      <c r="Q147" s="17" t="str">
        <f aca="false">IF(P147&lt;&gt;"",MIN(0,P147-MAX($P$4:P147)),"")</f>
        <v/>
      </c>
    </row>
    <row r="148" customFormat="false" ht="15" hidden="false" customHeight="true" outlineLevel="0" collapsed="false">
      <c r="A148" s="11" t="str">
        <f aca="false">IF(B148&lt;&gt;"",COUNTA($B$4:B148),"")</f>
        <v/>
      </c>
      <c r="B148" s="12"/>
      <c r="C148" s="12"/>
      <c r="D148" s="12"/>
      <c r="E148" s="12"/>
      <c r="F148" s="12"/>
      <c r="G148" s="12"/>
      <c r="H148" s="12"/>
      <c r="I148" s="13"/>
      <c r="J148" s="12"/>
      <c r="K148" s="14" t="str">
        <f aca="false">IF(AND(I148&lt;&gt;"",H148&lt;&gt;"",J148&lt;&gt;""),IF(J148="W",I148*H148,IF(J148="L",-I148,IF(J148="P",I148*H148*0.5,""))),"")</f>
        <v/>
      </c>
      <c r="L148" s="15" t="str">
        <f aca="false">IF(AND(K148&lt;&gt;"",P147&lt;&gt;""),K148/P147,IF(K148&lt;&gt;"",K148/$D$2,""))</f>
        <v/>
      </c>
      <c r="M148" s="12"/>
      <c r="N148" s="12"/>
      <c r="O148" s="12"/>
      <c r="P148" s="16" t="str">
        <f aca="false">IF(K148&lt;&gt;"",P147+K148,IF(B148&lt;&gt;"",P147,""))</f>
        <v/>
      </c>
      <c r="Q148" s="17" t="str">
        <f aca="false">IF(P148&lt;&gt;"",MIN(0,P148-MAX($P$4:P148)),"")</f>
        <v/>
      </c>
    </row>
    <row r="149" customFormat="false" ht="15" hidden="false" customHeight="true" outlineLevel="0" collapsed="false">
      <c r="A149" s="11" t="str">
        <f aca="false">IF(B149&lt;&gt;"",COUNTA($B$4:B149),"")</f>
        <v/>
      </c>
      <c r="B149" s="20"/>
      <c r="C149" s="20"/>
      <c r="D149" s="20"/>
      <c r="E149" s="20"/>
      <c r="F149" s="20"/>
      <c r="G149" s="20"/>
      <c r="H149" s="20"/>
      <c r="I149" s="21"/>
      <c r="J149" s="20"/>
      <c r="K149" s="14" t="str">
        <f aca="false">IF(AND(I149&lt;&gt;"",H149&lt;&gt;"",J149&lt;&gt;""),IF(J149="W",I149*H149,IF(J149="L",-I149,IF(J149="P",I149*H149*0.5,""))),"")</f>
        <v/>
      </c>
      <c r="L149" s="15" t="str">
        <f aca="false">IF(AND(K149&lt;&gt;"",P148&lt;&gt;""),K149/P148,IF(K149&lt;&gt;"",K149/$D$2,""))</f>
        <v/>
      </c>
      <c r="M149" s="20"/>
      <c r="N149" s="20"/>
      <c r="O149" s="20"/>
      <c r="P149" s="16" t="str">
        <f aca="false">IF(K149&lt;&gt;"",P148+K149,IF(B149&lt;&gt;"",P148,""))</f>
        <v/>
      </c>
      <c r="Q149" s="17" t="str">
        <f aca="false">IF(P149&lt;&gt;"",MIN(0,P149-MAX($P$4:P149)),"")</f>
        <v/>
      </c>
    </row>
    <row r="150" customFormat="false" ht="15" hidden="false" customHeight="true" outlineLevel="0" collapsed="false">
      <c r="A150" s="11" t="str">
        <f aca="false">IF(B150&lt;&gt;"",COUNTA($B$4:B150),"")</f>
        <v/>
      </c>
      <c r="B150" s="12"/>
      <c r="C150" s="12"/>
      <c r="D150" s="12"/>
      <c r="E150" s="12"/>
      <c r="F150" s="12"/>
      <c r="G150" s="12"/>
      <c r="H150" s="12"/>
      <c r="I150" s="13"/>
      <c r="J150" s="12"/>
      <c r="K150" s="14" t="str">
        <f aca="false">IF(AND(I150&lt;&gt;"",H150&lt;&gt;"",J150&lt;&gt;""),IF(J150="W",I150*H150,IF(J150="L",-I150,IF(J150="P",I150*H150*0.5,""))),"")</f>
        <v/>
      </c>
      <c r="L150" s="15" t="str">
        <f aca="false">IF(AND(K150&lt;&gt;"",P149&lt;&gt;""),K150/P149,IF(K150&lt;&gt;"",K150/$D$2,""))</f>
        <v/>
      </c>
      <c r="M150" s="12"/>
      <c r="N150" s="12"/>
      <c r="O150" s="12"/>
      <c r="P150" s="16" t="str">
        <f aca="false">IF(K150&lt;&gt;"",P149+K150,IF(B150&lt;&gt;"",P149,""))</f>
        <v/>
      </c>
      <c r="Q150" s="17" t="str">
        <f aca="false">IF(P150&lt;&gt;"",MIN(0,P150-MAX($P$4:P150)),"")</f>
        <v/>
      </c>
    </row>
    <row r="151" customFormat="false" ht="15" hidden="false" customHeight="true" outlineLevel="0" collapsed="false">
      <c r="A151" s="11" t="str">
        <f aca="false">IF(B151&lt;&gt;"",COUNTA($B$4:B151),"")</f>
        <v/>
      </c>
      <c r="B151" s="20"/>
      <c r="C151" s="20"/>
      <c r="D151" s="20"/>
      <c r="E151" s="20"/>
      <c r="F151" s="20"/>
      <c r="G151" s="20"/>
      <c r="H151" s="20"/>
      <c r="I151" s="21"/>
      <c r="J151" s="20"/>
      <c r="K151" s="14" t="str">
        <f aca="false">IF(AND(I151&lt;&gt;"",H151&lt;&gt;"",J151&lt;&gt;""),IF(J151="W",I151*H151,IF(J151="L",-I151,IF(J151="P",I151*H151*0.5,""))),"")</f>
        <v/>
      </c>
      <c r="L151" s="15" t="str">
        <f aca="false">IF(AND(K151&lt;&gt;"",P150&lt;&gt;""),K151/P150,IF(K151&lt;&gt;"",K151/$D$2,""))</f>
        <v/>
      </c>
      <c r="M151" s="20"/>
      <c r="N151" s="20"/>
      <c r="O151" s="20"/>
      <c r="P151" s="16" t="str">
        <f aca="false">IF(K151&lt;&gt;"",P150+K151,IF(B151&lt;&gt;"",P150,""))</f>
        <v/>
      </c>
      <c r="Q151" s="17" t="str">
        <f aca="false">IF(P151&lt;&gt;"",MIN(0,P151-MAX($P$4:P151)),"")</f>
        <v/>
      </c>
    </row>
    <row r="152" customFormat="false" ht="15" hidden="false" customHeight="true" outlineLevel="0" collapsed="false">
      <c r="A152" s="11" t="str">
        <f aca="false">IF(B152&lt;&gt;"",COUNTA($B$4:B152),"")</f>
        <v/>
      </c>
      <c r="B152" s="12"/>
      <c r="C152" s="12"/>
      <c r="D152" s="12"/>
      <c r="E152" s="12"/>
      <c r="F152" s="12"/>
      <c r="G152" s="12"/>
      <c r="H152" s="12"/>
      <c r="I152" s="13"/>
      <c r="J152" s="12"/>
      <c r="K152" s="14" t="str">
        <f aca="false">IF(AND(I152&lt;&gt;"",H152&lt;&gt;"",J152&lt;&gt;""),IF(J152="W",I152*H152,IF(J152="L",-I152,IF(J152="P",I152*H152*0.5,""))),"")</f>
        <v/>
      </c>
      <c r="L152" s="15" t="str">
        <f aca="false">IF(AND(K152&lt;&gt;"",P151&lt;&gt;""),K152/P151,IF(K152&lt;&gt;"",K152/$D$2,""))</f>
        <v/>
      </c>
      <c r="M152" s="12"/>
      <c r="N152" s="12"/>
      <c r="O152" s="12"/>
      <c r="P152" s="16" t="str">
        <f aca="false">IF(K152&lt;&gt;"",P151+K152,IF(B152&lt;&gt;"",P151,""))</f>
        <v/>
      </c>
      <c r="Q152" s="17" t="str">
        <f aca="false">IF(P152&lt;&gt;"",MIN(0,P152-MAX($P$4:P152)),"")</f>
        <v/>
      </c>
    </row>
    <row r="153" customFormat="false" ht="15" hidden="false" customHeight="true" outlineLevel="0" collapsed="false">
      <c r="A153" s="11" t="str">
        <f aca="false">IF(B153&lt;&gt;"",COUNTA($B$4:B153),"")</f>
        <v/>
      </c>
      <c r="B153" s="20"/>
      <c r="C153" s="20"/>
      <c r="D153" s="20"/>
      <c r="E153" s="20"/>
      <c r="F153" s="20"/>
      <c r="G153" s="20"/>
      <c r="H153" s="20"/>
      <c r="I153" s="21"/>
      <c r="J153" s="20"/>
      <c r="K153" s="14" t="str">
        <f aca="false">IF(AND(I153&lt;&gt;"",H153&lt;&gt;"",J153&lt;&gt;""),IF(J153="W",I153*H153,IF(J153="L",-I153,IF(J153="P",I153*H153*0.5,""))),"")</f>
        <v/>
      </c>
      <c r="L153" s="15" t="str">
        <f aca="false">IF(AND(K153&lt;&gt;"",P152&lt;&gt;""),K153/P152,IF(K153&lt;&gt;"",K153/$D$2,""))</f>
        <v/>
      </c>
      <c r="M153" s="20"/>
      <c r="N153" s="20"/>
      <c r="O153" s="20"/>
      <c r="P153" s="16" t="str">
        <f aca="false">IF(K153&lt;&gt;"",P152+K153,IF(B153&lt;&gt;"",P152,""))</f>
        <v/>
      </c>
      <c r="Q153" s="17" t="str">
        <f aca="false">IF(P153&lt;&gt;"",MIN(0,P153-MAX($P$4:P153)),"")</f>
        <v/>
      </c>
    </row>
    <row r="154" customFormat="false" ht="15" hidden="false" customHeight="true" outlineLevel="0" collapsed="false">
      <c r="A154" s="11" t="str">
        <f aca="false">IF(B154&lt;&gt;"",COUNTA($B$4:B154),"")</f>
        <v/>
      </c>
      <c r="B154" s="12"/>
      <c r="C154" s="12"/>
      <c r="D154" s="12"/>
      <c r="E154" s="12"/>
      <c r="F154" s="12"/>
      <c r="G154" s="12"/>
      <c r="H154" s="12"/>
      <c r="I154" s="13"/>
      <c r="J154" s="12"/>
      <c r="K154" s="14" t="str">
        <f aca="false">IF(AND(I154&lt;&gt;"",H154&lt;&gt;"",J154&lt;&gt;""),IF(J154="W",I154*H154,IF(J154="L",-I154,IF(J154="P",I154*H154*0.5,""))),"")</f>
        <v/>
      </c>
      <c r="L154" s="15" t="str">
        <f aca="false">IF(AND(K154&lt;&gt;"",P153&lt;&gt;""),K154/P153,IF(K154&lt;&gt;"",K154/$D$2,""))</f>
        <v/>
      </c>
      <c r="M154" s="12"/>
      <c r="N154" s="12"/>
      <c r="O154" s="12"/>
      <c r="P154" s="16" t="str">
        <f aca="false">IF(K154&lt;&gt;"",P153+K154,IF(B154&lt;&gt;"",P153,""))</f>
        <v/>
      </c>
      <c r="Q154" s="17" t="str">
        <f aca="false">IF(P154&lt;&gt;"",MIN(0,P154-MAX($P$4:P154)),"")</f>
        <v/>
      </c>
    </row>
    <row r="155" customFormat="false" ht="15" hidden="false" customHeight="true" outlineLevel="0" collapsed="false">
      <c r="A155" s="11" t="str">
        <f aca="false">IF(B155&lt;&gt;"",COUNTA($B$4:B155),"")</f>
        <v/>
      </c>
      <c r="B155" s="20"/>
      <c r="C155" s="20"/>
      <c r="D155" s="20"/>
      <c r="E155" s="20"/>
      <c r="F155" s="20"/>
      <c r="G155" s="20"/>
      <c r="H155" s="20"/>
      <c r="I155" s="21"/>
      <c r="J155" s="20"/>
      <c r="K155" s="14" t="str">
        <f aca="false">IF(AND(I155&lt;&gt;"",H155&lt;&gt;"",J155&lt;&gt;""),IF(J155="W",I155*H155,IF(J155="L",-I155,IF(J155="P",I155*H155*0.5,""))),"")</f>
        <v/>
      </c>
      <c r="L155" s="15" t="str">
        <f aca="false">IF(AND(K155&lt;&gt;"",P154&lt;&gt;""),K155/P154,IF(K155&lt;&gt;"",K155/$D$2,""))</f>
        <v/>
      </c>
      <c r="M155" s="20"/>
      <c r="N155" s="20"/>
      <c r="O155" s="20"/>
      <c r="P155" s="16" t="str">
        <f aca="false">IF(K155&lt;&gt;"",P154+K155,IF(B155&lt;&gt;"",P154,""))</f>
        <v/>
      </c>
      <c r="Q155" s="17" t="str">
        <f aca="false">IF(P155&lt;&gt;"",MIN(0,P155-MAX($P$4:P155)),"")</f>
        <v/>
      </c>
    </row>
    <row r="156" customFormat="false" ht="15" hidden="false" customHeight="true" outlineLevel="0" collapsed="false">
      <c r="A156" s="11" t="str">
        <f aca="false">IF(B156&lt;&gt;"",COUNTA($B$4:B156),"")</f>
        <v/>
      </c>
      <c r="B156" s="12"/>
      <c r="C156" s="12"/>
      <c r="D156" s="12"/>
      <c r="E156" s="12"/>
      <c r="F156" s="12"/>
      <c r="G156" s="12"/>
      <c r="H156" s="12"/>
      <c r="I156" s="13"/>
      <c r="J156" s="12"/>
      <c r="K156" s="14" t="str">
        <f aca="false">IF(AND(I156&lt;&gt;"",H156&lt;&gt;"",J156&lt;&gt;""),IF(J156="W",I156*H156,IF(J156="L",-I156,IF(J156="P",I156*H156*0.5,""))),"")</f>
        <v/>
      </c>
      <c r="L156" s="15" t="str">
        <f aca="false">IF(AND(K156&lt;&gt;"",P155&lt;&gt;""),K156/P155,IF(K156&lt;&gt;"",K156/$D$2,""))</f>
        <v/>
      </c>
      <c r="M156" s="12"/>
      <c r="N156" s="12"/>
      <c r="O156" s="12"/>
      <c r="P156" s="16" t="str">
        <f aca="false">IF(K156&lt;&gt;"",P155+K156,IF(B156&lt;&gt;"",P155,""))</f>
        <v/>
      </c>
      <c r="Q156" s="17" t="str">
        <f aca="false">IF(P156&lt;&gt;"",MIN(0,P156-MAX($P$4:P156)),"")</f>
        <v/>
      </c>
    </row>
    <row r="157" customFormat="false" ht="15" hidden="false" customHeight="true" outlineLevel="0" collapsed="false">
      <c r="A157" s="11" t="str">
        <f aca="false">IF(B157&lt;&gt;"",COUNTA($B$4:B157),"")</f>
        <v/>
      </c>
      <c r="B157" s="20"/>
      <c r="C157" s="20"/>
      <c r="D157" s="20"/>
      <c r="E157" s="20"/>
      <c r="F157" s="20"/>
      <c r="G157" s="20"/>
      <c r="H157" s="20"/>
      <c r="I157" s="21"/>
      <c r="J157" s="20"/>
      <c r="K157" s="14" t="str">
        <f aca="false">IF(AND(I157&lt;&gt;"",H157&lt;&gt;"",J157&lt;&gt;""),IF(J157="W",I157*H157,IF(J157="L",-I157,IF(J157="P",I157*H157*0.5,""))),"")</f>
        <v/>
      </c>
      <c r="L157" s="15" t="str">
        <f aca="false">IF(AND(K157&lt;&gt;"",P156&lt;&gt;""),K157/P156,IF(K157&lt;&gt;"",K157/$D$2,""))</f>
        <v/>
      </c>
      <c r="M157" s="20"/>
      <c r="N157" s="20"/>
      <c r="O157" s="20"/>
      <c r="P157" s="16" t="str">
        <f aca="false">IF(K157&lt;&gt;"",P156+K157,IF(B157&lt;&gt;"",P156,""))</f>
        <v/>
      </c>
      <c r="Q157" s="17" t="str">
        <f aca="false">IF(P157&lt;&gt;"",MIN(0,P157-MAX($P$4:P157)),"")</f>
        <v/>
      </c>
    </row>
    <row r="158" customFormat="false" ht="15" hidden="false" customHeight="true" outlineLevel="0" collapsed="false">
      <c r="A158" s="11" t="str">
        <f aca="false">IF(B158&lt;&gt;"",COUNTA($B$4:B158),"")</f>
        <v/>
      </c>
      <c r="B158" s="12"/>
      <c r="C158" s="12"/>
      <c r="D158" s="12"/>
      <c r="E158" s="12"/>
      <c r="F158" s="12"/>
      <c r="G158" s="12"/>
      <c r="H158" s="12"/>
      <c r="I158" s="13"/>
      <c r="J158" s="12"/>
      <c r="K158" s="14" t="str">
        <f aca="false">IF(AND(I158&lt;&gt;"",H158&lt;&gt;"",J158&lt;&gt;""),IF(J158="W",I158*H158,IF(J158="L",-I158,IF(J158="P",I158*H158*0.5,""))),"")</f>
        <v/>
      </c>
      <c r="L158" s="15" t="str">
        <f aca="false">IF(AND(K158&lt;&gt;"",P157&lt;&gt;""),K158/P157,IF(K158&lt;&gt;"",K158/$D$2,""))</f>
        <v/>
      </c>
      <c r="M158" s="12"/>
      <c r="N158" s="12"/>
      <c r="O158" s="12"/>
      <c r="P158" s="16" t="str">
        <f aca="false">IF(K158&lt;&gt;"",P157+K158,IF(B158&lt;&gt;"",P157,""))</f>
        <v/>
      </c>
      <c r="Q158" s="17" t="str">
        <f aca="false">IF(P158&lt;&gt;"",MIN(0,P158-MAX($P$4:P158)),"")</f>
        <v/>
      </c>
    </row>
    <row r="159" customFormat="false" ht="15" hidden="false" customHeight="true" outlineLevel="0" collapsed="false">
      <c r="A159" s="11" t="str">
        <f aca="false">IF(B159&lt;&gt;"",COUNTA($B$4:B159),"")</f>
        <v/>
      </c>
      <c r="B159" s="20"/>
      <c r="C159" s="20"/>
      <c r="D159" s="20"/>
      <c r="E159" s="20"/>
      <c r="F159" s="20"/>
      <c r="G159" s="20"/>
      <c r="H159" s="20"/>
      <c r="I159" s="21"/>
      <c r="J159" s="20"/>
      <c r="K159" s="14" t="str">
        <f aca="false">IF(AND(I159&lt;&gt;"",H159&lt;&gt;"",J159&lt;&gt;""),IF(J159="W",I159*H159,IF(J159="L",-I159,IF(J159="P",I159*H159*0.5,""))),"")</f>
        <v/>
      </c>
      <c r="L159" s="15" t="str">
        <f aca="false">IF(AND(K159&lt;&gt;"",P158&lt;&gt;""),K159/P158,IF(K159&lt;&gt;"",K159/$D$2,""))</f>
        <v/>
      </c>
      <c r="M159" s="20"/>
      <c r="N159" s="20"/>
      <c r="O159" s="20"/>
      <c r="P159" s="16" t="str">
        <f aca="false">IF(K159&lt;&gt;"",P158+K159,IF(B159&lt;&gt;"",P158,""))</f>
        <v/>
      </c>
      <c r="Q159" s="17" t="str">
        <f aca="false">IF(P159&lt;&gt;"",MIN(0,P159-MAX($P$4:P159)),"")</f>
        <v/>
      </c>
    </row>
    <row r="160" customFormat="false" ht="15" hidden="false" customHeight="true" outlineLevel="0" collapsed="false">
      <c r="A160" s="11" t="str">
        <f aca="false">IF(B160&lt;&gt;"",COUNTA($B$4:B160),"")</f>
        <v/>
      </c>
      <c r="B160" s="12"/>
      <c r="C160" s="12"/>
      <c r="D160" s="12"/>
      <c r="E160" s="12"/>
      <c r="F160" s="12"/>
      <c r="G160" s="12"/>
      <c r="H160" s="12"/>
      <c r="I160" s="13"/>
      <c r="J160" s="12"/>
      <c r="K160" s="14" t="str">
        <f aca="false">IF(AND(I160&lt;&gt;"",H160&lt;&gt;"",J160&lt;&gt;""),IF(J160="W",I160*H160,IF(J160="L",-I160,IF(J160="P",I160*H160*0.5,""))),"")</f>
        <v/>
      </c>
      <c r="L160" s="15" t="str">
        <f aca="false">IF(AND(K160&lt;&gt;"",P159&lt;&gt;""),K160/P159,IF(K160&lt;&gt;"",K160/$D$2,""))</f>
        <v/>
      </c>
      <c r="M160" s="12"/>
      <c r="N160" s="12"/>
      <c r="O160" s="12"/>
      <c r="P160" s="16" t="str">
        <f aca="false">IF(K160&lt;&gt;"",P159+K160,IF(B160&lt;&gt;"",P159,""))</f>
        <v/>
      </c>
      <c r="Q160" s="17" t="str">
        <f aca="false">IF(P160&lt;&gt;"",MIN(0,P160-MAX($P$4:P160)),"")</f>
        <v/>
      </c>
    </row>
    <row r="161" customFormat="false" ht="15" hidden="false" customHeight="true" outlineLevel="0" collapsed="false">
      <c r="A161" s="11" t="str">
        <f aca="false">IF(B161&lt;&gt;"",COUNTA($B$4:B161),"")</f>
        <v/>
      </c>
      <c r="B161" s="20"/>
      <c r="C161" s="20"/>
      <c r="D161" s="20"/>
      <c r="E161" s="20"/>
      <c r="F161" s="20"/>
      <c r="G161" s="20"/>
      <c r="H161" s="20"/>
      <c r="I161" s="21"/>
      <c r="J161" s="20"/>
      <c r="K161" s="14" t="str">
        <f aca="false">IF(AND(I161&lt;&gt;"",H161&lt;&gt;"",J161&lt;&gt;""),IF(J161="W",I161*H161,IF(J161="L",-I161,IF(J161="P",I161*H161*0.5,""))),"")</f>
        <v/>
      </c>
      <c r="L161" s="15" t="str">
        <f aca="false">IF(AND(K161&lt;&gt;"",P160&lt;&gt;""),K161/P160,IF(K161&lt;&gt;"",K161/$D$2,""))</f>
        <v/>
      </c>
      <c r="M161" s="20"/>
      <c r="N161" s="20"/>
      <c r="O161" s="20"/>
      <c r="P161" s="16" t="str">
        <f aca="false">IF(K161&lt;&gt;"",P160+K161,IF(B161&lt;&gt;"",P160,""))</f>
        <v/>
      </c>
      <c r="Q161" s="17" t="str">
        <f aca="false">IF(P161&lt;&gt;"",MIN(0,P161-MAX($P$4:P161)),"")</f>
        <v/>
      </c>
    </row>
    <row r="162" customFormat="false" ht="15" hidden="false" customHeight="true" outlineLevel="0" collapsed="false">
      <c r="A162" s="11" t="str">
        <f aca="false">IF(B162&lt;&gt;"",COUNTA($B$4:B162),"")</f>
        <v/>
      </c>
      <c r="B162" s="12"/>
      <c r="C162" s="12"/>
      <c r="D162" s="12"/>
      <c r="E162" s="12"/>
      <c r="F162" s="12"/>
      <c r="G162" s="12"/>
      <c r="H162" s="12"/>
      <c r="I162" s="13"/>
      <c r="J162" s="12"/>
      <c r="K162" s="14" t="str">
        <f aca="false">IF(AND(I162&lt;&gt;"",H162&lt;&gt;"",J162&lt;&gt;""),IF(J162="W",I162*H162,IF(J162="L",-I162,IF(J162="P",I162*H162*0.5,""))),"")</f>
        <v/>
      </c>
      <c r="L162" s="15" t="str">
        <f aca="false">IF(AND(K162&lt;&gt;"",P161&lt;&gt;""),K162/P161,IF(K162&lt;&gt;"",K162/$D$2,""))</f>
        <v/>
      </c>
      <c r="M162" s="12"/>
      <c r="N162" s="12"/>
      <c r="O162" s="12"/>
      <c r="P162" s="16" t="str">
        <f aca="false">IF(K162&lt;&gt;"",P161+K162,IF(B162&lt;&gt;"",P161,""))</f>
        <v/>
      </c>
      <c r="Q162" s="17" t="str">
        <f aca="false">IF(P162&lt;&gt;"",MIN(0,P162-MAX($P$4:P162)),"")</f>
        <v/>
      </c>
    </row>
    <row r="163" customFormat="false" ht="15" hidden="false" customHeight="true" outlineLevel="0" collapsed="false">
      <c r="A163" s="11" t="str">
        <f aca="false">IF(B163&lt;&gt;"",COUNTA($B$4:B163),"")</f>
        <v/>
      </c>
      <c r="B163" s="20"/>
      <c r="C163" s="20"/>
      <c r="D163" s="20"/>
      <c r="E163" s="20"/>
      <c r="F163" s="20"/>
      <c r="G163" s="20"/>
      <c r="H163" s="20"/>
      <c r="I163" s="21"/>
      <c r="J163" s="20"/>
      <c r="K163" s="14" t="str">
        <f aca="false">IF(AND(I163&lt;&gt;"",H163&lt;&gt;"",J163&lt;&gt;""),IF(J163="W",I163*H163,IF(J163="L",-I163,IF(J163="P",I163*H163*0.5,""))),"")</f>
        <v/>
      </c>
      <c r="L163" s="15" t="str">
        <f aca="false">IF(AND(K163&lt;&gt;"",P162&lt;&gt;""),K163/P162,IF(K163&lt;&gt;"",K163/$D$2,""))</f>
        <v/>
      </c>
      <c r="M163" s="20"/>
      <c r="N163" s="20"/>
      <c r="O163" s="20"/>
      <c r="P163" s="16" t="str">
        <f aca="false">IF(K163&lt;&gt;"",P162+K163,IF(B163&lt;&gt;"",P162,""))</f>
        <v/>
      </c>
      <c r="Q163" s="17" t="str">
        <f aca="false">IF(P163&lt;&gt;"",MIN(0,P163-MAX($P$4:P163)),"")</f>
        <v/>
      </c>
    </row>
    <row r="164" customFormat="false" ht="15" hidden="false" customHeight="true" outlineLevel="0" collapsed="false">
      <c r="A164" s="11" t="str">
        <f aca="false">IF(B164&lt;&gt;"",COUNTA($B$4:B164),"")</f>
        <v/>
      </c>
      <c r="B164" s="12"/>
      <c r="C164" s="12"/>
      <c r="D164" s="12"/>
      <c r="E164" s="12"/>
      <c r="F164" s="12"/>
      <c r="G164" s="12"/>
      <c r="H164" s="12"/>
      <c r="I164" s="13"/>
      <c r="J164" s="12"/>
      <c r="K164" s="14" t="str">
        <f aca="false">IF(AND(I164&lt;&gt;"",H164&lt;&gt;"",J164&lt;&gt;""),IF(J164="W",I164*H164,IF(J164="L",-I164,IF(J164="P",I164*H164*0.5,""))),"")</f>
        <v/>
      </c>
      <c r="L164" s="15" t="str">
        <f aca="false">IF(AND(K164&lt;&gt;"",P163&lt;&gt;""),K164/P163,IF(K164&lt;&gt;"",K164/$D$2,""))</f>
        <v/>
      </c>
      <c r="M164" s="12"/>
      <c r="N164" s="12"/>
      <c r="O164" s="12"/>
      <c r="P164" s="16" t="str">
        <f aca="false">IF(K164&lt;&gt;"",P163+K164,IF(B164&lt;&gt;"",P163,""))</f>
        <v/>
      </c>
      <c r="Q164" s="17" t="str">
        <f aca="false">IF(P164&lt;&gt;"",MIN(0,P164-MAX($P$4:P164)),"")</f>
        <v/>
      </c>
    </row>
    <row r="165" customFormat="false" ht="15" hidden="false" customHeight="true" outlineLevel="0" collapsed="false">
      <c r="A165" s="11" t="str">
        <f aca="false">IF(B165&lt;&gt;"",COUNTA($B$4:B165),"")</f>
        <v/>
      </c>
      <c r="B165" s="20"/>
      <c r="C165" s="20"/>
      <c r="D165" s="20"/>
      <c r="E165" s="20"/>
      <c r="F165" s="20"/>
      <c r="G165" s="20"/>
      <c r="H165" s="20"/>
      <c r="I165" s="21"/>
      <c r="J165" s="20"/>
      <c r="K165" s="14" t="str">
        <f aca="false">IF(AND(I165&lt;&gt;"",H165&lt;&gt;"",J165&lt;&gt;""),IF(J165="W",I165*H165,IF(J165="L",-I165,IF(J165="P",I165*H165*0.5,""))),"")</f>
        <v/>
      </c>
      <c r="L165" s="15" t="str">
        <f aca="false">IF(AND(K165&lt;&gt;"",P164&lt;&gt;""),K165/P164,IF(K165&lt;&gt;"",K165/$D$2,""))</f>
        <v/>
      </c>
      <c r="M165" s="20"/>
      <c r="N165" s="20"/>
      <c r="O165" s="20"/>
      <c r="P165" s="16" t="str">
        <f aca="false">IF(K165&lt;&gt;"",P164+K165,IF(B165&lt;&gt;"",P164,""))</f>
        <v/>
      </c>
      <c r="Q165" s="17" t="str">
        <f aca="false">IF(P165&lt;&gt;"",MIN(0,P165-MAX($P$4:P165)),"")</f>
        <v/>
      </c>
    </row>
    <row r="166" customFormat="false" ht="15" hidden="false" customHeight="true" outlineLevel="0" collapsed="false">
      <c r="A166" s="11" t="str">
        <f aca="false">IF(B166&lt;&gt;"",COUNTA($B$4:B166),"")</f>
        <v/>
      </c>
      <c r="B166" s="12"/>
      <c r="C166" s="12"/>
      <c r="D166" s="12"/>
      <c r="E166" s="12"/>
      <c r="F166" s="12"/>
      <c r="G166" s="12"/>
      <c r="H166" s="12"/>
      <c r="I166" s="13"/>
      <c r="J166" s="12"/>
      <c r="K166" s="14" t="str">
        <f aca="false">IF(AND(I166&lt;&gt;"",H166&lt;&gt;"",J166&lt;&gt;""),IF(J166="W",I166*H166,IF(J166="L",-I166,IF(J166="P",I166*H166*0.5,""))),"")</f>
        <v/>
      </c>
      <c r="L166" s="15" t="str">
        <f aca="false">IF(AND(K166&lt;&gt;"",P165&lt;&gt;""),K166/P165,IF(K166&lt;&gt;"",K166/$D$2,""))</f>
        <v/>
      </c>
      <c r="M166" s="12"/>
      <c r="N166" s="12"/>
      <c r="O166" s="12"/>
      <c r="P166" s="16" t="str">
        <f aca="false">IF(K166&lt;&gt;"",P165+K166,IF(B166&lt;&gt;"",P165,""))</f>
        <v/>
      </c>
      <c r="Q166" s="17" t="str">
        <f aca="false">IF(P166&lt;&gt;"",MIN(0,P166-MAX($P$4:P166)),"")</f>
        <v/>
      </c>
    </row>
    <row r="167" customFormat="false" ht="15" hidden="false" customHeight="true" outlineLevel="0" collapsed="false">
      <c r="A167" s="11" t="str">
        <f aca="false">IF(B167&lt;&gt;"",COUNTA($B$4:B167),"")</f>
        <v/>
      </c>
      <c r="B167" s="20"/>
      <c r="C167" s="20"/>
      <c r="D167" s="20"/>
      <c r="E167" s="20"/>
      <c r="F167" s="20"/>
      <c r="G167" s="20"/>
      <c r="H167" s="20"/>
      <c r="I167" s="21"/>
      <c r="J167" s="20"/>
      <c r="K167" s="14" t="str">
        <f aca="false">IF(AND(I167&lt;&gt;"",H167&lt;&gt;"",J167&lt;&gt;""),IF(J167="W",I167*H167,IF(J167="L",-I167,IF(J167="P",I167*H167*0.5,""))),"")</f>
        <v/>
      </c>
      <c r="L167" s="15" t="str">
        <f aca="false">IF(AND(K167&lt;&gt;"",P166&lt;&gt;""),K167/P166,IF(K167&lt;&gt;"",K167/$D$2,""))</f>
        <v/>
      </c>
      <c r="M167" s="20"/>
      <c r="N167" s="20"/>
      <c r="O167" s="20"/>
      <c r="P167" s="16" t="str">
        <f aca="false">IF(K167&lt;&gt;"",P166+K167,IF(B167&lt;&gt;"",P166,""))</f>
        <v/>
      </c>
      <c r="Q167" s="17" t="str">
        <f aca="false">IF(P167&lt;&gt;"",MIN(0,P167-MAX($P$4:P167)),"")</f>
        <v/>
      </c>
    </row>
    <row r="168" customFormat="false" ht="15" hidden="false" customHeight="true" outlineLevel="0" collapsed="false">
      <c r="A168" s="11" t="str">
        <f aca="false">IF(B168&lt;&gt;"",COUNTA($B$4:B168),"")</f>
        <v/>
      </c>
      <c r="B168" s="12"/>
      <c r="C168" s="12"/>
      <c r="D168" s="12"/>
      <c r="E168" s="12"/>
      <c r="F168" s="12"/>
      <c r="G168" s="12"/>
      <c r="H168" s="12"/>
      <c r="I168" s="13"/>
      <c r="J168" s="12"/>
      <c r="K168" s="14" t="str">
        <f aca="false">IF(AND(I168&lt;&gt;"",H168&lt;&gt;"",J168&lt;&gt;""),IF(J168="W",I168*H168,IF(J168="L",-I168,IF(J168="P",I168*H168*0.5,""))),"")</f>
        <v/>
      </c>
      <c r="L168" s="15" t="str">
        <f aca="false">IF(AND(K168&lt;&gt;"",P167&lt;&gt;""),K168/P167,IF(K168&lt;&gt;"",K168/$D$2,""))</f>
        <v/>
      </c>
      <c r="M168" s="12"/>
      <c r="N168" s="12"/>
      <c r="O168" s="12"/>
      <c r="P168" s="16" t="str">
        <f aca="false">IF(K168&lt;&gt;"",P167+K168,IF(B168&lt;&gt;"",P167,""))</f>
        <v/>
      </c>
      <c r="Q168" s="17" t="str">
        <f aca="false">IF(P168&lt;&gt;"",MIN(0,P168-MAX($P$4:P168)),"")</f>
        <v/>
      </c>
    </row>
    <row r="169" customFormat="false" ht="15" hidden="false" customHeight="true" outlineLevel="0" collapsed="false">
      <c r="A169" s="11" t="str">
        <f aca="false">IF(B169&lt;&gt;"",COUNTA($B$4:B169),"")</f>
        <v/>
      </c>
      <c r="B169" s="20"/>
      <c r="C169" s="20"/>
      <c r="D169" s="20"/>
      <c r="E169" s="20"/>
      <c r="F169" s="20"/>
      <c r="G169" s="20"/>
      <c r="H169" s="20"/>
      <c r="I169" s="21"/>
      <c r="J169" s="20"/>
      <c r="K169" s="14" t="str">
        <f aca="false">IF(AND(I169&lt;&gt;"",H169&lt;&gt;"",J169&lt;&gt;""),IF(J169="W",I169*H169,IF(J169="L",-I169,IF(J169="P",I169*H169*0.5,""))),"")</f>
        <v/>
      </c>
      <c r="L169" s="15" t="str">
        <f aca="false">IF(AND(K169&lt;&gt;"",P168&lt;&gt;""),K169/P168,IF(K169&lt;&gt;"",K169/$D$2,""))</f>
        <v/>
      </c>
      <c r="M169" s="20"/>
      <c r="N169" s="20"/>
      <c r="O169" s="20"/>
      <c r="P169" s="16" t="str">
        <f aca="false">IF(K169&lt;&gt;"",P168+K169,IF(B169&lt;&gt;"",P168,""))</f>
        <v/>
      </c>
      <c r="Q169" s="17" t="str">
        <f aca="false">IF(P169&lt;&gt;"",MIN(0,P169-MAX($P$4:P169)),"")</f>
        <v/>
      </c>
    </row>
    <row r="170" customFormat="false" ht="15" hidden="false" customHeight="true" outlineLevel="0" collapsed="false">
      <c r="A170" s="11" t="str">
        <f aca="false">IF(B170&lt;&gt;"",COUNTA($B$4:B170),"")</f>
        <v/>
      </c>
      <c r="B170" s="12"/>
      <c r="C170" s="12"/>
      <c r="D170" s="12"/>
      <c r="E170" s="12"/>
      <c r="F170" s="12"/>
      <c r="G170" s="12"/>
      <c r="H170" s="12"/>
      <c r="I170" s="13"/>
      <c r="J170" s="12"/>
      <c r="K170" s="14" t="str">
        <f aca="false">IF(AND(I170&lt;&gt;"",H170&lt;&gt;"",J170&lt;&gt;""),IF(J170="W",I170*H170,IF(J170="L",-I170,IF(J170="P",I170*H170*0.5,""))),"")</f>
        <v/>
      </c>
      <c r="L170" s="15" t="str">
        <f aca="false">IF(AND(K170&lt;&gt;"",P169&lt;&gt;""),K170/P169,IF(K170&lt;&gt;"",K170/$D$2,""))</f>
        <v/>
      </c>
      <c r="M170" s="12"/>
      <c r="N170" s="12"/>
      <c r="O170" s="12"/>
      <c r="P170" s="16" t="str">
        <f aca="false">IF(K170&lt;&gt;"",P169+K170,IF(B170&lt;&gt;"",P169,""))</f>
        <v/>
      </c>
      <c r="Q170" s="17" t="str">
        <f aca="false">IF(P170&lt;&gt;"",MIN(0,P170-MAX($P$4:P170)),"")</f>
        <v/>
      </c>
    </row>
    <row r="171" customFormat="false" ht="15" hidden="false" customHeight="true" outlineLevel="0" collapsed="false">
      <c r="A171" s="11" t="str">
        <f aca="false">IF(B171&lt;&gt;"",COUNTA($B$4:B171),"")</f>
        <v/>
      </c>
      <c r="B171" s="20"/>
      <c r="C171" s="20"/>
      <c r="D171" s="20"/>
      <c r="E171" s="20"/>
      <c r="F171" s="20"/>
      <c r="G171" s="20"/>
      <c r="H171" s="20"/>
      <c r="I171" s="21"/>
      <c r="J171" s="20"/>
      <c r="K171" s="14" t="str">
        <f aca="false">IF(AND(I171&lt;&gt;"",H171&lt;&gt;"",J171&lt;&gt;""),IF(J171="W",I171*H171,IF(J171="L",-I171,IF(J171="P",I171*H171*0.5,""))),"")</f>
        <v/>
      </c>
      <c r="L171" s="15" t="str">
        <f aca="false">IF(AND(K171&lt;&gt;"",P170&lt;&gt;""),K171/P170,IF(K171&lt;&gt;"",K171/$D$2,""))</f>
        <v/>
      </c>
      <c r="M171" s="20"/>
      <c r="N171" s="20"/>
      <c r="O171" s="20"/>
      <c r="P171" s="16" t="str">
        <f aca="false">IF(K171&lt;&gt;"",P170+K171,IF(B171&lt;&gt;"",P170,""))</f>
        <v/>
      </c>
      <c r="Q171" s="17" t="str">
        <f aca="false">IF(P171&lt;&gt;"",MIN(0,P171-MAX($P$4:P171)),"")</f>
        <v/>
      </c>
    </row>
    <row r="172" customFormat="false" ht="15" hidden="false" customHeight="true" outlineLevel="0" collapsed="false">
      <c r="A172" s="11" t="str">
        <f aca="false">IF(B172&lt;&gt;"",COUNTA($B$4:B172),"")</f>
        <v/>
      </c>
      <c r="B172" s="12"/>
      <c r="C172" s="12"/>
      <c r="D172" s="12"/>
      <c r="E172" s="12"/>
      <c r="F172" s="12"/>
      <c r="G172" s="12"/>
      <c r="H172" s="12"/>
      <c r="I172" s="13"/>
      <c r="J172" s="12"/>
      <c r="K172" s="14" t="str">
        <f aca="false">IF(AND(I172&lt;&gt;"",H172&lt;&gt;"",J172&lt;&gt;""),IF(J172="W",I172*H172,IF(J172="L",-I172,IF(J172="P",I172*H172*0.5,""))),"")</f>
        <v/>
      </c>
      <c r="L172" s="15" t="str">
        <f aca="false">IF(AND(K172&lt;&gt;"",P171&lt;&gt;""),K172/P171,IF(K172&lt;&gt;"",K172/$D$2,""))</f>
        <v/>
      </c>
      <c r="M172" s="12"/>
      <c r="N172" s="12"/>
      <c r="O172" s="12"/>
      <c r="P172" s="16" t="str">
        <f aca="false">IF(K172&lt;&gt;"",P171+K172,IF(B172&lt;&gt;"",P171,""))</f>
        <v/>
      </c>
      <c r="Q172" s="17" t="str">
        <f aca="false">IF(P172&lt;&gt;"",MIN(0,P172-MAX($P$4:P172)),"")</f>
        <v/>
      </c>
    </row>
    <row r="173" customFormat="false" ht="15" hidden="false" customHeight="true" outlineLevel="0" collapsed="false">
      <c r="A173" s="11" t="str">
        <f aca="false">IF(B173&lt;&gt;"",COUNTA($B$4:B173),"")</f>
        <v/>
      </c>
      <c r="B173" s="20"/>
      <c r="C173" s="20"/>
      <c r="D173" s="20"/>
      <c r="E173" s="20"/>
      <c r="F173" s="20"/>
      <c r="G173" s="20"/>
      <c r="H173" s="20"/>
      <c r="I173" s="21"/>
      <c r="J173" s="20"/>
      <c r="K173" s="14" t="str">
        <f aca="false">IF(AND(I173&lt;&gt;"",H173&lt;&gt;"",J173&lt;&gt;""),IF(J173="W",I173*H173,IF(J173="L",-I173,IF(J173="P",I173*H173*0.5,""))),"")</f>
        <v/>
      </c>
      <c r="L173" s="15" t="str">
        <f aca="false">IF(AND(K173&lt;&gt;"",P172&lt;&gt;""),K173/P172,IF(K173&lt;&gt;"",K173/$D$2,""))</f>
        <v/>
      </c>
      <c r="M173" s="20"/>
      <c r="N173" s="20"/>
      <c r="O173" s="20"/>
      <c r="P173" s="16" t="str">
        <f aca="false">IF(K173&lt;&gt;"",P172+K173,IF(B173&lt;&gt;"",P172,""))</f>
        <v/>
      </c>
      <c r="Q173" s="17" t="str">
        <f aca="false">IF(P173&lt;&gt;"",MIN(0,P173-MAX($P$4:P173)),"")</f>
        <v/>
      </c>
    </row>
    <row r="174" customFormat="false" ht="15" hidden="false" customHeight="true" outlineLevel="0" collapsed="false">
      <c r="A174" s="11" t="str">
        <f aca="false">IF(B174&lt;&gt;"",COUNTA($B$4:B174),"")</f>
        <v/>
      </c>
      <c r="B174" s="12"/>
      <c r="C174" s="12"/>
      <c r="D174" s="12"/>
      <c r="E174" s="12"/>
      <c r="F174" s="12"/>
      <c r="G174" s="12"/>
      <c r="H174" s="12"/>
      <c r="I174" s="13"/>
      <c r="J174" s="12"/>
      <c r="K174" s="14" t="str">
        <f aca="false">IF(AND(I174&lt;&gt;"",H174&lt;&gt;"",J174&lt;&gt;""),IF(J174="W",I174*H174,IF(J174="L",-I174,IF(J174="P",I174*H174*0.5,""))),"")</f>
        <v/>
      </c>
      <c r="L174" s="15" t="str">
        <f aca="false">IF(AND(K174&lt;&gt;"",P173&lt;&gt;""),K174/P173,IF(K174&lt;&gt;"",K174/$D$2,""))</f>
        <v/>
      </c>
      <c r="M174" s="12"/>
      <c r="N174" s="12"/>
      <c r="O174" s="12"/>
      <c r="P174" s="16" t="str">
        <f aca="false">IF(K174&lt;&gt;"",P173+K174,IF(B174&lt;&gt;"",P173,""))</f>
        <v/>
      </c>
      <c r="Q174" s="17" t="str">
        <f aca="false">IF(P174&lt;&gt;"",MIN(0,P174-MAX($P$4:P174)),"")</f>
        <v/>
      </c>
    </row>
    <row r="175" customFormat="false" ht="15" hidden="false" customHeight="true" outlineLevel="0" collapsed="false">
      <c r="A175" s="11" t="str">
        <f aca="false">IF(B175&lt;&gt;"",COUNTA($B$4:B175),"")</f>
        <v/>
      </c>
      <c r="B175" s="20"/>
      <c r="C175" s="20"/>
      <c r="D175" s="20"/>
      <c r="E175" s="20"/>
      <c r="F175" s="20"/>
      <c r="G175" s="20"/>
      <c r="H175" s="20"/>
      <c r="I175" s="21"/>
      <c r="J175" s="20"/>
      <c r="K175" s="14" t="str">
        <f aca="false">IF(AND(I175&lt;&gt;"",H175&lt;&gt;"",J175&lt;&gt;""),IF(J175="W",I175*H175,IF(J175="L",-I175,IF(J175="P",I175*H175*0.5,""))),"")</f>
        <v/>
      </c>
      <c r="L175" s="15" t="str">
        <f aca="false">IF(AND(K175&lt;&gt;"",P174&lt;&gt;""),K175/P174,IF(K175&lt;&gt;"",K175/$D$2,""))</f>
        <v/>
      </c>
      <c r="M175" s="20"/>
      <c r="N175" s="20"/>
      <c r="O175" s="20"/>
      <c r="P175" s="16" t="str">
        <f aca="false">IF(K175&lt;&gt;"",P174+K175,IF(B175&lt;&gt;"",P174,""))</f>
        <v/>
      </c>
      <c r="Q175" s="17" t="str">
        <f aca="false">IF(P175&lt;&gt;"",MIN(0,P175-MAX($P$4:P175)),"")</f>
        <v/>
      </c>
    </row>
    <row r="176" customFormat="false" ht="15" hidden="false" customHeight="true" outlineLevel="0" collapsed="false">
      <c r="A176" s="11" t="str">
        <f aca="false">IF(B176&lt;&gt;"",COUNTA($B$4:B176),"")</f>
        <v/>
      </c>
      <c r="B176" s="12"/>
      <c r="C176" s="12"/>
      <c r="D176" s="12"/>
      <c r="E176" s="12"/>
      <c r="F176" s="12"/>
      <c r="G176" s="12"/>
      <c r="H176" s="12"/>
      <c r="I176" s="13"/>
      <c r="J176" s="12"/>
      <c r="K176" s="14" t="str">
        <f aca="false">IF(AND(I176&lt;&gt;"",H176&lt;&gt;"",J176&lt;&gt;""),IF(J176="W",I176*H176,IF(J176="L",-I176,IF(J176="P",I176*H176*0.5,""))),"")</f>
        <v/>
      </c>
      <c r="L176" s="15" t="str">
        <f aca="false">IF(AND(K176&lt;&gt;"",P175&lt;&gt;""),K176/P175,IF(K176&lt;&gt;"",K176/$D$2,""))</f>
        <v/>
      </c>
      <c r="M176" s="12"/>
      <c r="N176" s="12"/>
      <c r="O176" s="12"/>
      <c r="P176" s="16" t="str">
        <f aca="false">IF(K176&lt;&gt;"",P175+K176,IF(B176&lt;&gt;"",P175,""))</f>
        <v/>
      </c>
      <c r="Q176" s="17" t="str">
        <f aca="false">IF(P176&lt;&gt;"",MIN(0,P176-MAX($P$4:P176)),"")</f>
        <v/>
      </c>
    </row>
    <row r="177" customFormat="false" ht="15" hidden="false" customHeight="true" outlineLevel="0" collapsed="false">
      <c r="A177" s="11" t="str">
        <f aca="false">IF(B177&lt;&gt;"",COUNTA($B$4:B177),"")</f>
        <v/>
      </c>
      <c r="B177" s="20"/>
      <c r="C177" s="20"/>
      <c r="D177" s="20"/>
      <c r="E177" s="20"/>
      <c r="F177" s="20"/>
      <c r="G177" s="20"/>
      <c r="H177" s="20"/>
      <c r="I177" s="21"/>
      <c r="J177" s="20"/>
      <c r="K177" s="14" t="str">
        <f aca="false">IF(AND(I177&lt;&gt;"",H177&lt;&gt;"",J177&lt;&gt;""),IF(J177="W",I177*H177,IF(J177="L",-I177,IF(J177="P",I177*H177*0.5,""))),"")</f>
        <v/>
      </c>
      <c r="L177" s="15" t="str">
        <f aca="false">IF(AND(K177&lt;&gt;"",P176&lt;&gt;""),K177/P176,IF(K177&lt;&gt;"",K177/$D$2,""))</f>
        <v/>
      </c>
      <c r="M177" s="20"/>
      <c r="N177" s="20"/>
      <c r="O177" s="20"/>
      <c r="P177" s="16" t="str">
        <f aca="false">IF(K177&lt;&gt;"",P176+K177,IF(B177&lt;&gt;"",P176,""))</f>
        <v/>
      </c>
      <c r="Q177" s="17" t="str">
        <f aca="false">IF(P177&lt;&gt;"",MIN(0,P177-MAX($P$4:P177)),"")</f>
        <v/>
      </c>
    </row>
    <row r="178" customFormat="false" ht="15" hidden="false" customHeight="true" outlineLevel="0" collapsed="false">
      <c r="A178" s="11" t="str">
        <f aca="false">IF(B178&lt;&gt;"",COUNTA($B$4:B178),"")</f>
        <v/>
      </c>
      <c r="B178" s="12"/>
      <c r="C178" s="12"/>
      <c r="D178" s="12"/>
      <c r="E178" s="12"/>
      <c r="F178" s="12"/>
      <c r="G178" s="12"/>
      <c r="H178" s="12"/>
      <c r="I178" s="13"/>
      <c r="J178" s="12"/>
      <c r="K178" s="14" t="str">
        <f aca="false">IF(AND(I178&lt;&gt;"",H178&lt;&gt;"",J178&lt;&gt;""),IF(J178="W",I178*H178,IF(J178="L",-I178,IF(J178="P",I178*H178*0.5,""))),"")</f>
        <v/>
      </c>
      <c r="L178" s="15" t="str">
        <f aca="false">IF(AND(K178&lt;&gt;"",P177&lt;&gt;""),K178/P177,IF(K178&lt;&gt;"",K178/$D$2,""))</f>
        <v/>
      </c>
      <c r="M178" s="12"/>
      <c r="N178" s="12"/>
      <c r="O178" s="12"/>
      <c r="P178" s="16" t="str">
        <f aca="false">IF(K178&lt;&gt;"",P177+K178,IF(B178&lt;&gt;"",P177,""))</f>
        <v/>
      </c>
      <c r="Q178" s="17" t="str">
        <f aca="false">IF(P178&lt;&gt;"",MIN(0,P178-MAX($P$4:P178)),"")</f>
        <v/>
      </c>
    </row>
    <row r="179" customFormat="false" ht="15" hidden="false" customHeight="true" outlineLevel="0" collapsed="false">
      <c r="A179" s="11" t="str">
        <f aca="false">IF(B179&lt;&gt;"",COUNTA($B$4:B179),"")</f>
        <v/>
      </c>
      <c r="B179" s="20"/>
      <c r="C179" s="20"/>
      <c r="D179" s="20"/>
      <c r="E179" s="20"/>
      <c r="F179" s="20"/>
      <c r="G179" s="20"/>
      <c r="H179" s="20"/>
      <c r="I179" s="21"/>
      <c r="J179" s="20"/>
      <c r="K179" s="14" t="str">
        <f aca="false">IF(AND(I179&lt;&gt;"",H179&lt;&gt;"",J179&lt;&gt;""),IF(J179="W",I179*H179,IF(J179="L",-I179,IF(J179="P",I179*H179*0.5,""))),"")</f>
        <v/>
      </c>
      <c r="L179" s="15" t="str">
        <f aca="false">IF(AND(K179&lt;&gt;"",P178&lt;&gt;""),K179/P178,IF(K179&lt;&gt;"",K179/$D$2,""))</f>
        <v/>
      </c>
      <c r="M179" s="20"/>
      <c r="N179" s="20"/>
      <c r="O179" s="20"/>
      <c r="P179" s="16" t="str">
        <f aca="false">IF(K179&lt;&gt;"",P178+K179,IF(B179&lt;&gt;"",P178,""))</f>
        <v/>
      </c>
      <c r="Q179" s="17" t="str">
        <f aca="false">IF(P179&lt;&gt;"",MIN(0,P179-MAX($P$4:P179)),"")</f>
        <v/>
      </c>
    </row>
    <row r="180" customFormat="false" ht="15" hidden="false" customHeight="true" outlineLevel="0" collapsed="false">
      <c r="A180" s="11" t="str">
        <f aca="false">IF(B180&lt;&gt;"",COUNTA($B$4:B180),"")</f>
        <v/>
      </c>
      <c r="B180" s="12"/>
      <c r="C180" s="12"/>
      <c r="D180" s="12"/>
      <c r="E180" s="12"/>
      <c r="F180" s="12"/>
      <c r="G180" s="12"/>
      <c r="H180" s="12"/>
      <c r="I180" s="13"/>
      <c r="J180" s="12"/>
      <c r="K180" s="14" t="str">
        <f aca="false">IF(AND(I180&lt;&gt;"",H180&lt;&gt;"",J180&lt;&gt;""),IF(J180="W",I180*H180,IF(J180="L",-I180,IF(J180="P",I180*H180*0.5,""))),"")</f>
        <v/>
      </c>
      <c r="L180" s="15" t="str">
        <f aca="false">IF(AND(K180&lt;&gt;"",P179&lt;&gt;""),K180/P179,IF(K180&lt;&gt;"",K180/$D$2,""))</f>
        <v/>
      </c>
      <c r="M180" s="12"/>
      <c r="N180" s="12"/>
      <c r="O180" s="12"/>
      <c r="P180" s="16" t="str">
        <f aca="false">IF(K180&lt;&gt;"",P179+K180,IF(B180&lt;&gt;"",P179,""))</f>
        <v/>
      </c>
      <c r="Q180" s="17" t="str">
        <f aca="false">IF(P180&lt;&gt;"",MIN(0,P180-MAX($P$4:P180)),"")</f>
        <v/>
      </c>
    </row>
    <row r="181" customFormat="false" ht="15" hidden="false" customHeight="true" outlineLevel="0" collapsed="false">
      <c r="A181" s="11" t="str">
        <f aca="false">IF(B181&lt;&gt;"",COUNTA($B$4:B181),"")</f>
        <v/>
      </c>
      <c r="B181" s="20"/>
      <c r="C181" s="20"/>
      <c r="D181" s="20"/>
      <c r="E181" s="20"/>
      <c r="F181" s="20"/>
      <c r="G181" s="20"/>
      <c r="H181" s="20"/>
      <c r="I181" s="21"/>
      <c r="J181" s="20"/>
      <c r="K181" s="14" t="str">
        <f aca="false">IF(AND(I181&lt;&gt;"",H181&lt;&gt;"",J181&lt;&gt;""),IF(J181="W",I181*H181,IF(J181="L",-I181,IF(J181="P",I181*H181*0.5,""))),"")</f>
        <v/>
      </c>
      <c r="L181" s="15" t="str">
        <f aca="false">IF(AND(K181&lt;&gt;"",P180&lt;&gt;""),K181/P180,IF(K181&lt;&gt;"",K181/$D$2,""))</f>
        <v/>
      </c>
      <c r="M181" s="20"/>
      <c r="N181" s="20"/>
      <c r="O181" s="20"/>
      <c r="P181" s="16" t="str">
        <f aca="false">IF(K181&lt;&gt;"",P180+K181,IF(B181&lt;&gt;"",P180,""))</f>
        <v/>
      </c>
      <c r="Q181" s="17" t="str">
        <f aca="false">IF(P181&lt;&gt;"",MIN(0,P181-MAX($P$4:P181)),"")</f>
        <v/>
      </c>
    </row>
    <row r="182" customFormat="false" ht="15" hidden="false" customHeight="true" outlineLevel="0" collapsed="false">
      <c r="A182" s="11" t="str">
        <f aca="false">IF(B182&lt;&gt;"",COUNTA($B$4:B182),"")</f>
        <v/>
      </c>
      <c r="B182" s="12"/>
      <c r="C182" s="12"/>
      <c r="D182" s="12"/>
      <c r="E182" s="12"/>
      <c r="F182" s="12"/>
      <c r="G182" s="12"/>
      <c r="H182" s="12"/>
      <c r="I182" s="13"/>
      <c r="J182" s="12"/>
      <c r="K182" s="14" t="str">
        <f aca="false">IF(AND(I182&lt;&gt;"",H182&lt;&gt;"",J182&lt;&gt;""),IF(J182="W",I182*H182,IF(J182="L",-I182,IF(J182="P",I182*H182*0.5,""))),"")</f>
        <v/>
      </c>
      <c r="L182" s="15" t="str">
        <f aca="false">IF(AND(K182&lt;&gt;"",P181&lt;&gt;""),K182/P181,IF(K182&lt;&gt;"",K182/$D$2,""))</f>
        <v/>
      </c>
      <c r="M182" s="12"/>
      <c r="N182" s="12"/>
      <c r="O182" s="12"/>
      <c r="P182" s="16" t="str">
        <f aca="false">IF(K182&lt;&gt;"",P181+K182,IF(B182&lt;&gt;"",P181,""))</f>
        <v/>
      </c>
      <c r="Q182" s="17" t="str">
        <f aca="false">IF(P182&lt;&gt;"",MIN(0,P182-MAX($P$4:P182)),"")</f>
        <v/>
      </c>
    </row>
    <row r="183" customFormat="false" ht="15" hidden="false" customHeight="true" outlineLevel="0" collapsed="false">
      <c r="A183" s="11" t="str">
        <f aca="false">IF(B183&lt;&gt;"",COUNTA($B$4:B183),"")</f>
        <v/>
      </c>
      <c r="B183" s="20"/>
      <c r="C183" s="20"/>
      <c r="D183" s="20"/>
      <c r="E183" s="20"/>
      <c r="F183" s="20"/>
      <c r="G183" s="20"/>
      <c r="H183" s="20"/>
      <c r="I183" s="21"/>
      <c r="J183" s="20"/>
      <c r="K183" s="14" t="str">
        <f aca="false">IF(AND(I183&lt;&gt;"",H183&lt;&gt;"",J183&lt;&gt;""),IF(J183="W",I183*H183,IF(J183="L",-I183,IF(J183="P",I183*H183*0.5,""))),"")</f>
        <v/>
      </c>
      <c r="L183" s="15" t="str">
        <f aca="false">IF(AND(K183&lt;&gt;"",P182&lt;&gt;""),K183/P182,IF(K183&lt;&gt;"",K183/$D$2,""))</f>
        <v/>
      </c>
      <c r="M183" s="20"/>
      <c r="N183" s="20"/>
      <c r="O183" s="20"/>
      <c r="P183" s="16" t="str">
        <f aca="false">IF(K183&lt;&gt;"",P182+K183,IF(B183&lt;&gt;"",P182,""))</f>
        <v/>
      </c>
      <c r="Q183" s="17" t="str">
        <f aca="false">IF(P183&lt;&gt;"",MIN(0,P183-MAX($P$4:P183)),"")</f>
        <v/>
      </c>
    </row>
    <row r="184" customFormat="false" ht="15" hidden="false" customHeight="true" outlineLevel="0" collapsed="false">
      <c r="A184" s="11" t="str">
        <f aca="false">IF(B184&lt;&gt;"",COUNTA($B$4:B184),"")</f>
        <v/>
      </c>
      <c r="B184" s="12"/>
      <c r="C184" s="12"/>
      <c r="D184" s="12"/>
      <c r="E184" s="12"/>
      <c r="F184" s="12"/>
      <c r="G184" s="12"/>
      <c r="H184" s="12"/>
      <c r="I184" s="13"/>
      <c r="J184" s="12"/>
      <c r="K184" s="14" t="str">
        <f aca="false">IF(AND(I184&lt;&gt;"",H184&lt;&gt;"",J184&lt;&gt;""),IF(J184="W",I184*H184,IF(J184="L",-I184,IF(J184="P",I184*H184*0.5,""))),"")</f>
        <v/>
      </c>
      <c r="L184" s="15" t="str">
        <f aca="false">IF(AND(K184&lt;&gt;"",P183&lt;&gt;""),K184/P183,IF(K184&lt;&gt;"",K184/$D$2,""))</f>
        <v/>
      </c>
      <c r="M184" s="12"/>
      <c r="N184" s="12"/>
      <c r="O184" s="12"/>
      <c r="P184" s="16" t="str">
        <f aca="false">IF(K184&lt;&gt;"",P183+K184,IF(B184&lt;&gt;"",P183,""))</f>
        <v/>
      </c>
      <c r="Q184" s="17" t="str">
        <f aca="false">IF(P184&lt;&gt;"",MIN(0,P184-MAX($P$4:P184)),"")</f>
        <v/>
      </c>
    </row>
    <row r="185" customFormat="false" ht="15" hidden="false" customHeight="true" outlineLevel="0" collapsed="false">
      <c r="A185" s="11" t="str">
        <f aca="false">IF(B185&lt;&gt;"",COUNTA($B$4:B185),"")</f>
        <v/>
      </c>
      <c r="B185" s="20"/>
      <c r="C185" s="20"/>
      <c r="D185" s="20"/>
      <c r="E185" s="20"/>
      <c r="F185" s="20"/>
      <c r="G185" s="20"/>
      <c r="H185" s="20"/>
      <c r="I185" s="21"/>
      <c r="J185" s="20"/>
      <c r="K185" s="14" t="str">
        <f aca="false">IF(AND(I185&lt;&gt;"",H185&lt;&gt;"",J185&lt;&gt;""),IF(J185="W",I185*H185,IF(J185="L",-I185,IF(J185="P",I185*H185*0.5,""))),"")</f>
        <v/>
      </c>
      <c r="L185" s="15" t="str">
        <f aca="false">IF(AND(K185&lt;&gt;"",P184&lt;&gt;""),K185/P184,IF(K185&lt;&gt;"",K185/$D$2,""))</f>
        <v/>
      </c>
      <c r="M185" s="20"/>
      <c r="N185" s="20"/>
      <c r="O185" s="20"/>
      <c r="P185" s="16" t="str">
        <f aca="false">IF(K185&lt;&gt;"",P184+K185,IF(B185&lt;&gt;"",P184,""))</f>
        <v/>
      </c>
      <c r="Q185" s="17" t="str">
        <f aca="false">IF(P185&lt;&gt;"",MIN(0,P185-MAX($P$4:P185)),"")</f>
        <v/>
      </c>
    </row>
    <row r="186" customFormat="false" ht="15" hidden="false" customHeight="true" outlineLevel="0" collapsed="false">
      <c r="A186" s="11" t="str">
        <f aca="false">IF(B186&lt;&gt;"",COUNTA($B$4:B186),"")</f>
        <v/>
      </c>
      <c r="B186" s="12"/>
      <c r="C186" s="12"/>
      <c r="D186" s="12"/>
      <c r="E186" s="12"/>
      <c r="F186" s="12"/>
      <c r="G186" s="12"/>
      <c r="H186" s="12"/>
      <c r="I186" s="13"/>
      <c r="J186" s="12"/>
      <c r="K186" s="14" t="str">
        <f aca="false">IF(AND(I186&lt;&gt;"",H186&lt;&gt;"",J186&lt;&gt;""),IF(J186="W",I186*H186,IF(J186="L",-I186,IF(J186="P",I186*H186*0.5,""))),"")</f>
        <v/>
      </c>
      <c r="L186" s="15" t="str">
        <f aca="false">IF(AND(K186&lt;&gt;"",P185&lt;&gt;""),K186/P185,IF(K186&lt;&gt;"",K186/$D$2,""))</f>
        <v/>
      </c>
      <c r="M186" s="12"/>
      <c r="N186" s="12"/>
      <c r="O186" s="12"/>
      <c r="P186" s="16" t="str">
        <f aca="false">IF(K186&lt;&gt;"",P185+K186,IF(B186&lt;&gt;"",P185,""))</f>
        <v/>
      </c>
      <c r="Q186" s="17" t="str">
        <f aca="false">IF(P186&lt;&gt;"",MIN(0,P186-MAX($P$4:P186)),"")</f>
        <v/>
      </c>
    </row>
    <row r="187" customFormat="false" ht="15" hidden="false" customHeight="true" outlineLevel="0" collapsed="false">
      <c r="A187" s="11" t="str">
        <f aca="false">IF(B187&lt;&gt;"",COUNTA($B$4:B187),"")</f>
        <v/>
      </c>
      <c r="B187" s="20"/>
      <c r="C187" s="20"/>
      <c r="D187" s="20"/>
      <c r="E187" s="20"/>
      <c r="F187" s="20"/>
      <c r="G187" s="20"/>
      <c r="H187" s="20"/>
      <c r="I187" s="21"/>
      <c r="J187" s="20"/>
      <c r="K187" s="14" t="str">
        <f aca="false">IF(AND(I187&lt;&gt;"",H187&lt;&gt;"",J187&lt;&gt;""),IF(J187="W",I187*H187,IF(J187="L",-I187,IF(J187="P",I187*H187*0.5,""))),"")</f>
        <v/>
      </c>
      <c r="L187" s="15" t="str">
        <f aca="false">IF(AND(K187&lt;&gt;"",P186&lt;&gt;""),K187/P186,IF(K187&lt;&gt;"",K187/$D$2,""))</f>
        <v/>
      </c>
      <c r="M187" s="20"/>
      <c r="N187" s="20"/>
      <c r="O187" s="20"/>
      <c r="P187" s="16" t="str">
        <f aca="false">IF(K187&lt;&gt;"",P186+K187,IF(B187&lt;&gt;"",P186,""))</f>
        <v/>
      </c>
      <c r="Q187" s="17" t="str">
        <f aca="false">IF(P187&lt;&gt;"",MIN(0,P187-MAX($P$4:P187)),"")</f>
        <v/>
      </c>
    </row>
    <row r="188" customFormat="false" ht="15" hidden="false" customHeight="true" outlineLevel="0" collapsed="false">
      <c r="A188" s="11" t="str">
        <f aca="false">IF(B188&lt;&gt;"",COUNTA($B$4:B188),"")</f>
        <v/>
      </c>
      <c r="B188" s="12"/>
      <c r="C188" s="12"/>
      <c r="D188" s="12"/>
      <c r="E188" s="12"/>
      <c r="F188" s="12"/>
      <c r="G188" s="12"/>
      <c r="H188" s="12"/>
      <c r="I188" s="13"/>
      <c r="J188" s="12"/>
      <c r="K188" s="14" t="str">
        <f aca="false">IF(AND(I188&lt;&gt;"",H188&lt;&gt;"",J188&lt;&gt;""),IF(J188="W",I188*H188,IF(J188="L",-I188,IF(J188="P",I188*H188*0.5,""))),"")</f>
        <v/>
      </c>
      <c r="L188" s="15" t="str">
        <f aca="false">IF(AND(K188&lt;&gt;"",P187&lt;&gt;""),K188/P187,IF(K188&lt;&gt;"",K188/$D$2,""))</f>
        <v/>
      </c>
      <c r="M188" s="12"/>
      <c r="N188" s="12"/>
      <c r="O188" s="12"/>
      <c r="P188" s="16" t="str">
        <f aca="false">IF(K188&lt;&gt;"",P187+K188,IF(B188&lt;&gt;"",P187,""))</f>
        <v/>
      </c>
      <c r="Q188" s="17" t="str">
        <f aca="false">IF(P188&lt;&gt;"",MIN(0,P188-MAX($P$4:P188)),"")</f>
        <v/>
      </c>
    </row>
    <row r="189" customFormat="false" ht="15" hidden="false" customHeight="true" outlineLevel="0" collapsed="false">
      <c r="A189" s="11" t="str">
        <f aca="false">IF(B189&lt;&gt;"",COUNTA($B$4:B189),"")</f>
        <v/>
      </c>
      <c r="B189" s="20"/>
      <c r="C189" s="20"/>
      <c r="D189" s="20"/>
      <c r="E189" s="20"/>
      <c r="F189" s="20"/>
      <c r="G189" s="20"/>
      <c r="H189" s="20"/>
      <c r="I189" s="21"/>
      <c r="J189" s="20"/>
      <c r="K189" s="14" t="str">
        <f aca="false">IF(AND(I189&lt;&gt;"",H189&lt;&gt;"",J189&lt;&gt;""),IF(J189="W",I189*H189,IF(J189="L",-I189,IF(J189="P",I189*H189*0.5,""))),"")</f>
        <v/>
      </c>
      <c r="L189" s="15" t="str">
        <f aca="false">IF(AND(K189&lt;&gt;"",P188&lt;&gt;""),K189/P188,IF(K189&lt;&gt;"",K189/$D$2,""))</f>
        <v/>
      </c>
      <c r="M189" s="20"/>
      <c r="N189" s="20"/>
      <c r="O189" s="20"/>
      <c r="P189" s="16" t="str">
        <f aca="false">IF(K189&lt;&gt;"",P188+K189,IF(B189&lt;&gt;"",P188,""))</f>
        <v/>
      </c>
      <c r="Q189" s="17" t="str">
        <f aca="false">IF(P189&lt;&gt;"",MIN(0,P189-MAX($P$4:P189)),"")</f>
        <v/>
      </c>
    </row>
    <row r="190" customFormat="false" ht="15" hidden="false" customHeight="true" outlineLevel="0" collapsed="false">
      <c r="A190" s="11" t="str">
        <f aca="false">IF(B190&lt;&gt;"",COUNTA($B$4:B190),"")</f>
        <v/>
      </c>
      <c r="B190" s="12"/>
      <c r="C190" s="12"/>
      <c r="D190" s="12"/>
      <c r="E190" s="12"/>
      <c r="F190" s="12"/>
      <c r="G190" s="12"/>
      <c r="H190" s="12"/>
      <c r="I190" s="13"/>
      <c r="J190" s="12"/>
      <c r="K190" s="14" t="str">
        <f aca="false">IF(AND(I190&lt;&gt;"",H190&lt;&gt;"",J190&lt;&gt;""),IF(J190="W",I190*H190,IF(J190="L",-I190,IF(J190="P",I190*H190*0.5,""))),"")</f>
        <v/>
      </c>
      <c r="L190" s="15" t="str">
        <f aca="false">IF(AND(K190&lt;&gt;"",P189&lt;&gt;""),K190/P189,IF(K190&lt;&gt;"",K190/$D$2,""))</f>
        <v/>
      </c>
      <c r="M190" s="12"/>
      <c r="N190" s="12"/>
      <c r="O190" s="12"/>
      <c r="P190" s="16" t="str">
        <f aca="false">IF(K190&lt;&gt;"",P189+K190,IF(B190&lt;&gt;"",P189,""))</f>
        <v/>
      </c>
      <c r="Q190" s="17" t="str">
        <f aca="false">IF(P190&lt;&gt;"",MIN(0,P190-MAX($P$4:P190)),"")</f>
        <v/>
      </c>
    </row>
    <row r="191" customFormat="false" ht="15" hidden="false" customHeight="true" outlineLevel="0" collapsed="false">
      <c r="A191" s="11" t="str">
        <f aca="false">IF(B191&lt;&gt;"",COUNTA($B$4:B191),"")</f>
        <v/>
      </c>
      <c r="B191" s="20"/>
      <c r="C191" s="20"/>
      <c r="D191" s="20"/>
      <c r="E191" s="20"/>
      <c r="F191" s="20"/>
      <c r="G191" s="20"/>
      <c r="H191" s="20"/>
      <c r="I191" s="21"/>
      <c r="J191" s="20"/>
      <c r="K191" s="14" t="str">
        <f aca="false">IF(AND(I191&lt;&gt;"",H191&lt;&gt;"",J191&lt;&gt;""),IF(J191="W",I191*H191,IF(J191="L",-I191,IF(J191="P",I191*H191*0.5,""))),"")</f>
        <v/>
      </c>
      <c r="L191" s="15" t="str">
        <f aca="false">IF(AND(K191&lt;&gt;"",P190&lt;&gt;""),K191/P190,IF(K191&lt;&gt;"",K191/$D$2,""))</f>
        <v/>
      </c>
      <c r="M191" s="20"/>
      <c r="N191" s="20"/>
      <c r="O191" s="20"/>
      <c r="P191" s="16" t="str">
        <f aca="false">IF(K191&lt;&gt;"",P190+K191,IF(B191&lt;&gt;"",P190,""))</f>
        <v/>
      </c>
      <c r="Q191" s="17" t="str">
        <f aca="false">IF(P191&lt;&gt;"",MIN(0,P191-MAX($P$4:P191)),"")</f>
        <v/>
      </c>
    </row>
    <row r="192" customFormat="false" ht="15" hidden="false" customHeight="true" outlineLevel="0" collapsed="false">
      <c r="A192" s="11" t="str">
        <f aca="false">IF(B192&lt;&gt;"",COUNTA($B$4:B192),"")</f>
        <v/>
      </c>
      <c r="B192" s="12"/>
      <c r="C192" s="12"/>
      <c r="D192" s="12"/>
      <c r="E192" s="12"/>
      <c r="F192" s="12"/>
      <c r="G192" s="12"/>
      <c r="H192" s="12"/>
      <c r="I192" s="13"/>
      <c r="J192" s="12"/>
      <c r="K192" s="14" t="str">
        <f aca="false">IF(AND(I192&lt;&gt;"",H192&lt;&gt;"",J192&lt;&gt;""),IF(J192="W",I192*H192,IF(J192="L",-I192,IF(J192="P",I192*H192*0.5,""))),"")</f>
        <v/>
      </c>
      <c r="L192" s="15" t="str">
        <f aca="false">IF(AND(K192&lt;&gt;"",P191&lt;&gt;""),K192/P191,IF(K192&lt;&gt;"",K192/$D$2,""))</f>
        <v/>
      </c>
      <c r="M192" s="12"/>
      <c r="N192" s="12"/>
      <c r="O192" s="12"/>
      <c r="P192" s="16" t="str">
        <f aca="false">IF(K192&lt;&gt;"",P191+K192,IF(B192&lt;&gt;"",P191,""))</f>
        <v/>
      </c>
      <c r="Q192" s="17" t="str">
        <f aca="false">IF(P192&lt;&gt;"",MIN(0,P192-MAX($P$4:P192)),"")</f>
        <v/>
      </c>
    </row>
    <row r="193" customFormat="false" ht="15" hidden="false" customHeight="true" outlineLevel="0" collapsed="false">
      <c r="A193" s="11" t="str">
        <f aca="false">IF(B193&lt;&gt;"",COUNTA($B$4:B193),"")</f>
        <v/>
      </c>
      <c r="B193" s="20"/>
      <c r="C193" s="20"/>
      <c r="D193" s="20"/>
      <c r="E193" s="20"/>
      <c r="F193" s="20"/>
      <c r="G193" s="20"/>
      <c r="H193" s="20"/>
      <c r="I193" s="21"/>
      <c r="J193" s="20"/>
      <c r="K193" s="14" t="str">
        <f aca="false">IF(AND(I193&lt;&gt;"",H193&lt;&gt;"",J193&lt;&gt;""),IF(J193="W",I193*H193,IF(J193="L",-I193,IF(J193="P",I193*H193*0.5,""))),"")</f>
        <v/>
      </c>
      <c r="L193" s="15" t="str">
        <f aca="false">IF(AND(K193&lt;&gt;"",P192&lt;&gt;""),K193/P192,IF(K193&lt;&gt;"",K193/$D$2,""))</f>
        <v/>
      </c>
      <c r="M193" s="20"/>
      <c r="N193" s="20"/>
      <c r="O193" s="20"/>
      <c r="P193" s="16" t="str">
        <f aca="false">IF(K193&lt;&gt;"",P192+K193,IF(B193&lt;&gt;"",P192,""))</f>
        <v/>
      </c>
      <c r="Q193" s="17" t="str">
        <f aca="false">IF(P193&lt;&gt;"",MIN(0,P193-MAX($P$4:P193)),"")</f>
        <v/>
      </c>
    </row>
    <row r="194" customFormat="false" ht="15" hidden="false" customHeight="true" outlineLevel="0" collapsed="false">
      <c r="A194" s="11" t="str">
        <f aca="false">IF(B194&lt;&gt;"",COUNTA($B$4:B194),"")</f>
        <v/>
      </c>
      <c r="B194" s="12"/>
      <c r="C194" s="12"/>
      <c r="D194" s="12"/>
      <c r="E194" s="12"/>
      <c r="F194" s="12"/>
      <c r="G194" s="12"/>
      <c r="H194" s="12"/>
      <c r="I194" s="13"/>
      <c r="J194" s="12"/>
      <c r="K194" s="14" t="str">
        <f aca="false">IF(AND(I194&lt;&gt;"",H194&lt;&gt;"",J194&lt;&gt;""),IF(J194="W",I194*H194,IF(J194="L",-I194,IF(J194="P",I194*H194*0.5,""))),"")</f>
        <v/>
      </c>
      <c r="L194" s="15" t="str">
        <f aca="false">IF(AND(K194&lt;&gt;"",P193&lt;&gt;""),K194/P193,IF(K194&lt;&gt;"",K194/$D$2,""))</f>
        <v/>
      </c>
      <c r="M194" s="12"/>
      <c r="N194" s="12"/>
      <c r="O194" s="12"/>
      <c r="P194" s="16" t="str">
        <f aca="false">IF(K194&lt;&gt;"",P193+K194,IF(B194&lt;&gt;"",P193,""))</f>
        <v/>
      </c>
      <c r="Q194" s="17" t="str">
        <f aca="false">IF(P194&lt;&gt;"",MIN(0,P194-MAX($P$4:P194)),"")</f>
        <v/>
      </c>
    </row>
    <row r="195" customFormat="false" ht="15" hidden="false" customHeight="true" outlineLevel="0" collapsed="false">
      <c r="A195" s="11" t="str">
        <f aca="false">IF(B195&lt;&gt;"",COUNTA($B$4:B195),"")</f>
        <v/>
      </c>
      <c r="B195" s="20"/>
      <c r="C195" s="20"/>
      <c r="D195" s="20"/>
      <c r="E195" s="20"/>
      <c r="F195" s="20"/>
      <c r="G195" s="20"/>
      <c r="H195" s="20"/>
      <c r="I195" s="21"/>
      <c r="J195" s="20"/>
      <c r="K195" s="14" t="str">
        <f aca="false">IF(AND(I195&lt;&gt;"",H195&lt;&gt;"",J195&lt;&gt;""),IF(J195="W",I195*H195,IF(J195="L",-I195,IF(J195="P",I195*H195*0.5,""))),"")</f>
        <v/>
      </c>
      <c r="L195" s="15" t="str">
        <f aca="false">IF(AND(K195&lt;&gt;"",P194&lt;&gt;""),K195/P194,IF(K195&lt;&gt;"",K195/$D$2,""))</f>
        <v/>
      </c>
      <c r="M195" s="20"/>
      <c r="N195" s="20"/>
      <c r="O195" s="20"/>
      <c r="P195" s="16" t="str">
        <f aca="false">IF(K195&lt;&gt;"",P194+K195,IF(B195&lt;&gt;"",P194,""))</f>
        <v/>
      </c>
      <c r="Q195" s="17" t="str">
        <f aca="false">IF(P195&lt;&gt;"",MIN(0,P195-MAX($P$4:P195)),"")</f>
        <v/>
      </c>
    </row>
    <row r="196" customFormat="false" ht="15" hidden="false" customHeight="true" outlineLevel="0" collapsed="false">
      <c r="A196" s="11" t="str">
        <f aca="false">IF(B196&lt;&gt;"",COUNTA($B$4:B196),"")</f>
        <v/>
      </c>
      <c r="B196" s="12"/>
      <c r="C196" s="12"/>
      <c r="D196" s="12"/>
      <c r="E196" s="12"/>
      <c r="F196" s="12"/>
      <c r="G196" s="12"/>
      <c r="H196" s="12"/>
      <c r="I196" s="13"/>
      <c r="J196" s="12"/>
      <c r="K196" s="14" t="str">
        <f aca="false">IF(AND(I196&lt;&gt;"",H196&lt;&gt;"",J196&lt;&gt;""),IF(J196="W",I196*H196,IF(J196="L",-I196,IF(J196="P",I196*H196*0.5,""))),"")</f>
        <v/>
      </c>
      <c r="L196" s="15" t="str">
        <f aca="false">IF(AND(K196&lt;&gt;"",P195&lt;&gt;""),K196/P195,IF(K196&lt;&gt;"",K196/$D$2,""))</f>
        <v/>
      </c>
      <c r="M196" s="12"/>
      <c r="N196" s="12"/>
      <c r="O196" s="12"/>
      <c r="P196" s="16" t="str">
        <f aca="false">IF(K196&lt;&gt;"",P195+K196,IF(B196&lt;&gt;"",P195,""))</f>
        <v/>
      </c>
      <c r="Q196" s="17" t="str">
        <f aca="false">IF(P196&lt;&gt;"",MIN(0,P196-MAX($P$4:P196)),"")</f>
        <v/>
      </c>
    </row>
    <row r="197" customFormat="false" ht="15" hidden="false" customHeight="true" outlineLevel="0" collapsed="false">
      <c r="A197" s="11" t="str">
        <f aca="false">IF(B197&lt;&gt;"",COUNTA($B$4:B197),"")</f>
        <v/>
      </c>
      <c r="B197" s="20"/>
      <c r="C197" s="20"/>
      <c r="D197" s="20"/>
      <c r="E197" s="20"/>
      <c r="F197" s="20"/>
      <c r="G197" s="20"/>
      <c r="H197" s="20"/>
      <c r="I197" s="21"/>
      <c r="J197" s="20"/>
      <c r="K197" s="14" t="str">
        <f aca="false">IF(AND(I197&lt;&gt;"",H197&lt;&gt;"",J197&lt;&gt;""),IF(J197="W",I197*H197,IF(J197="L",-I197,IF(J197="P",I197*H197*0.5,""))),"")</f>
        <v/>
      </c>
      <c r="L197" s="15" t="str">
        <f aca="false">IF(AND(K197&lt;&gt;"",P196&lt;&gt;""),K197/P196,IF(K197&lt;&gt;"",K197/$D$2,""))</f>
        <v/>
      </c>
      <c r="M197" s="20"/>
      <c r="N197" s="20"/>
      <c r="O197" s="20"/>
      <c r="P197" s="16" t="str">
        <f aca="false">IF(K197&lt;&gt;"",P196+K197,IF(B197&lt;&gt;"",P196,""))</f>
        <v/>
      </c>
      <c r="Q197" s="17" t="str">
        <f aca="false">IF(P197&lt;&gt;"",MIN(0,P197-MAX($P$4:P197)),"")</f>
        <v/>
      </c>
    </row>
    <row r="198" customFormat="false" ht="15" hidden="false" customHeight="true" outlineLevel="0" collapsed="false">
      <c r="A198" s="11" t="str">
        <f aca="false">IF(B198&lt;&gt;"",COUNTA($B$4:B198),"")</f>
        <v/>
      </c>
      <c r="B198" s="12"/>
      <c r="C198" s="12"/>
      <c r="D198" s="12"/>
      <c r="E198" s="12"/>
      <c r="F198" s="12"/>
      <c r="G198" s="12"/>
      <c r="H198" s="12"/>
      <c r="I198" s="13"/>
      <c r="J198" s="12"/>
      <c r="K198" s="14" t="str">
        <f aca="false">IF(AND(I198&lt;&gt;"",H198&lt;&gt;"",J198&lt;&gt;""),IF(J198="W",I198*H198,IF(J198="L",-I198,IF(J198="P",I198*H198*0.5,""))),"")</f>
        <v/>
      </c>
      <c r="L198" s="15" t="str">
        <f aca="false">IF(AND(K198&lt;&gt;"",P197&lt;&gt;""),K198/P197,IF(K198&lt;&gt;"",K198/$D$2,""))</f>
        <v/>
      </c>
      <c r="M198" s="12"/>
      <c r="N198" s="12"/>
      <c r="O198" s="12"/>
      <c r="P198" s="16" t="str">
        <f aca="false">IF(K198&lt;&gt;"",P197+K198,IF(B198&lt;&gt;"",P197,""))</f>
        <v/>
      </c>
      <c r="Q198" s="17" t="str">
        <f aca="false">IF(P198&lt;&gt;"",MIN(0,P198-MAX($P$4:P198)),"")</f>
        <v/>
      </c>
    </row>
    <row r="199" customFormat="false" ht="15" hidden="false" customHeight="true" outlineLevel="0" collapsed="false">
      <c r="A199" s="11" t="str">
        <f aca="false">IF(B199&lt;&gt;"",COUNTA($B$4:B199),"")</f>
        <v/>
      </c>
      <c r="B199" s="20"/>
      <c r="C199" s="20"/>
      <c r="D199" s="20"/>
      <c r="E199" s="20"/>
      <c r="F199" s="20"/>
      <c r="G199" s="20"/>
      <c r="H199" s="20"/>
      <c r="I199" s="21"/>
      <c r="J199" s="20"/>
      <c r="K199" s="14" t="str">
        <f aca="false">IF(AND(I199&lt;&gt;"",H199&lt;&gt;"",J199&lt;&gt;""),IF(J199="W",I199*H199,IF(J199="L",-I199,IF(J199="P",I199*H199*0.5,""))),"")</f>
        <v/>
      </c>
      <c r="L199" s="15" t="str">
        <f aca="false">IF(AND(K199&lt;&gt;"",P198&lt;&gt;""),K199/P198,IF(K199&lt;&gt;"",K199/$D$2,""))</f>
        <v/>
      </c>
      <c r="M199" s="20"/>
      <c r="N199" s="20"/>
      <c r="O199" s="20"/>
      <c r="P199" s="16" t="str">
        <f aca="false">IF(K199&lt;&gt;"",P198+K199,IF(B199&lt;&gt;"",P198,""))</f>
        <v/>
      </c>
      <c r="Q199" s="17" t="str">
        <f aca="false">IF(P199&lt;&gt;"",MIN(0,P199-MAX($P$4:P199)),"")</f>
        <v/>
      </c>
    </row>
    <row r="200" customFormat="false" ht="15" hidden="false" customHeight="true" outlineLevel="0" collapsed="false">
      <c r="A200" s="11" t="str">
        <f aca="false">IF(B200&lt;&gt;"",COUNTA($B$4:B200),"")</f>
        <v/>
      </c>
      <c r="B200" s="12"/>
      <c r="C200" s="12"/>
      <c r="D200" s="12"/>
      <c r="E200" s="12"/>
      <c r="F200" s="12"/>
      <c r="G200" s="12"/>
      <c r="H200" s="12"/>
      <c r="I200" s="13"/>
      <c r="J200" s="12"/>
      <c r="K200" s="14" t="str">
        <f aca="false">IF(AND(I200&lt;&gt;"",H200&lt;&gt;"",J200&lt;&gt;""),IF(J200="W",I200*H200,IF(J200="L",-I200,IF(J200="P",I200*H200*0.5,""))),"")</f>
        <v/>
      </c>
      <c r="L200" s="15" t="str">
        <f aca="false">IF(AND(K200&lt;&gt;"",P199&lt;&gt;""),K200/P199,IF(K200&lt;&gt;"",K200/$D$2,""))</f>
        <v/>
      </c>
      <c r="M200" s="12"/>
      <c r="N200" s="12"/>
      <c r="O200" s="12"/>
      <c r="P200" s="16" t="str">
        <f aca="false">IF(K200&lt;&gt;"",P199+K200,IF(B200&lt;&gt;"",P199,""))</f>
        <v/>
      </c>
      <c r="Q200" s="17" t="str">
        <f aca="false">IF(P200&lt;&gt;"",MIN(0,P200-MAX($P$4:P200)),"")</f>
        <v/>
      </c>
    </row>
    <row r="201" customFormat="false" ht="15" hidden="false" customHeight="true" outlineLevel="0" collapsed="false">
      <c r="A201" s="11" t="str">
        <f aca="false">IF(B201&lt;&gt;"",COUNTA($B$4:B201),"")</f>
        <v/>
      </c>
      <c r="B201" s="20"/>
      <c r="C201" s="20"/>
      <c r="D201" s="20"/>
      <c r="E201" s="20"/>
      <c r="F201" s="20"/>
      <c r="G201" s="20"/>
      <c r="H201" s="20"/>
      <c r="I201" s="21"/>
      <c r="J201" s="20"/>
      <c r="K201" s="14" t="str">
        <f aca="false">IF(AND(I201&lt;&gt;"",H201&lt;&gt;"",J201&lt;&gt;""),IF(J201="W",I201*H201,IF(J201="L",-I201,IF(J201="P",I201*H201*0.5,""))),"")</f>
        <v/>
      </c>
      <c r="L201" s="15" t="str">
        <f aca="false">IF(AND(K201&lt;&gt;"",P200&lt;&gt;""),K201/P200,IF(K201&lt;&gt;"",K201/$D$2,""))</f>
        <v/>
      </c>
      <c r="M201" s="20"/>
      <c r="N201" s="20"/>
      <c r="O201" s="20"/>
      <c r="P201" s="16" t="str">
        <f aca="false">IF(K201&lt;&gt;"",P200+K201,IF(B201&lt;&gt;"",P200,""))</f>
        <v/>
      </c>
      <c r="Q201" s="17" t="str">
        <f aca="false">IF(P201&lt;&gt;"",MIN(0,P201-MAX($P$4:P201)),"")</f>
        <v/>
      </c>
    </row>
    <row r="202" customFormat="false" ht="15" hidden="false" customHeight="true" outlineLevel="0" collapsed="false">
      <c r="A202" s="11" t="str">
        <f aca="false">IF(B202&lt;&gt;"",COUNTA($B$4:B202),"")</f>
        <v/>
      </c>
      <c r="B202" s="12"/>
      <c r="C202" s="12"/>
      <c r="D202" s="12"/>
      <c r="E202" s="12"/>
      <c r="F202" s="12"/>
      <c r="G202" s="12"/>
      <c r="H202" s="12"/>
      <c r="I202" s="13"/>
      <c r="J202" s="12"/>
      <c r="K202" s="14" t="str">
        <f aca="false">IF(AND(I202&lt;&gt;"",H202&lt;&gt;"",J202&lt;&gt;""),IF(J202="W",I202*H202,IF(J202="L",-I202,IF(J202="P",I202*H202*0.5,""))),"")</f>
        <v/>
      </c>
      <c r="L202" s="15" t="str">
        <f aca="false">IF(AND(K202&lt;&gt;"",P201&lt;&gt;""),K202/P201,IF(K202&lt;&gt;"",K202/$D$2,""))</f>
        <v/>
      </c>
      <c r="M202" s="12"/>
      <c r="N202" s="12"/>
      <c r="O202" s="12"/>
      <c r="P202" s="16" t="str">
        <f aca="false">IF(K202&lt;&gt;"",P201+K202,IF(B202&lt;&gt;"",P201,""))</f>
        <v/>
      </c>
      <c r="Q202" s="17" t="str">
        <f aca="false">IF(P202&lt;&gt;"",MIN(0,P202-MAX($P$4:P202)),"")</f>
        <v/>
      </c>
    </row>
    <row r="203" customFormat="false" ht="15" hidden="false" customHeight="true" outlineLevel="0" collapsed="false">
      <c r="A203" s="11" t="str">
        <f aca="false">IF(B203&lt;&gt;"",COUNTA($B$4:B203),"")</f>
        <v/>
      </c>
      <c r="B203" s="20"/>
      <c r="C203" s="20"/>
      <c r="D203" s="20"/>
      <c r="E203" s="20"/>
      <c r="F203" s="20"/>
      <c r="G203" s="20"/>
      <c r="H203" s="20"/>
      <c r="I203" s="21"/>
      <c r="J203" s="20"/>
      <c r="K203" s="14" t="str">
        <f aca="false">IF(AND(I203&lt;&gt;"",H203&lt;&gt;"",J203&lt;&gt;""),IF(J203="W",I203*H203,IF(J203="L",-I203,IF(J203="P",I203*H203*0.5,""))),"")</f>
        <v/>
      </c>
      <c r="L203" s="15" t="str">
        <f aca="false">IF(AND(K203&lt;&gt;"",P202&lt;&gt;""),K203/P202,IF(K203&lt;&gt;"",K203/$D$2,""))</f>
        <v/>
      </c>
      <c r="M203" s="20"/>
      <c r="N203" s="20"/>
      <c r="O203" s="20"/>
      <c r="P203" s="16" t="str">
        <f aca="false">IF(K203&lt;&gt;"",P202+K203,IF(B203&lt;&gt;"",P202,""))</f>
        <v/>
      </c>
      <c r="Q203" s="17" t="str">
        <f aca="false">IF(P203&lt;&gt;"",MIN(0,P203-MAX($P$4:P203)),"")</f>
        <v/>
      </c>
    </row>
    <row r="204" customFormat="false" ht="15" hidden="false" customHeight="true" outlineLevel="0" collapsed="false">
      <c r="A204" s="11" t="str">
        <f aca="false">IF(B204&lt;&gt;"",COUNTA($B$4:B204),"")</f>
        <v/>
      </c>
      <c r="B204" s="12"/>
      <c r="C204" s="12"/>
      <c r="D204" s="12"/>
      <c r="E204" s="12"/>
      <c r="F204" s="12"/>
      <c r="G204" s="12"/>
      <c r="H204" s="12"/>
      <c r="I204" s="13"/>
      <c r="J204" s="12"/>
      <c r="K204" s="14" t="str">
        <f aca="false">IF(AND(I204&lt;&gt;"",H204&lt;&gt;"",J204&lt;&gt;""),IF(J204="W",I204*H204,IF(J204="L",-I204,IF(J204="P",I204*H204*0.5,""))),"")</f>
        <v/>
      </c>
      <c r="L204" s="15" t="str">
        <f aca="false">IF(AND(K204&lt;&gt;"",P203&lt;&gt;""),K204/P203,IF(K204&lt;&gt;"",K204/$D$2,""))</f>
        <v/>
      </c>
      <c r="M204" s="12"/>
      <c r="N204" s="12"/>
      <c r="O204" s="12"/>
      <c r="P204" s="16" t="str">
        <f aca="false">IF(K204&lt;&gt;"",P203+K204,IF(B204&lt;&gt;"",P203,""))</f>
        <v/>
      </c>
      <c r="Q204" s="17" t="str">
        <f aca="false">IF(P204&lt;&gt;"",MIN(0,P204-MAX($P$4:P204)),"")</f>
        <v/>
      </c>
    </row>
    <row r="205" customFormat="false" ht="15" hidden="false" customHeight="true" outlineLevel="0" collapsed="false">
      <c r="A205" s="11" t="str">
        <f aca="false">IF(B205&lt;&gt;"",COUNTA($B$4:B205),"")</f>
        <v/>
      </c>
      <c r="B205" s="20"/>
      <c r="C205" s="20"/>
      <c r="D205" s="20"/>
      <c r="E205" s="20"/>
      <c r="F205" s="20"/>
      <c r="G205" s="20"/>
      <c r="H205" s="20"/>
      <c r="I205" s="21"/>
      <c r="J205" s="20"/>
      <c r="K205" s="14" t="str">
        <f aca="false">IF(AND(I205&lt;&gt;"",H205&lt;&gt;"",J205&lt;&gt;""),IF(J205="W",I205*H205,IF(J205="L",-I205,IF(J205="P",I205*H205*0.5,""))),"")</f>
        <v/>
      </c>
      <c r="L205" s="15" t="str">
        <f aca="false">IF(AND(K205&lt;&gt;"",P204&lt;&gt;""),K205/P204,IF(K205&lt;&gt;"",K205/$D$2,""))</f>
        <v/>
      </c>
      <c r="M205" s="20"/>
      <c r="N205" s="20"/>
      <c r="O205" s="20"/>
      <c r="P205" s="16" t="str">
        <f aca="false">IF(K205&lt;&gt;"",P204+K205,IF(B205&lt;&gt;"",P204,""))</f>
        <v/>
      </c>
      <c r="Q205" s="17" t="str">
        <f aca="false">IF(P205&lt;&gt;"",MIN(0,P205-MAX($P$4:P205)),"")</f>
        <v/>
      </c>
    </row>
    <row r="206" customFormat="false" ht="15" hidden="false" customHeight="true" outlineLevel="0" collapsed="false">
      <c r="A206" s="11" t="str">
        <f aca="false">IF(B206&lt;&gt;"",COUNTA($B$4:B206),"")</f>
        <v/>
      </c>
      <c r="B206" s="12"/>
      <c r="C206" s="12"/>
      <c r="D206" s="12"/>
      <c r="E206" s="12"/>
      <c r="F206" s="12"/>
      <c r="G206" s="12"/>
      <c r="H206" s="12"/>
      <c r="I206" s="13"/>
      <c r="J206" s="12"/>
      <c r="K206" s="14" t="str">
        <f aca="false">IF(AND(I206&lt;&gt;"",H206&lt;&gt;"",J206&lt;&gt;""),IF(J206="W",I206*H206,IF(J206="L",-I206,IF(J206="P",I206*H206*0.5,""))),"")</f>
        <v/>
      </c>
      <c r="L206" s="15" t="str">
        <f aca="false">IF(AND(K206&lt;&gt;"",P205&lt;&gt;""),K206/P205,IF(K206&lt;&gt;"",K206/$D$2,""))</f>
        <v/>
      </c>
      <c r="M206" s="12"/>
      <c r="N206" s="12"/>
      <c r="O206" s="12"/>
      <c r="P206" s="16" t="str">
        <f aca="false">IF(K206&lt;&gt;"",P205+K206,IF(B206&lt;&gt;"",P205,""))</f>
        <v/>
      </c>
      <c r="Q206" s="17" t="str">
        <f aca="false">IF(P206&lt;&gt;"",MIN(0,P206-MAX($P$4:P206)),"")</f>
        <v/>
      </c>
    </row>
    <row r="207" customFormat="false" ht="15" hidden="false" customHeight="true" outlineLevel="0" collapsed="false">
      <c r="A207" s="11" t="str">
        <f aca="false">IF(B207&lt;&gt;"",COUNTA($B$4:B207),"")</f>
        <v/>
      </c>
      <c r="B207" s="20"/>
      <c r="C207" s="20"/>
      <c r="D207" s="20"/>
      <c r="E207" s="20"/>
      <c r="F207" s="20"/>
      <c r="G207" s="20"/>
      <c r="H207" s="20"/>
      <c r="I207" s="21"/>
      <c r="J207" s="20"/>
      <c r="K207" s="14" t="str">
        <f aca="false">IF(AND(I207&lt;&gt;"",H207&lt;&gt;"",J207&lt;&gt;""),IF(J207="W",I207*H207,IF(J207="L",-I207,IF(J207="P",I207*H207*0.5,""))),"")</f>
        <v/>
      </c>
      <c r="L207" s="15" t="str">
        <f aca="false">IF(AND(K207&lt;&gt;"",P206&lt;&gt;""),K207/P206,IF(K207&lt;&gt;"",K207/$D$2,""))</f>
        <v/>
      </c>
      <c r="M207" s="20"/>
      <c r="N207" s="20"/>
      <c r="O207" s="20"/>
      <c r="P207" s="16" t="str">
        <f aca="false">IF(K207&lt;&gt;"",P206+K207,IF(B207&lt;&gt;"",P206,""))</f>
        <v/>
      </c>
      <c r="Q207" s="17" t="str">
        <f aca="false">IF(P207&lt;&gt;"",MIN(0,P207-MAX($P$4:P207)),"")</f>
        <v/>
      </c>
    </row>
    <row r="208" customFormat="false" ht="15" hidden="false" customHeight="true" outlineLevel="0" collapsed="false">
      <c r="A208" s="11" t="str">
        <f aca="false">IF(B208&lt;&gt;"",COUNTA($B$4:B208),"")</f>
        <v/>
      </c>
      <c r="B208" s="12"/>
      <c r="C208" s="12"/>
      <c r="D208" s="12"/>
      <c r="E208" s="12"/>
      <c r="F208" s="12"/>
      <c r="G208" s="12"/>
      <c r="H208" s="12"/>
      <c r="I208" s="13"/>
      <c r="J208" s="12"/>
      <c r="K208" s="14" t="str">
        <f aca="false">IF(AND(I208&lt;&gt;"",H208&lt;&gt;"",J208&lt;&gt;""),IF(J208="W",I208*H208,IF(J208="L",-I208,IF(J208="P",I208*H208*0.5,""))),"")</f>
        <v/>
      </c>
      <c r="L208" s="15" t="str">
        <f aca="false">IF(AND(K208&lt;&gt;"",P207&lt;&gt;""),K208/P207,IF(K208&lt;&gt;"",K208/$D$2,""))</f>
        <v/>
      </c>
      <c r="M208" s="12"/>
      <c r="N208" s="12"/>
      <c r="O208" s="12"/>
      <c r="P208" s="16" t="str">
        <f aca="false">IF(K208&lt;&gt;"",P207+K208,IF(B208&lt;&gt;"",P207,""))</f>
        <v/>
      </c>
      <c r="Q208" s="17" t="str">
        <f aca="false">IF(P208&lt;&gt;"",MIN(0,P208-MAX($P$4:P208)),"")</f>
        <v/>
      </c>
    </row>
    <row r="209" customFormat="false" ht="15" hidden="false" customHeight="true" outlineLevel="0" collapsed="false">
      <c r="A209" s="11" t="str">
        <f aca="false">IF(B209&lt;&gt;"",COUNTA($B$4:B209),"")</f>
        <v/>
      </c>
      <c r="B209" s="20"/>
      <c r="C209" s="20"/>
      <c r="D209" s="20"/>
      <c r="E209" s="20"/>
      <c r="F209" s="20"/>
      <c r="G209" s="20"/>
      <c r="H209" s="20"/>
      <c r="I209" s="21"/>
      <c r="J209" s="20"/>
      <c r="K209" s="14" t="str">
        <f aca="false">IF(AND(I209&lt;&gt;"",H209&lt;&gt;"",J209&lt;&gt;""),IF(J209="W",I209*H209,IF(J209="L",-I209,IF(J209="P",I209*H209*0.5,""))),"")</f>
        <v/>
      </c>
      <c r="L209" s="15" t="str">
        <f aca="false">IF(AND(K209&lt;&gt;"",P208&lt;&gt;""),K209/P208,IF(K209&lt;&gt;"",K209/$D$2,""))</f>
        <v/>
      </c>
      <c r="M209" s="20"/>
      <c r="N209" s="20"/>
      <c r="O209" s="20"/>
      <c r="P209" s="16" t="str">
        <f aca="false">IF(K209&lt;&gt;"",P208+K209,IF(B209&lt;&gt;"",P208,""))</f>
        <v/>
      </c>
      <c r="Q209" s="17" t="str">
        <f aca="false">IF(P209&lt;&gt;"",MIN(0,P209-MAX($P$4:P209)),"")</f>
        <v/>
      </c>
    </row>
    <row r="210" customFormat="false" ht="15" hidden="false" customHeight="true" outlineLevel="0" collapsed="false">
      <c r="A210" s="11" t="str">
        <f aca="false">IF(B210&lt;&gt;"",COUNTA($B$4:B210),"")</f>
        <v/>
      </c>
      <c r="B210" s="12"/>
      <c r="C210" s="12"/>
      <c r="D210" s="12"/>
      <c r="E210" s="12"/>
      <c r="F210" s="12"/>
      <c r="G210" s="12"/>
      <c r="H210" s="12"/>
      <c r="I210" s="13"/>
      <c r="J210" s="12"/>
      <c r="K210" s="14" t="str">
        <f aca="false">IF(AND(I210&lt;&gt;"",H210&lt;&gt;"",J210&lt;&gt;""),IF(J210="W",I210*H210,IF(J210="L",-I210,IF(J210="P",I210*H210*0.5,""))),"")</f>
        <v/>
      </c>
      <c r="L210" s="15" t="str">
        <f aca="false">IF(AND(K210&lt;&gt;"",P209&lt;&gt;""),K210/P209,IF(K210&lt;&gt;"",K210/$D$2,""))</f>
        <v/>
      </c>
      <c r="M210" s="12"/>
      <c r="N210" s="12"/>
      <c r="O210" s="12"/>
      <c r="P210" s="16" t="str">
        <f aca="false">IF(K210&lt;&gt;"",P209+K210,IF(B210&lt;&gt;"",P209,""))</f>
        <v/>
      </c>
      <c r="Q210" s="17" t="str">
        <f aca="false">IF(P210&lt;&gt;"",MIN(0,P210-MAX($P$4:P210)),"")</f>
        <v/>
      </c>
    </row>
    <row r="211" customFormat="false" ht="15" hidden="false" customHeight="true" outlineLevel="0" collapsed="false">
      <c r="A211" s="11" t="str">
        <f aca="false">IF(B211&lt;&gt;"",COUNTA($B$4:B211),"")</f>
        <v/>
      </c>
      <c r="B211" s="20"/>
      <c r="C211" s="20"/>
      <c r="D211" s="20"/>
      <c r="E211" s="20"/>
      <c r="F211" s="20"/>
      <c r="G211" s="20"/>
      <c r="H211" s="20"/>
      <c r="I211" s="21"/>
      <c r="J211" s="20"/>
      <c r="K211" s="14" t="str">
        <f aca="false">IF(AND(I211&lt;&gt;"",H211&lt;&gt;"",J211&lt;&gt;""),IF(J211="W",I211*H211,IF(J211="L",-I211,IF(J211="P",I211*H211*0.5,""))),"")</f>
        <v/>
      </c>
      <c r="L211" s="15" t="str">
        <f aca="false">IF(AND(K211&lt;&gt;"",P210&lt;&gt;""),K211/P210,IF(K211&lt;&gt;"",K211/$D$2,""))</f>
        <v/>
      </c>
      <c r="M211" s="20"/>
      <c r="N211" s="20"/>
      <c r="O211" s="20"/>
      <c r="P211" s="16" t="str">
        <f aca="false">IF(K211&lt;&gt;"",P210+K211,IF(B211&lt;&gt;"",P210,""))</f>
        <v/>
      </c>
      <c r="Q211" s="17" t="str">
        <f aca="false">IF(P211&lt;&gt;"",MIN(0,P211-MAX($P$4:P211)),"")</f>
        <v/>
      </c>
    </row>
    <row r="212" customFormat="false" ht="15" hidden="false" customHeight="true" outlineLevel="0" collapsed="false">
      <c r="A212" s="11" t="str">
        <f aca="false">IF(B212&lt;&gt;"",COUNTA($B$4:B212),"")</f>
        <v/>
      </c>
      <c r="B212" s="12"/>
      <c r="C212" s="12"/>
      <c r="D212" s="12"/>
      <c r="E212" s="12"/>
      <c r="F212" s="12"/>
      <c r="G212" s="12"/>
      <c r="H212" s="12"/>
      <c r="I212" s="13"/>
      <c r="J212" s="12"/>
      <c r="K212" s="14" t="str">
        <f aca="false">IF(AND(I212&lt;&gt;"",H212&lt;&gt;"",J212&lt;&gt;""),IF(J212="W",I212*H212,IF(J212="L",-I212,IF(J212="P",I212*H212*0.5,""))),"")</f>
        <v/>
      </c>
      <c r="L212" s="15" t="str">
        <f aca="false">IF(AND(K212&lt;&gt;"",P211&lt;&gt;""),K212/P211,IF(K212&lt;&gt;"",K212/$D$2,""))</f>
        <v/>
      </c>
      <c r="M212" s="12"/>
      <c r="N212" s="12"/>
      <c r="O212" s="12"/>
      <c r="P212" s="16" t="str">
        <f aca="false">IF(K212&lt;&gt;"",P211+K212,IF(B212&lt;&gt;"",P211,""))</f>
        <v/>
      </c>
      <c r="Q212" s="17" t="str">
        <f aca="false">IF(P212&lt;&gt;"",MIN(0,P212-MAX($P$4:P212)),"")</f>
        <v/>
      </c>
    </row>
    <row r="213" customFormat="false" ht="15" hidden="false" customHeight="true" outlineLevel="0" collapsed="false">
      <c r="A213" s="11" t="str">
        <f aca="false">IF(B213&lt;&gt;"",COUNTA($B$4:B213),"")</f>
        <v/>
      </c>
      <c r="B213" s="20"/>
      <c r="C213" s="20"/>
      <c r="D213" s="20"/>
      <c r="E213" s="20"/>
      <c r="F213" s="20"/>
      <c r="G213" s="20"/>
      <c r="H213" s="20"/>
      <c r="I213" s="21"/>
      <c r="J213" s="20"/>
      <c r="K213" s="14" t="str">
        <f aca="false">IF(AND(I213&lt;&gt;"",H213&lt;&gt;"",J213&lt;&gt;""),IF(J213="W",I213*H213,IF(J213="L",-I213,IF(J213="P",I213*H213*0.5,""))),"")</f>
        <v/>
      </c>
      <c r="L213" s="15" t="str">
        <f aca="false">IF(AND(K213&lt;&gt;"",P212&lt;&gt;""),K213/P212,IF(K213&lt;&gt;"",K213/$D$2,""))</f>
        <v/>
      </c>
      <c r="M213" s="20"/>
      <c r="N213" s="20"/>
      <c r="O213" s="20"/>
      <c r="P213" s="16" t="str">
        <f aca="false">IF(K213&lt;&gt;"",P212+K213,IF(B213&lt;&gt;"",P212,""))</f>
        <v/>
      </c>
      <c r="Q213" s="17" t="str">
        <f aca="false">IF(P213&lt;&gt;"",MIN(0,P213-MAX($P$4:P213)),"")</f>
        <v/>
      </c>
    </row>
    <row r="214" customFormat="false" ht="15" hidden="false" customHeight="true" outlineLevel="0" collapsed="false">
      <c r="A214" s="11" t="str">
        <f aca="false">IF(B214&lt;&gt;"",COUNTA($B$4:B214),"")</f>
        <v/>
      </c>
      <c r="B214" s="12"/>
      <c r="C214" s="12"/>
      <c r="D214" s="12"/>
      <c r="E214" s="12"/>
      <c r="F214" s="12"/>
      <c r="G214" s="12"/>
      <c r="H214" s="12"/>
      <c r="I214" s="13"/>
      <c r="J214" s="12"/>
      <c r="K214" s="14" t="str">
        <f aca="false">IF(AND(I214&lt;&gt;"",H214&lt;&gt;"",J214&lt;&gt;""),IF(J214="W",I214*H214,IF(J214="L",-I214,IF(J214="P",I214*H214*0.5,""))),"")</f>
        <v/>
      </c>
      <c r="L214" s="15" t="str">
        <f aca="false">IF(AND(K214&lt;&gt;"",P213&lt;&gt;""),K214/P213,IF(K214&lt;&gt;"",K214/$D$2,""))</f>
        <v/>
      </c>
      <c r="M214" s="12"/>
      <c r="N214" s="12"/>
      <c r="O214" s="12"/>
      <c r="P214" s="16" t="str">
        <f aca="false">IF(K214&lt;&gt;"",P213+K214,IF(B214&lt;&gt;"",P213,""))</f>
        <v/>
      </c>
      <c r="Q214" s="17" t="str">
        <f aca="false">IF(P214&lt;&gt;"",MIN(0,P214-MAX($P$4:P214)),"")</f>
        <v/>
      </c>
    </row>
    <row r="215" customFormat="false" ht="15" hidden="false" customHeight="true" outlineLevel="0" collapsed="false">
      <c r="A215" s="11" t="str">
        <f aca="false">IF(B215&lt;&gt;"",COUNTA($B$4:B215),"")</f>
        <v/>
      </c>
      <c r="B215" s="20"/>
      <c r="C215" s="20"/>
      <c r="D215" s="20"/>
      <c r="E215" s="20"/>
      <c r="F215" s="20"/>
      <c r="G215" s="20"/>
      <c r="H215" s="20"/>
      <c r="I215" s="21"/>
      <c r="J215" s="20"/>
      <c r="K215" s="14" t="str">
        <f aca="false">IF(AND(I215&lt;&gt;"",H215&lt;&gt;"",J215&lt;&gt;""),IF(J215="W",I215*H215,IF(J215="L",-I215,IF(J215="P",I215*H215*0.5,""))),"")</f>
        <v/>
      </c>
      <c r="L215" s="15" t="str">
        <f aca="false">IF(AND(K215&lt;&gt;"",P214&lt;&gt;""),K215/P214,IF(K215&lt;&gt;"",K215/$D$2,""))</f>
        <v/>
      </c>
      <c r="M215" s="20"/>
      <c r="N215" s="20"/>
      <c r="O215" s="20"/>
      <c r="P215" s="16" t="str">
        <f aca="false">IF(K215&lt;&gt;"",P214+K215,IF(B215&lt;&gt;"",P214,""))</f>
        <v/>
      </c>
      <c r="Q215" s="17" t="str">
        <f aca="false">IF(P215&lt;&gt;"",MIN(0,P215-MAX($P$4:P215)),"")</f>
        <v/>
      </c>
    </row>
    <row r="216" customFormat="false" ht="15" hidden="false" customHeight="true" outlineLevel="0" collapsed="false">
      <c r="A216" s="11" t="str">
        <f aca="false">IF(B216&lt;&gt;"",COUNTA($B$4:B216),"")</f>
        <v/>
      </c>
      <c r="B216" s="12"/>
      <c r="C216" s="12"/>
      <c r="D216" s="12"/>
      <c r="E216" s="12"/>
      <c r="F216" s="12"/>
      <c r="G216" s="12"/>
      <c r="H216" s="12"/>
      <c r="I216" s="13"/>
      <c r="J216" s="12"/>
      <c r="K216" s="14" t="str">
        <f aca="false">IF(AND(I216&lt;&gt;"",H216&lt;&gt;"",J216&lt;&gt;""),IF(J216="W",I216*H216,IF(J216="L",-I216,IF(J216="P",I216*H216*0.5,""))),"")</f>
        <v/>
      </c>
      <c r="L216" s="15" t="str">
        <f aca="false">IF(AND(K216&lt;&gt;"",P215&lt;&gt;""),K216/P215,IF(K216&lt;&gt;"",K216/$D$2,""))</f>
        <v/>
      </c>
      <c r="M216" s="12"/>
      <c r="N216" s="12"/>
      <c r="O216" s="12"/>
      <c r="P216" s="16" t="str">
        <f aca="false">IF(K216&lt;&gt;"",P215+K216,IF(B216&lt;&gt;"",P215,""))</f>
        <v/>
      </c>
      <c r="Q216" s="17" t="str">
        <f aca="false">IF(P216&lt;&gt;"",MIN(0,P216-MAX($P$4:P216)),"")</f>
        <v/>
      </c>
    </row>
    <row r="217" customFormat="false" ht="15" hidden="false" customHeight="true" outlineLevel="0" collapsed="false">
      <c r="A217" s="11" t="str">
        <f aca="false">IF(B217&lt;&gt;"",COUNTA($B$4:B217),"")</f>
        <v/>
      </c>
      <c r="B217" s="20"/>
      <c r="C217" s="20"/>
      <c r="D217" s="20"/>
      <c r="E217" s="20"/>
      <c r="F217" s="20"/>
      <c r="G217" s="20"/>
      <c r="H217" s="20"/>
      <c r="I217" s="21"/>
      <c r="J217" s="20"/>
      <c r="K217" s="14" t="str">
        <f aca="false">IF(AND(I217&lt;&gt;"",H217&lt;&gt;"",J217&lt;&gt;""),IF(J217="W",I217*H217,IF(J217="L",-I217,IF(J217="P",I217*H217*0.5,""))),"")</f>
        <v/>
      </c>
      <c r="L217" s="15" t="str">
        <f aca="false">IF(AND(K217&lt;&gt;"",P216&lt;&gt;""),K217/P216,IF(K217&lt;&gt;"",K217/$D$2,""))</f>
        <v/>
      </c>
      <c r="M217" s="20"/>
      <c r="N217" s="20"/>
      <c r="O217" s="20"/>
      <c r="P217" s="16" t="str">
        <f aca="false">IF(K217&lt;&gt;"",P216+K217,IF(B217&lt;&gt;"",P216,""))</f>
        <v/>
      </c>
      <c r="Q217" s="17" t="str">
        <f aca="false">IF(P217&lt;&gt;"",MIN(0,P217-MAX($P$4:P217)),"")</f>
        <v/>
      </c>
    </row>
    <row r="218" customFormat="false" ht="15" hidden="false" customHeight="true" outlineLevel="0" collapsed="false">
      <c r="A218" s="11" t="str">
        <f aca="false">IF(B218&lt;&gt;"",COUNTA($B$4:B218),"")</f>
        <v/>
      </c>
      <c r="B218" s="12"/>
      <c r="C218" s="12"/>
      <c r="D218" s="12"/>
      <c r="E218" s="12"/>
      <c r="F218" s="12"/>
      <c r="G218" s="12"/>
      <c r="H218" s="12"/>
      <c r="I218" s="13"/>
      <c r="J218" s="12"/>
      <c r="K218" s="14" t="str">
        <f aca="false">IF(AND(I218&lt;&gt;"",H218&lt;&gt;"",J218&lt;&gt;""),IF(J218="W",I218*H218,IF(J218="L",-I218,IF(J218="P",I218*H218*0.5,""))),"")</f>
        <v/>
      </c>
      <c r="L218" s="15" t="str">
        <f aca="false">IF(AND(K218&lt;&gt;"",P217&lt;&gt;""),K218/P217,IF(K218&lt;&gt;"",K218/$D$2,""))</f>
        <v/>
      </c>
      <c r="M218" s="12"/>
      <c r="N218" s="12"/>
      <c r="O218" s="12"/>
      <c r="P218" s="16" t="str">
        <f aca="false">IF(K218&lt;&gt;"",P217+K218,IF(B218&lt;&gt;"",P217,""))</f>
        <v/>
      </c>
      <c r="Q218" s="17" t="str">
        <f aca="false">IF(P218&lt;&gt;"",MIN(0,P218-MAX($P$4:P218)),"")</f>
        <v/>
      </c>
    </row>
    <row r="219" customFormat="false" ht="15" hidden="false" customHeight="true" outlineLevel="0" collapsed="false">
      <c r="A219" s="11" t="str">
        <f aca="false">IF(B219&lt;&gt;"",COUNTA($B$4:B219),"")</f>
        <v/>
      </c>
      <c r="B219" s="20"/>
      <c r="C219" s="20"/>
      <c r="D219" s="20"/>
      <c r="E219" s="20"/>
      <c r="F219" s="20"/>
      <c r="G219" s="20"/>
      <c r="H219" s="20"/>
      <c r="I219" s="21"/>
      <c r="J219" s="20"/>
      <c r="K219" s="14" t="str">
        <f aca="false">IF(AND(I219&lt;&gt;"",H219&lt;&gt;"",J219&lt;&gt;""),IF(J219="W",I219*H219,IF(J219="L",-I219,IF(J219="P",I219*H219*0.5,""))),"")</f>
        <v/>
      </c>
      <c r="L219" s="15" t="str">
        <f aca="false">IF(AND(K219&lt;&gt;"",P218&lt;&gt;""),K219/P218,IF(K219&lt;&gt;"",K219/$D$2,""))</f>
        <v/>
      </c>
      <c r="M219" s="20"/>
      <c r="N219" s="20"/>
      <c r="O219" s="20"/>
      <c r="P219" s="16" t="str">
        <f aca="false">IF(K219&lt;&gt;"",P218+K219,IF(B219&lt;&gt;"",P218,""))</f>
        <v/>
      </c>
      <c r="Q219" s="17" t="str">
        <f aca="false">IF(P219&lt;&gt;"",MIN(0,P219-MAX($P$4:P219)),"")</f>
        <v/>
      </c>
    </row>
    <row r="220" customFormat="false" ht="15" hidden="false" customHeight="true" outlineLevel="0" collapsed="false">
      <c r="A220" s="11" t="str">
        <f aca="false">IF(B220&lt;&gt;"",COUNTA($B$4:B220),"")</f>
        <v/>
      </c>
      <c r="B220" s="12"/>
      <c r="C220" s="12"/>
      <c r="D220" s="12"/>
      <c r="E220" s="12"/>
      <c r="F220" s="12"/>
      <c r="G220" s="12"/>
      <c r="H220" s="12"/>
      <c r="I220" s="13"/>
      <c r="J220" s="12"/>
      <c r="K220" s="14" t="str">
        <f aca="false">IF(AND(I220&lt;&gt;"",H220&lt;&gt;"",J220&lt;&gt;""),IF(J220="W",I220*H220,IF(J220="L",-I220,IF(J220="P",I220*H220*0.5,""))),"")</f>
        <v/>
      </c>
      <c r="L220" s="15" t="str">
        <f aca="false">IF(AND(K220&lt;&gt;"",P219&lt;&gt;""),K220/P219,IF(K220&lt;&gt;"",K220/$D$2,""))</f>
        <v/>
      </c>
      <c r="M220" s="12"/>
      <c r="N220" s="12"/>
      <c r="O220" s="12"/>
      <c r="P220" s="16" t="str">
        <f aca="false">IF(K220&lt;&gt;"",P219+K220,IF(B220&lt;&gt;"",P219,""))</f>
        <v/>
      </c>
      <c r="Q220" s="17" t="str">
        <f aca="false">IF(P220&lt;&gt;"",MIN(0,P220-MAX($P$4:P220)),"")</f>
        <v/>
      </c>
    </row>
    <row r="221" customFormat="false" ht="15" hidden="false" customHeight="true" outlineLevel="0" collapsed="false">
      <c r="A221" s="11" t="str">
        <f aca="false">IF(B221&lt;&gt;"",COUNTA($B$4:B221),"")</f>
        <v/>
      </c>
      <c r="B221" s="20"/>
      <c r="C221" s="20"/>
      <c r="D221" s="20"/>
      <c r="E221" s="20"/>
      <c r="F221" s="20"/>
      <c r="G221" s="20"/>
      <c r="H221" s="20"/>
      <c r="I221" s="21"/>
      <c r="J221" s="20"/>
      <c r="K221" s="14" t="str">
        <f aca="false">IF(AND(I221&lt;&gt;"",H221&lt;&gt;"",J221&lt;&gt;""),IF(J221="W",I221*H221,IF(J221="L",-I221,IF(J221="P",I221*H221*0.5,""))),"")</f>
        <v/>
      </c>
      <c r="L221" s="15" t="str">
        <f aca="false">IF(AND(K221&lt;&gt;"",P220&lt;&gt;""),K221/P220,IF(K221&lt;&gt;"",K221/$D$2,""))</f>
        <v/>
      </c>
      <c r="M221" s="20"/>
      <c r="N221" s="20"/>
      <c r="O221" s="20"/>
      <c r="P221" s="16" t="str">
        <f aca="false">IF(K221&lt;&gt;"",P220+K221,IF(B221&lt;&gt;"",P220,""))</f>
        <v/>
      </c>
      <c r="Q221" s="17" t="str">
        <f aca="false">IF(P221&lt;&gt;"",MIN(0,P221-MAX($P$4:P221)),"")</f>
        <v/>
      </c>
    </row>
    <row r="222" customFormat="false" ht="15" hidden="false" customHeight="true" outlineLevel="0" collapsed="false">
      <c r="A222" s="11" t="str">
        <f aca="false">IF(B222&lt;&gt;"",COUNTA($B$4:B222),"")</f>
        <v/>
      </c>
      <c r="B222" s="12"/>
      <c r="C222" s="12"/>
      <c r="D222" s="12"/>
      <c r="E222" s="12"/>
      <c r="F222" s="12"/>
      <c r="G222" s="12"/>
      <c r="H222" s="12"/>
      <c r="I222" s="13"/>
      <c r="J222" s="12"/>
      <c r="K222" s="14" t="str">
        <f aca="false">IF(AND(I222&lt;&gt;"",H222&lt;&gt;"",J222&lt;&gt;""),IF(J222="W",I222*H222,IF(J222="L",-I222,IF(J222="P",I222*H222*0.5,""))),"")</f>
        <v/>
      </c>
      <c r="L222" s="15" t="str">
        <f aca="false">IF(AND(K222&lt;&gt;"",P221&lt;&gt;""),K222/P221,IF(K222&lt;&gt;"",K222/$D$2,""))</f>
        <v/>
      </c>
      <c r="M222" s="12"/>
      <c r="N222" s="12"/>
      <c r="O222" s="12"/>
      <c r="P222" s="16" t="str">
        <f aca="false">IF(K222&lt;&gt;"",P221+K222,IF(B222&lt;&gt;"",P221,""))</f>
        <v/>
      </c>
      <c r="Q222" s="17" t="str">
        <f aca="false">IF(P222&lt;&gt;"",MIN(0,P222-MAX($P$4:P222)),"")</f>
        <v/>
      </c>
    </row>
    <row r="223" customFormat="false" ht="15" hidden="false" customHeight="true" outlineLevel="0" collapsed="false">
      <c r="A223" s="11" t="str">
        <f aca="false">IF(B223&lt;&gt;"",COUNTA($B$4:B223),"")</f>
        <v/>
      </c>
      <c r="B223" s="20"/>
      <c r="C223" s="20"/>
      <c r="D223" s="20"/>
      <c r="E223" s="20"/>
      <c r="F223" s="20"/>
      <c r="G223" s="20"/>
      <c r="H223" s="20"/>
      <c r="I223" s="21"/>
      <c r="J223" s="20"/>
      <c r="K223" s="14" t="str">
        <f aca="false">IF(AND(I223&lt;&gt;"",H223&lt;&gt;"",J223&lt;&gt;""),IF(J223="W",I223*H223,IF(J223="L",-I223,IF(J223="P",I223*H223*0.5,""))),"")</f>
        <v/>
      </c>
      <c r="L223" s="15" t="str">
        <f aca="false">IF(AND(K223&lt;&gt;"",P222&lt;&gt;""),K223/P222,IF(K223&lt;&gt;"",K223/$D$2,""))</f>
        <v/>
      </c>
      <c r="M223" s="20"/>
      <c r="N223" s="20"/>
      <c r="O223" s="20"/>
      <c r="P223" s="16" t="str">
        <f aca="false">IF(K223&lt;&gt;"",P222+K223,IF(B223&lt;&gt;"",P222,""))</f>
        <v/>
      </c>
      <c r="Q223" s="17" t="str">
        <f aca="false">IF(P223&lt;&gt;"",MIN(0,P223-MAX($P$4:P223)),"")</f>
        <v/>
      </c>
    </row>
    <row r="224" customFormat="false" ht="15" hidden="false" customHeight="true" outlineLevel="0" collapsed="false">
      <c r="A224" s="11" t="str">
        <f aca="false">IF(B224&lt;&gt;"",COUNTA($B$4:B224),"")</f>
        <v/>
      </c>
      <c r="B224" s="12"/>
      <c r="C224" s="12"/>
      <c r="D224" s="12"/>
      <c r="E224" s="12"/>
      <c r="F224" s="12"/>
      <c r="G224" s="12"/>
      <c r="H224" s="12"/>
      <c r="I224" s="13"/>
      <c r="J224" s="12"/>
      <c r="K224" s="14" t="str">
        <f aca="false">IF(AND(I224&lt;&gt;"",H224&lt;&gt;"",J224&lt;&gt;""),IF(J224="W",I224*H224,IF(J224="L",-I224,IF(J224="P",I224*H224*0.5,""))),"")</f>
        <v/>
      </c>
      <c r="L224" s="15" t="str">
        <f aca="false">IF(AND(K224&lt;&gt;"",P223&lt;&gt;""),K224/P223,IF(K224&lt;&gt;"",K224/$D$2,""))</f>
        <v/>
      </c>
      <c r="M224" s="12"/>
      <c r="N224" s="12"/>
      <c r="O224" s="12"/>
      <c r="P224" s="16" t="str">
        <f aca="false">IF(K224&lt;&gt;"",P223+K224,IF(B224&lt;&gt;"",P223,""))</f>
        <v/>
      </c>
      <c r="Q224" s="17" t="str">
        <f aca="false">IF(P224&lt;&gt;"",MIN(0,P224-MAX($P$4:P224)),"")</f>
        <v/>
      </c>
    </row>
    <row r="225" customFormat="false" ht="15" hidden="false" customHeight="true" outlineLevel="0" collapsed="false">
      <c r="A225" s="11" t="str">
        <f aca="false">IF(B225&lt;&gt;"",COUNTA($B$4:B225),"")</f>
        <v/>
      </c>
      <c r="B225" s="20"/>
      <c r="C225" s="20"/>
      <c r="D225" s="20"/>
      <c r="E225" s="20"/>
      <c r="F225" s="20"/>
      <c r="G225" s="20"/>
      <c r="H225" s="20"/>
      <c r="I225" s="21"/>
      <c r="J225" s="20"/>
      <c r="K225" s="14" t="str">
        <f aca="false">IF(AND(I225&lt;&gt;"",H225&lt;&gt;"",J225&lt;&gt;""),IF(J225="W",I225*H225,IF(J225="L",-I225,IF(J225="P",I225*H225*0.5,""))),"")</f>
        <v/>
      </c>
      <c r="L225" s="15" t="str">
        <f aca="false">IF(AND(K225&lt;&gt;"",P224&lt;&gt;""),K225/P224,IF(K225&lt;&gt;"",K225/$D$2,""))</f>
        <v/>
      </c>
      <c r="M225" s="20"/>
      <c r="N225" s="20"/>
      <c r="O225" s="20"/>
      <c r="P225" s="16" t="str">
        <f aca="false">IF(K225&lt;&gt;"",P224+K225,IF(B225&lt;&gt;"",P224,""))</f>
        <v/>
      </c>
      <c r="Q225" s="17" t="str">
        <f aca="false">IF(P225&lt;&gt;"",MIN(0,P225-MAX($P$4:P225)),"")</f>
        <v/>
      </c>
    </row>
    <row r="226" customFormat="false" ht="15" hidden="false" customHeight="true" outlineLevel="0" collapsed="false">
      <c r="A226" s="11" t="str">
        <f aca="false">IF(B226&lt;&gt;"",COUNTA($B$4:B226),"")</f>
        <v/>
      </c>
      <c r="B226" s="12"/>
      <c r="C226" s="12"/>
      <c r="D226" s="12"/>
      <c r="E226" s="12"/>
      <c r="F226" s="12"/>
      <c r="G226" s="12"/>
      <c r="H226" s="12"/>
      <c r="I226" s="13"/>
      <c r="J226" s="12"/>
      <c r="K226" s="14" t="str">
        <f aca="false">IF(AND(I226&lt;&gt;"",H226&lt;&gt;"",J226&lt;&gt;""),IF(J226="W",I226*H226,IF(J226="L",-I226,IF(J226="P",I226*H226*0.5,""))),"")</f>
        <v/>
      </c>
      <c r="L226" s="15" t="str">
        <f aca="false">IF(AND(K226&lt;&gt;"",P225&lt;&gt;""),K226/P225,IF(K226&lt;&gt;"",K226/$D$2,""))</f>
        <v/>
      </c>
      <c r="M226" s="12"/>
      <c r="N226" s="12"/>
      <c r="O226" s="12"/>
      <c r="P226" s="16" t="str">
        <f aca="false">IF(K226&lt;&gt;"",P225+K226,IF(B226&lt;&gt;"",P225,""))</f>
        <v/>
      </c>
      <c r="Q226" s="17" t="str">
        <f aca="false">IF(P226&lt;&gt;"",MIN(0,P226-MAX($P$4:P226)),"")</f>
        <v/>
      </c>
    </row>
    <row r="227" customFormat="false" ht="15" hidden="false" customHeight="true" outlineLevel="0" collapsed="false">
      <c r="A227" s="11" t="str">
        <f aca="false">IF(B227&lt;&gt;"",COUNTA($B$4:B227),"")</f>
        <v/>
      </c>
      <c r="B227" s="20"/>
      <c r="C227" s="20"/>
      <c r="D227" s="20"/>
      <c r="E227" s="20"/>
      <c r="F227" s="20"/>
      <c r="G227" s="20"/>
      <c r="H227" s="20"/>
      <c r="I227" s="21"/>
      <c r="J227" s="20"/>
      <c r="K227" s="14" t="str">
        <f aca="false">IF(AND(I227&lt;&gt;"",H227&lt;&gt;"",J227&lt;&gt;""),IF(J227="W",I227*H227,IF(J227="L",-I227,IF(J227="P",I227*H227*0.5,""))),"")</f>
        <v/>
      </c>
      <c r="L227" s="15" t="str">
        <f aca="false">IF(AND(K227&lt;&gt;"",P226&lt;&gt;""),K227/P226,IF(K227&lt;&gt;"",K227/$D$2,""))</f>
        <v/>
      </c>
      <c r="M227" s="20"/>
      <c r="N227" s="20"/>
      <c r="O227" s="20"/>
      <c r="P227" s="16" t="str">
        <f aca="false">IF(K227&lt;&gt;"",P226+K227,IF(B227&lt;&gt;"",P226,""))</f>
        <v/>
      </c>
      <c r="Q227" s="17" t="str">
        <f aca="false">IF(P227&lt;&gt;"",MIN(0,P227-MAX($P$4:P227)),"")</f>
        <v/>
      </c>
    </row>
    <row r="228" customFormat="false" ht="15" hidden="false" customHeight="true" outlineLevel="0" collapsed="false">
      <c r="A228" s="11" t="str">
        <f aca="false">IF(B228&lt;&gt;"",COUNTA($B$4:B228),"")</f>
        <v/>
      </c>
      <c r="B228" s="12"/>
      <c r="C228" s="12"/>
      <c r="D228" s="12"/>
      <c r="E228" s="12"/>
      <c r="F228" s="12"/>
      <c r="G228" s="12"/>
      <c r="H228" s="12"/>
      <c r="I228" s="13"/>
      <c r="J228" s="12"/>
      <c r="K228" s="14" t="str">
        <f aca="false">IF(AND(I228&lt;&gt;"",H228&lt;&gt;"",J228&lt;&gt;""),IF(J228="W",I228*H228,IF(J228="L",-I228,IF(J228="P",I228*H228*0.5,""))),"")</f>
        <v/>
      </c>
      <c r="L228" s="15" t="str">
        <f aca="false">IF(AND(K228&lt;&gt;"",P227&lt;&gt;""),K228/P227,IF(K228&lt;&gt;"",K228/$D$2,""))</f>
        <v/>
      </c>
      <c r="M228" s="12"/>
      <c r="N228" s="12"/>
      <c r="O228" s="12"/>
      <c r="P228" s="16" t="str">
        <f aca="false">IF(K228&lt;&gt;"",P227+K228,IF(B228&lt;&gt;"",P227,""))</f>
        <v/>
      </c>
      <c r="Q228" s="17" t="str">
        <f aca="false">IF(P228&lt;&gt;"",MIN(0,P228-MAX($P$4:P228)),"")</f>
        <v/>
      </c>
    </row>
    <row r="229" customFormat="false" ht="15" hidden="false" customHeight="true" outlineLevel="0" collapsed="false">
      <c r="A229" s="11" t="str">
        <f aca="false">IF(B229&lt;&gt;"",COUNTA($B$4:B229),"")</f>
        <v/>
      </c>
      <c r="B229" s="20"/>
      <c r="C229" s="20"/>
      <c r="D229" s="20"/>
      <c r="E229" s="20"/>
      <c r="F229" s="20"/>
      <c r="G229" s="20"/>
      <c r="H229" s="20"/>
      <c r="I229" s="21"/>
      <c r="J229" s="20"/>
      <c r="K229" s="14" t="str">
        <f aca="false">IF(AND(I229&lt;&gt;"",H229&lt;&gt;"",J229&lt;&gt;""),IF(J229="W",I229*H229,IF(J229="L",-I229,IF(J229="P",I229*H229*0.5,""))),"")</f>
        <v/>
      </c>
      <c r="L229" s="15" t="str">
        <f aca="false">IF(AND(K229&lt;&gt;"",P228&lt;&gt;""),K229/P228,IF(K229&lt;&gt;"",K229/$D$2,""))</f>
        <v/>
      </c>
      <c r="M229" s="20"/>
      <c r="N229" s="20"/>
      <c r="O229" s="20"/>
      <c r="P229" s="16" t="str">
        <f aca="false">IF(K229&lt;&gt;"",P228+K229,IF(B229&lt;&gt;"",P228,""))</f>
        <v/>
      </c>
      <c r="Q229" s="17" t="str">
        <f aca="false">IF(P229&lt;&gt;"",MIN(0,P229-MAX($P$4:P229)),"")</f>
        <v/>
      </c>
    </row>
    <row r="230" customFormat="false" ht="15" hidden="false" customHeight="true" outlineLevel="0" collapsed="false">
      <c r="A230" s="11" t="str">
        <f aca="false">IF(B230&lt;&gt;"",COUNTA($B$4:B230),"")</f>
        <v/>
      </c>
      <c r="B230" s="12"/>
      <c r="C230" s="12"/>
      <c r="D230" s="12"/>
      <c r="E230" s="12"/>
      <c r="F230" s="12"/>
      <c r="G230" s="12"/>
      <c r="H230" s="12"/>
      <c r="I230" s="13"/>
      <c r="J230" s="12"/>
      <c r="K230" s="14" t="str">
        <f aca="false">IF(AND(I230&lt;&gt;"",H230&lt;&gt;"",J230&lt;&gt;""),IF(J230="W",I230*H230,IF(J230="L",-I230,IF(J230="P",I230*H230*0.5,""))),"")</f>
        <v/>
      </c>
      <c r="L230" s="15" t="str">
        <f aca="false">IF(AND(K230&lt;&gt;"",P229&lt;&gt;""),K230/P229,IF(K230&lt;&gt;"",K230/$D$2,""))</f>
        <v/>
      </c>
      <c r="M230" s="12"/>
      <c r="N230" s="12"/>
      <c r="O230" s="12"/>
      <c r="P230" s="16" t="str">
        <f aca="false">IF(K230&lt;&gt;"",P229+K230,IF(B230&lt;&gt;"",P229,""))</f>
        <v/>
      </c>
      <c r="Q230" s="17" t="str">
        <f aca="false">IF(P230&lt;&gt;"",MIN(0,P230-MAX($P$4:P230)),"")</f>
        <v/>
      </c>
    </row>
    <row r="231" customFormat="false" ht="15" hidden="false" customHeight="true" outlineLevel="0" collapsed="false">
      <c r="A231" s="11" t="str">
        <f aca="false">IF(B231&lt;&gt;"",COUNTA($B$4:B231),"")</f>
        <v/>
      </c>
      <c r="B231" s="20"/>
      <c r="C231" s="20"/>
      <c r="D231" s="20"/>
      <c r="E231" s="20"/>
      <c r="F231" s="20"/>
      <c r="G231" s="20"/>
      <c r="H231" s="20"/>
      <c r="I231" s="21"/>
      <c r="J231" s="20"/>
      <c r="K231" s="14" t="str">
        <f aca="false">IF(AND(I231&lt;&gt;"",H231&lt;&gt;"",J231&lt;&gt;""),IF(J231="W",I231*H231,IF(J231="L",-I231,IF(J231="P",I231*H231*0.5,""))),"")</f>
        <v/>
      </c>
      <c r="L231" s="15" t="str">
        <f aca="false">IF(AND(K231&lt;&gt;"",P230&lt;&gt;""),K231/P230,IF(K231&lt;&gt;"",K231/$D$2,""))</f>
        <v/>
      </c>
      <c r="M231" s="20"/>
      <c r="N231" s="20"/>
      <c r="O231" s="20"/>
      <c r="P231" s="16" t="str">
        <f aca="false">IF(K231&lt;&gt;"",P230+K231,IF(B231&lt;&gt;"",P230,""))</f>
        <v/>
      </c>
      <c r="Q231" s="17" t="str">
        <f aca="false">IF(P231&lt;&gt;"",MIN(0,P231-MAX($P$4:P231)),"")</f>
        <v/>
      </c>
    </row>
    <row r="232" customFormat="false" ht="15" hidden="false" customHeight="true" outlineLevel="0" collapsed="false">
      <c r="A232" s="11" t="str">
        <f aca="false">IF(B232&lt;&gt;"",COUNTA($B$4:B232),"")</f>
        <v/>
      </c>
      <c r="B232" s="12"/>
      <c r="C232" s="12"/>
      <c r="D232" s="12"/>
      <c r="E232" s="12"/>
      <c r="F232" s="12"/>
      <c r="G232" s="12"/>
      <c r="H232" s="12"/>
      <c r="I232" s="13"/>
      <c r="J232" s="12"/>
      <c r="K232" s="14" t="str">
        <f aca="false">IF(AND(I232&lt;&gt;"",H232&lt;&gt;"",J232&lt;&gt;""),IF(J232="W",I232*H232,IF(J232="L",-I232,IF(J232="P",I232*H232*0.5,""))),"")</f>
        <v/>
      </c>
      <c r="L232" s="15" t="str">
        <f aca="false">IF(AND(K232&lt;&gt;"",P231&lt;&gt;""),K232/P231,IF(K232&lt;&gt;"",K232/$D$2,""))</f>
        <v/>
      </c>
      <c r="M232" s="12"/>
      <c r="N232" s="12"/>
      <c r="O232" s="12"/>
      <c r="P232" s="16" t="str">
        <f aca="false">IF(K232&lt;&gt;"",P231+K232,IF(B232&lt;&gt;"",P231,""))</f>
        <v/>
      </c>
      <c r="Q232" s="17" t="str">
        <f aca="false">IF(P232&lt;&gt;"",MIN(0,P232-MAX($P$4:P232)),"")</f>
        <v/>
      </c>
    </row>
    <row r="233" customFormat="false" ht="15" hidden="false" customHeight="true" outlineLevel="0" collapsed="false">
      <c r="A233" s="11" t="str">
        <f aca="false">IF(B233&lt;&gt;"",COUNTA($B$4:B233),"")</f>
        <v/>
      </c>
      <c r="B233" s="20"/>
      <c r="C233" s="20"/>
      <c r="D233" s="20"/>
      <c r="E233" s="20"/>
      <c r="F233" s="20"/>
      <c r="G233" s="20"/>
      <c r="H233" s="20"/>
      <c r="I233" s="21"/>
      <c r="J233" s="20"/>
      <c r="K233" s="14" t="str">
        <f aca="false">IF(AND(I233&lt;&gt;"",H233&lt;&gt;"",J233&lt;&gt;""),IF(J233="W",I233*H233,IF(J233="L",-I233,IF(J233="P",I233*H233*0.5,""))),"")</f>
        <v/>
      </c>
      <c r="L233" s="15" t="str">
        <f aca="false">IF(AND(K233&lt;&gt;"",P232&lt;&gt;""),K233/P232,IF(K233&lt;&gt;"",K233/$D$2,""))</f>
        <v/>
      </c>
      <c r="M233" s="20"/>
      <c r="N233" s="20"/>
      <c r="O233" s="20"/>
      <c r="P233" s="16" t="str">
        <f aca="false">IF(K233&lt;&gt;"",P232+K233,IF(B233&lt;&gt;"",P232,""))</f>
        <v/>
      </c>
      <c r="Q233" s="17" t="str">
        <f aca="false">IF(P233&lt;&gt;"",MIN(0,P233-MAX($P$4:P233)),"")</f>
        <v/>
      </c>
    </row>
    <row r="234" customFormat="false" ht="15" hidden="false" customHeight="true" outlineLevel="0" collapsed="false">
      <c r="A234" s="11" t="str">
        <f aca="false">IF(B234&lt;&gt;"",COUNTA($B$4:B234),"")</f>
        <v/>
      </c>
      <c r="B234" s="12"/>
      <c r="C234" s="12"/>
      <c r="D234" s="12"/>
      <c r="E234" s="12"/>
      <c r="F234" s="12"/>
      <c r="G234" s="12"/>
      <c r="H234" s="12"/>
      <c r="I234" s="13"/>
      <c r="J234" s="12"/>
      <c r="K234" s="14" t="str">
        <f aca="false">IF(AND(I234&lt;&gt;"",H234&lt;&gt;"",J234&lt;&gt;""),IF(J234="W",I234*H234,IF(J234="L",-I234,IF(J234="P",I234*H234*0.5,""))),"")</f>
        <v/>
      </c>
      <c r="L234" s="15" t="str">
        <f aca="false">IF(AND(K234&lt;&gt;"",P233&lt;&gt;""),K234/P233,IF(K234&lt;&gt;"",K234/$D$2,""))</f>
        <v/>
      </c>
      <c r="M234" s="12"/>
      <c r="N234" s="12"/>
      <c r="O234" s="12"/>
      <c r="P234" s="16" t="str">
        <f aca="false">IF(K234&lt;&gt;"",P233+K234,IF(B234&lt;&gt;"",P233,""))</f>
        <v/>
      </c>
      <c r="Q234" s="17" t="str">
        <f aca="false">IF(P234&lt;&gt;"",MIN(0,P234-MAX($P$4:P234)),"")</f>
        <v/>
      </c>
    </row>
    <row r="235" customFormat="false" ht="15" hidden="false" customHeight="true" outlineLevel="0" collapsed="false">
      <c r="A235" s="11" t="str">
        <f aca="false">IF(B235&lt;&gt;"",COUNTA($B$4:B235),"")</f>
        <v/>
      </c>
      <c r="B235" s="20"/>
      <c r="C235" s="20"/>
      <c r="D235" s="20"/>
      <c r="E235" s="20"/>
      <c r="F235" s="20"/>
      <c r="G235" s="20"/>
      <c r="H235" s="20"/>
      <c r="I235" s="21"/>
      <c r="J235" s="20"/>
      <c r="K235" s="14" t="str">
        <f aca="false">IF(AND(I235&lt;&gt;"",H235&lt;&gt;"",J235&lt;&gt;""),IF(J235="W",I235*H235,IF(J235="L",-I235,IF(J235="P",I235*H235*0.5,""))),"")</f>
        <v/>
      </c>
      <c r="L235" s="15" t="str">
        <f aca="false">IF(AND(K235&lt;&gt;"",P234&lt;&gt;""),K235/P234,IF(K235&lt;&gt;"",K235/$D$2,""))</f>
        <v/>
      </c>
      <c r="M235" s="20"/>
      <c r="N235" s="20"/>
      <c r="O235" s="20"/>
      <c r="P235" s="16" t="str">
        <f aca="false">IF(K235&lt;&gt;"",P234+K235,IF(B235&lt;&gt;"",P234,""))</f>
        <v/>
      </c>
      <c r="Q235" s="17" t="str">
        <f aca="false">IF(P235&lt;&gt;"",MIN(0,P235-MAX($P$4:P235)),"")</f>
        <v/>
      </c>
    </row>
    <row r="236" customFormat="false" ht="15" hidden="false" customHeight="true" outlineLevel="0" collapsed="false">
      <c r="A236" s="11" t="str">
        <f aca="false">IF(B236&lt;&gt;"",COUNTA($B$4:B236),"")</f>
        <v/>
      </c>
      <c r="B236" s="12"/>
      <c r="C236" s="12"/>
      <c r="D236" s="12"/>
      <c r="E236" s="12"/>
      <c r="F236" s="12"/>
      <c r="G236" s="12"/>
      <c r="H236" s="12"/>
      <c r="I236" s="13"/>
      <c r="J236" s="12"/>
      <c r="K236" s="14" t="str">
        <f aca="false">IF(AND(I236&lt;&gt;"",H236&lt;&gt;"",J236&lt;&gt;""),IF(J236="W",I236*H236,IF(J236="L",-I236,IF(J236="P",I236*H236*0.5,""))),"")</f>
        <v/>
      </c>
      <c r="L236" s="15" t="str">
        <f aca="false">IF(AND(K236&lt;&gt;"",P235&lt;&gt;""),K236/P235,IF(K236&lt;&gt;"",K236/$D$2,""))</f>
        <v/>
      </c>
      <c r="M236" s="12"/>
      <c r="N236" s="12"/>
      <c r="O236" s="12"/>
      <c r="P236" s="16" t="str">
        <f aca="false">IF(K236&lt;&gt;"",P235+K236,IF(B236&lt;&gt;"",P235,""))</f>
        <v/>
      </c>
      <c r="Q236" s="17" t="str">
        <f aca="false">IF(P236&lt;&gt;"",MIN(0,P236-MAX($P$4:P236)),"")</f>
        <v/>
      </c>
    </row>
    <row r="237" customFormat="false" ht="15" hidden="false" customHeight="true" outlineLevel="0" collapsed="false">
      <c r="A237" s="11" t="str">
        <f aca="false">IF(B237&lt;&gt;"",COUNTA($B$4:B237),"")</f>
        <v/>
      </c>
      <c r="B237" s="20"/>
      <c r="C237" s="20"/>
      <c r="D237" s="20"/>
      <c r="E237" s="20"/>
      <c r="F237" s="20"/>
      <c r="G237" s="20"/>
      <c r="H237" s="20"/>
      <c r="I237" s="21"/>
      <c r="J237" s="20"/>
      <c r="K237" s="14" t="str">
        <f aca="false">IF(AND(I237&lt;&gt;"",H237&lt;&gt;"",J237&lt;&gt;""),IF(J237="W",I237*H237,IF(J237="L",-I237,IF(J237="P",I237*H237*0.5,""))),"")</f>
        <v/>
      </c>
      <c r="L237" s="15" t="str">
        <f aca="false">IF(AND(K237&lt;&gt;"",P236&lt;&gt;""),K237/P236,IF(K237&lt;&gt;"",K237/$D$2,""))</f>
        <v/>
      </c>
      <c r="M237" s="20"/>
      <c r="N237" s="20"/>
      <c r="O237" s="20"/>
      <c r="P237" s="16" t="str">
        <f aca="false">IF(K237&lt;&gt;"",P236+K237,IF(B237&lt;&gt;"",P236,""))</f>
        <v/>
      </c>
      <c r="Q237" s="17" t="str">
        <f aca="false">IF(P237&lt;&gt;"",MIN(0,P237-MAX($P$4:P237)),"")</f>
        <v/>
      </c>
    </row>
    <row r="238" customFormat="false" ht="15" hidden="false" customHeight="true" outlineLevel="0" collapsed="false">
      <c r="A238" s="11" t="str">
        <f aca="false">IF(B238&lt;&gt;"",COUNTA($B$4:B238),"")</f>
        <v/>
      </c>
      <c r="B238" s="12"/>
      <c r="C238" s="12"/>
      <c r="D238" s="12"/>
      <c r="E238" s="12"/>
      <c r="F238" s="12"/>
      <c r="G238" s="12"/>
      <c r="H238" s="12"/>
      <c r="I238" s="13"/>
      <c r="J238" s="12"/>
      <c r="K238" s="14" t="str">
        <f aca="false">IF(AND(I238&lt;&gt;"",H238&lt;&gt;"",J238&lt;&gt;""),IF(J238="W",I238*H238,IF(J238="L",-I238,IF(J238="P",I238*H238*0.5,""))),"")</f>
        <v/>
      </c>
      <c r="L238" s="15" t="str">
        <f aca="false">IF(AND(K238&lt;&gt;"",P237&lt;&gt;""),K238/P237,IF(K238&lt;&gt;"",K238/$D$2,""))</f>
        <v/>
      </c>
      <c r="M238" s="12"/>
      <c r="N238" s="12"/>
      <c r="O238" s="12"/>
      <c r="P238" s="16" t="str">
        <f aca="false">IF(K238&lt;&gt;"",P237+K238,IF(B238&lt;&gt;"",P237,""))</f>
        <v/>
      </c>
      <c r="Q238" s="17" t="str">
        <f aca="false">IF(P238&lt;&gt;"",MIN(0,P238-MAX($P$4:P238)),"")</f>
        <v/>
      </c>
    </row>
    <row r="239" customFormat="false" ht="15" hidden="false" customHeight="true" outlineLevel="0" collapsed="false">
      <c r="A239" s="11" t="str">
        <f aca="false">IF(B239&lt;&gt;"",COUNTA($B$4:B239),"")</f>
        <v/>
      </c>
      <c r="B239" s="20"/>
      <c r="C239" s="20"/>
      <c r="D239" s="20"/>
      <c r="E239" s="20"/>
      <c r="F239" s="20"/>
      <c r="G239" s="20"/>
      <c r="H239" s="20"/>
      <c r="I239" s="21"/>
      <c r="J239" s="20"/>
      <c r="K239" s="14" t="str">
        <f aca="false">IF(AND(I239&lt;&gt;"",H239&lt;&gt;"",J239&lt;&gt;""),IF(J239="W",I239*H239,IF(J239="L",-I239,IF(J239="P",I239*H239*0.5,""))),"")</f>
        <v/>
      </c>
      <c r="L239" s="15" t="str">
        <f aca="false">IF(AND(K239&lt;&gt;"",P238&lt;&gt;""),K239/P238,IF(K239&lt;&gt;"",K239/$D$2,""))</f>
        <v/>
      </c>
      <c r="M239" s="20"/>
      <c r="N239" s="20"/>
      <c r="O239" s="20"/>
      <c r="P239" s="16" t="str">
        <f aca="false">IF(K239&lt;&gt;"",P238+K239,IF(B239&lt;&gt;"",P238,""))</f>
        <v/>
      </c>
      <c r="Q239" s="17" t="str">
        <f aca="false">IF(P239&lt;&gt;"",MIN(0,P239-MAX($P$4:P239)),"")</f>
        <v/>
      </c>
    </row>
    <row r="240" customFormat="false" ht="15" hidden="false" customHeight="true" outlineLevel="0" collapsed="false">
      <c r="A240" s="11" t="str">
        <f aca="false">IF(B240&lt;&gt;"",COUNTA($B$4:B240),"")</f>
        <v/>
      </c>
      <c r="B240" s="12"/>
      <c r="C240" s="12"/>
      <c r="D240" s="12"/>
      <c r="E240" s="12"/>
      <c r="F240" s="12"/>
      <c r="G240" s="12"/>
      <c r="H240" s="12"/>
      <c r="I240" s="13"/>
      <c r="J240" s="12"/>
      <c r="K240" s="14" t="str">
        <f aca="false">IF(AND(I240&lt;&gt;"",H240&lt;&gt;"",J240&lt;&gt;""),IF(J240="W",I240*H240,IF(J240="L",-I240,IF(J240="P",I240*H240*0.5,""))),"")</f>
        <v/>
      </c>
      <c r="L240" s="15" t="str">
        <f aca="false">IF(AND(K240&lt;&gt;"",P239&lt;&gt;""),K240/P239,IF(K240&lt;&gt;"",K240/$D$2,""))</f>
        <v/>
      </c>
      <c r="M240" s="12"/>
      <c r="N240" s="12"/>
      <c r="O240" s="12"/>
      <c r="P240" s="16" t="str">
        <f aca="false">IF(K240&lt;&gt;"",P239+K240,IF(B240&lt;&gt;"",P239,""))</f>
        <v/>
      </c>
      <c r="Q240" s="17" t="str">
        <f aca="false">IF(P240&lt;&gt;"",MIN(0,P240-MAX($P$4:P240)),"")</f>
        <v/>
      </c>
    </row>
    <row r="241" customFormat="false" ht="15" hidden="false" customHeight="true" outlineLevel="0" collapsed="false">
      <c r="A241" s="11" t="str">
        <f aca="false">IF(B241&lt;&gt;"",COUNTA($B$4:B241),"")</f>
        <v/>
      </c>
      <c r="B241" s="20"/>
      <c r="C241" s="20"/>
      <c r="D241" s="20"/>
      <c r="E241" s="20"/>
      <c r="F241" s="20"/>
      <c r="G241" s="20"/>
      <c r="H241" s="20"/>
      <c r="I241" s="21"/>
      <c r="J241" s="20"/>
      <c r="K241" s="14" t="str">
        <f aca="false">IF(AND(I241&lt;&gt;"",H241&lt;&gt;"",J241&lt;&gt;""),IF(J241="W",I241*H241,IF(J241="L",-I241,IF(J241="P",I241*H241*0.5,""))),"")</f>
        <v/>
      </c>
      <c r="L241" s="15" t="str">
        <f aca="false">IF(AND(K241&lt;&gt;"",P240&lt;&gt;""),K241/P240,IF(K241&lt;&gt;"",K241/$D$2,""))</f>
        <v/>
      </c>
      <c r="M241" s="20"/>
      <c r="N241" s="20"/>
      <c r="O241" s="20"/>
      <c r="P241" s="16" t="str">
        <f aca="false">IF(K241&lt;&gt;"",P240+K241,IF(B241&lt;&gt;"",P240,""))</f>
        <v/>
      </c>
      <c r="Q241" s="17" t="str">
        <f aca="false">IF(P241&lt;&gt;"",MIN(0,P241-MAX($P$4:P241)),"")</f>
        <v/>
      </c>
    </row>
    <row r="242" customFormat="false" ht="15" hidden="false" customHeight="true" outlineLevel="0" collapsed="false">
      <c r="A242" s="11" t="str">
        <f aca="false">IF(B242&lt;&gt;"",COUNTA($B$4:B242),"")</f>
        <v/>
      </c>
      <c r="B242" s="12"/>
      <c r="C242" s="12"/>
      <c r="D242" s="12"/>
      <c r="E242" s="12"/>
      <c r="F242" s="12"/>
      <c r="G242" s="12"/>
      <c r="H242" s="12"/>
      <c r="I242" s="13"/>
      <c r="J242" s="12"/>
      <c r="K242" s="14" t="str">
        <f aca="false">IF(AND(I242&lt;&gt;"",H242&lt;&gt;"",J242&lt;&gt;""),IF(J242="W",I242*H242,IF(J242="L",-I242,IF(J242="P",I242*H242*0.5,""))),"")</f>
        <v/>
      </c>
      <c r="L242" s="15" t="str">
        <f aca="false">IF(AND(K242&lt;&gt;"",P241&lt;&gt;""),K242/P241,IF(K242&lt;&gt;"",K242/$D$2,""))</f>
        <v/>
      </c>
      <c r="M242" s="12"/>
      <c r="N242" s="12"/>
      <c r="O242" s="12"/>
      <c r="P242" s="16" t="str">
        <f aca="false">IF(K242&lt;&gt;"",P241+K242,IF(B242&lt;&gt;"",P241,""))</f>
        <v/>
      </c>
      <c r="Q242" s="17" t="str">
        <f aca="false">IF(P242&lt;&gt;"",MIN(0,P242-MAX($P$4:P242)),"")</f>
        <v/>
      </c>
    </row>
    <row r="243" customFormat="false" ht="15" hidden="false" customHeight="true" outlineLevel="0" collapsed="false">
      <c r="A243" s="11" t="str">
        <f aca="false">IF(B243&lt;&gt;"",COUNTA($B$4:B243),"")</f>
        <v/>
      </c>
      <c r="B243" s="20"/>
      <c r="C243" s="20"/>
      <c r="D243" s="20"/>
      <c r="E243" s="20"/>
      <c r="F243" s="20"/>
      <c r="G243" s="20"/>
      <c r="H243" s="20"/>
      <c r="I243" s="21"/>
      <c r="J243" s="20"/>
      <c r="K243" s="14" t="str">
        <f aca="false">IF(AND(I243&lt;&gt;"",H243&lt;&gt;"",J243&lt;&gt;""),IF(J243="W",I243*H243,IF(J243="L",-I243,IF(J243="P",I243*H243*0.5,""))),"")</f>
        <v/>
      </c>
      <c r="L243" s="15" t="str">
        <f aca="false">IF(AND(K243&lt;&gt;"",P242&lt;&gt;""),K243/P242,IF(K243&lt;&gt;"",K243/$D$2,""))</f>
        <v/>
      </c>
      <c r="M243" s="20"/>
      <c r="N243" s="20"/>
      <c r="O243" s="20"/>
      <c r="P243" s="16" t="str">
        <f aca="false">IF(K243&lt;&gt;"",P242+K243,IF(B243&lt;&gt;"",P242,""))</f>
        <v/>
      </c>
      <c r="Q243" s="17" t="str">
        <f aca="false">IF(P243&lt;&gt;"",MIN(0,P243-MAX($P$4:P243)),"")</f>
        <v/>
      </c>
    </row>
    <row r="244" customFormat="false" ht="15" hidden="false" customHeight="true" outlineLevel="0" collapsed="false">
      <c r="A244" s="11" t="str">
        <f aca="false">IF(B244&lt;&gt;"",COUNTA($B$4:B244),"")</f>
        <v/>
      </c>
      <c r="B244" s="12"/>
      <c r="C244" s="12"/>
      <c r="D244" s="12"/>
      <c r="E244" s="12"/>
      <c r="F244" s="12"/>
      <c r="G244" s="12"/>
      <c r="H244" s="12"/>
      <c r="I244" s="13"/>
      <c r="J244" s="12"/>
      <c r="K244" s="14" t="str">
        <f aca="false">IF(AND(I244&lt;&gt;"",H244&lt;&gt;"",J244&lt;&gt;""),IF(J244="W",I244*H244,IF(J244="L",-I244,IF(J244="P",I244*H244*0.5,""))),"")</f>
        <v/>
      </c>
      <c r="L244" s="15" t="str">
        <f aca="false">IF(AND(K244&lt;&gt;"",P243&lt;&gt;""),K244/P243,IF(K244&lt;&gt;"",K244/$D$2,""))</f>
        <v/>
      </c>
      <c r="M244" s="12"/>
      <c r="N244" s="12"/>
      <c r="O244" s="12"/>
      <c r="P244" s="16" t="str">
        <f aca="false">IF(K244&lt;&gt;"",P243+K244,IF(B244&lt;&gt;"",P243,""))</f>
        <v/>
      </c>
      <c r="Q244" s="17" t="str">
        <f aca="false">IF(P244&lt;&gt;"",MIN(0,P244-MAX($P$4:P244)),"")</f>
        <v/>
      </c>
    </row>
    <row r="245" customFormat="false" ht="15" hidden="false" customHeight="true" outlineLevel="0" collapsed="false">
      <c r="A245" s="11" t="str">
        <f aca="false">IF(B245&lt;&gt;"",COUNTA($B$4:B245),"")</f>
        <v/>
      </c>
      <c r="B245" s="20"/>
      <c r="C245" s="20"/>
      <c r="D245" s="20"/>
      <c r="E245" s="20"/>
      <c r="F245" s="20"/>
      <c r="G245" s="20"/>
      <c r="H245" s="20"/>
      <c r="I245" s="21"/>
      <c r="J245" s="20"/>
      <c r="K245" s="14" t="str">
        <f aca="false">IF(AND(I245&lt;&gt;"",H245&lt;&gt;"",J245&lt;&gt;""),IF(J245="W",I245*H245,IF(J245="L",-I245,IF(J245="P",I245*H245*0.5,""))),"")</f>
        <v/>
      </c>
      <c r="L245" s="15" t="str">
        <f aca="false">IF(AND(K245&lt;&gt;"",P244&lt;&gt;""),K245/P244,IF(K245&lt;&gt;"",K245/$D$2,""))</f>
        <v/>
      </c>
      <c r="M245" s="20"/>
      <c r="N245" s="20"/>
      <c r="O245" s="20"/>
      <c r="P245" s="16" t="str">
        <f aca="false">IF(K245&lt;&gt;"",P244+K245,IF(B245&lt;&gt;"",P244,""))</f>
        <v/>
      </c>
      <c r="Q245" s="17" t="str">
        <f aca="false">IF(P245&lt;&gt;"",MIN(0,P245-MAX($P$4:P245)),"")</f>
        <v/>
      </c>
    </row>
    <row r="246" customFormat="false" ht="15" hidden="false" customHeight="true" outlineLevel="0" collapsed="false">
      <c r="A246" s="11" t="str">
        <f aca="false">IF(B246&lt;&gt;"",COUNTA($B$4:B246),"")</f>
        <v/>
      </c>
      <c r="B246" s="12"/>
      <c r="C246" s="12"/>
      <c r="D246" s="12"/>
      <c r="E246" s="12"/>
      <c r="F246" s="12"/>
      <c r="G246" s="12"/>
      <c r="H246" s="12"/>
      <c r="I246" s="13"/>
      <c r="J246" s="12"/>
      <c r="K246" s="14" t="str">
        <f aca="false">IF(AND(I246&lt;&gt;"",H246&lt;&gt;"",J246&lt;&gt;""),IF(J246="W",I246*H246,IF(J246="L",-I246,IF(J246="P",I246*H246*0.5,""))),"")</f>
        <v/>
      </c>
      <c r="L246" s="15" t="str">
        <f aca="false">IF(AND(K246&lt;&gt;"",P245&lt;&gt;""),K246/P245,IF(K246&lt;&gt;"",K246/$D$2,""))</f>
        <v/>
      </c>
      <c r="M246" s="12"/>
      <c r="N246" s="12"/>
      <c r="O246" s="12"/>
      <c r="P246" s="16" t="str">
        <f aca="false">IF(K246&lt;&gt;"",P245+K246,IF(B246&lt;&gt;"",P245,""))</f>
        <v/>
      </c>
      <c r="Q246" s="17" t="str">
        <f aca="false">IF(P246&lt;&gt;"",MIN(0,P246-MAX($P$4:P246)),"")</f>
        <v/>
      </c>
    </row>
    <row r="247" customFormat="false" ht="15" hidden="false" customHeight="true" outlineLevel="0" collapsed="false">
      <c r="A247" s="11" t="str">
        <f aca="false">IF(B247&lt;&gt;"",COUNTA($B$4:B247),"")</f>
        <v/>
      </c>
      <c r="B247" s="20"/>
      <c r="C247" s="20"/>
      <c r="D247" s="20"/>
      <c r="E247" s="20"/>
      <c r="F247" s="20"/>
      <c r="G247" s="20"/>
      <c r="H247" s="20"/>
      <c r="I247" s="21"/>
      <c r="J247" s="20"/>
      <c r="K247" s="14" t="str">
        <f aca="false">IF(AND(I247&lt;&gt;"",H247&lt;&gt;"",J247&lt;&gt;""),IF(J247="W",I247*H247,IF(J247="L",-I247,IF(J247="P",I247*H247*0.5,""))),"")</f>
        <v/>
      </c>
      <c r="L247" s="15" t="str">
        <f aca="false">IF(AND(K247&lt;&gt;"",P246&lt;&gt;""),K247/P246,IF(K247&lt;&gt;"",K247/$D$2,""))</f>
        <v/>
      </c>
      <c r="M247" s="20"/>
      <c r="N247" s="20"/>
      <c r="O247" s="20"/>
      <c r="P247" s="16" t="str">
        <f aca="false">IF(K247&lt;&gt;"",P246+K247,IF(B247&lt;&gt;"",P246,""))</f>
        <v/>
      </c>
      <c r="Q247" s="17" t="str">
        <f aca="false">IF(P247&lt;&gt;"",MIN(0,P247-MAX($P$4:P247)),"")</f>
        <v/>
      </c>
    </row>
    <row r="248" customFormat="false" ht="15" hidden="false" customHeight="true" outlineLevel="0" collapsed="false">
      <c r="A248" s="11" t="str">
        <f aca="false">IF(B248&lt;&gt;"",COUNTA($B$4:B248),"")</f>
        <v/>
      </c>
      <c r="B248" s="12"/>
      <c r="C248" s="12"/>
      <c r="D248" s="12"/>
      <c r="E248" s="12"/>
      <c r="F248" s="12"/>
      <c r="G248" s="12"/>
      <c r="H248" s="12"/>
      <c r="I248" s="13"/>
      <c r="J248" s="12"/>
      <c r="K248" s="14" t="str">
        <f aca="false">IF(AND(I248&lt;&gt;"",H248&lt;&gt;"",J248&lt;&gt;""),IF(J248="W",I248*H248,IF(J248="L",-I248,IF(J248="P",I248*H248*0.5,""))),"")</f>
        <v/>
      </c>
      <c r="L248" s="15" t="str">
        <f aca="false">IF(AND(K248&lt;&gt;"",P247&lt;&gt;""),K248/P247,IF(K248&lt;&gt;"",K248/$D$2,""))</f>
        <v/>
      </c>
      <c r="M248" s="12"/>
      <c r="N248" s="12"/>
      <c r="O248" s="12"/>
      <c r="P248" s="16" t="str">
        <f aca="false">IF(K248&lt;&gt;"",P247+K248,IF(B248&lt;&gt;"",P247,""))</f>
        <v/>
      </c>
      <c r="Q248" s="17" t="str">
        <f aca="false">IF(P248&lt;&gt;"",MIN(0,P248-MAX($P$4:P248)),"")</f>
        <v/>
      </c>
    </row>
    <row r="249" customFormat="false" ht="15" hidden="false" customHeight="true" outlineLevel="0" collapsed="false">
      <c r="A249" s="11" t="str">
        <f aca="false">IF(B249&lt;&gt;"",COUNTA($B$4:B249),"")</f>
        <v/>
      </c>
      <c r="B249" s="20"/>
      <c r="C249" s="20"/>
      <c r="D249" s="20"/>
      <c r="E249" s="20"/>
      <c r="F249" s="20"/>
      <c r="G249" s="20"/>
      <c r="H249" s="20"/>
      <c r="I249" s="21"/>
      <c r="J249" s="20"/>
      <c r="K249" s="14" t="str">
        <f aca="false">IF(AND(I249&lt;&gt;"",H249&lt;&gt;"",J249&lt;&gt;""),IF(J249="W",I249*H249,IF(J249="L",-I249,IF(J249="P",I249*H249*0.5,""))),"")</f>
        <v/>
      </c>
      <c r="L249" s="15" t="str">
        <f aca="false">IF(AND(K249&lt;&gt;"",P248&lt;&gt;""),K249/P248,IF(K249&lt;&gt;"",K249/$D$2,""))</f>
        <v/>
      </c>
      <c r="M249" s="20"/>
      <c r="N249" s="20"/>
      <c r="O249" s="20"/>
      <c r="P249" s="16" t="str">
        <f aca="false">IF(K249&lt;&gt;"",P248+K249,IF(B249&lt;&gt;"",P248,""))</f>
        <v/>
      </c>
      <c r="Q249" s="17" t="str">
        <f aca="false">IF(P249&lt;&gt;"",MIN(0,P249-MAX($P$4:P249)),"")</f>
        <v/>
      </c>
    </row>
    <row r="250" customFormat="false" ht="15" hidden="false" customHeight="true" outlineLevel="0" collapsed="false">
      <c r="A250" s="11" t="str">
        <f aca="false">IF(B250&lt;&gt;"",COUNTA($B$4:B250),"")</f>
        <v/>
      </c>
      <c r="B250" s="12"/>
      <c r="C250" s="12"/>
      <c r="D250" s="12"/>
      <c r="E250" s="12"/>
      <c r="F250" s="12"/>
      <c r="G250" s="12"/>
      <c r="H250" s="12"/>
      <c r="I250" s="13"/>
      <c r="J250" s="12"/>
      <c r="K250" s="14" t="str">
        <f aca="false">IF(AND(I250&lt;&gt;"",H250&lt;&gt;"",J250&lt;&gt;""),IF(J250="W",I250*H250,IF(J250="L",-I250,IF(J250="P",I250*H250*0.5,""))),"")</f>
        <v/>
      </c>
      <c r="L250" s="15" t="str">
        <f aca="false">IF(AND(K250&lt;&gt;"",P249&lt;&gt;""),K250/P249,IF(K250&lt;&gt;"",K250/$D$2,""))</f>
        <v/>
      </c>
      <c r="M250" s="12"/>
      <c r="N250" s="12"/>
      <c r="O250" s="12"/>
      <c r="P250" s="16" t="str">
        <f aca="false">IF(K250&lt;&gt;"",P249+K250,IF(B250&lt;&gt;"",P249,""))</f>
        <v/>
      </c>
      <c r="Q250" s="17" t="str">
        <f aca="false">IF(P250&lt;&gt;"",MIN(0,P250-MAX($P$4:P250)),"")</f>
        <v/>
      </c>
    </row>
    <row r="251" customFormat="false" ht="15" hidden="false" customHeight="true" outlineLevel="0" collapsed="false">
      <c r="A251" s="11" t="str">
        <f aca="false">IF(B251&lt;&gt;"",COUNTA($B$4:B251),"")</f>
        <v/>
      </c>
      <c r="B251" s="20"/>
      <c r="C251" s="20"/>
      <c r="D251" s="20"/>
      <c r="E251" s="20"/>
      <c r="F251" s="20"/>
      <c r="G251" s="20"/>
      <c r="H251" s="20"/>
      <c r="I251" s="21"/>
      <c r="J251" s="20"/>
      <c r="K251" s="14" t="str">
        <f aca="false">IF(AND(I251&lt;&gt;"",H251&lt;&gt;"",J251&lt;&gt;""),IF(J251="W",I251*H251,IF(J251="L",-I251,IF(J251="P",I251*H251*0.5,""))),"")</f>
        <v/>
      </c>
      <c r="L251" s="15" t="str">
        <f aca="false">IF(AND(K251&lt;&gt;"",P250&lt;&gt;""),K251/P250,IF(K251&lt;&gt;"",K251/$D$2,""))</f>
        <v/>
      </c>
      <c r="M251" s="20"/>
      <c r="N251" s="20"/>
      <c r="O251" s="20"/>
      <c r="P251" s="16" t="str">
        <f aca="false">IF(K251&lt;&gt;"",P250+K251,IF(B251&lt;&gt;"",P250,""))</f>
        <v/>
      </c>
      <c r="Q251" s="17" t="str">
        <f aca="false">IF(P251&lt;&gt;"",MIN(0,P251-MAX($P$4:P251)),"")</f>
        <v/>
      </c>
    </row>
    <row r="252" customFormat="false" ht="15" hidden="false" customHeight="true" outlineLevel="0" collapsed="false">
      <c r="A252" s="11" t="str">
        <f aca="false">IF(B252&lt;&gt;"",COUNTA($B$4:B252),"")</f>
        <v/>
      </c>
      <c r="B252" s="12"/>
      <c r="C252" s="12"/>
      <c r="D252" s="12"/>
      <c r="E252" s="12"/>
      <c r="F252" s="12"/>
      <c r="G252" s="12"/>
      <c r="H252" s="12"/>
      <c r="I252" s="13"/>
      <c r="J252" s="12"/>
      <c r="K252" s="14" t="str">
        <f aca="false">IF(AND(I252&lt;&gt;"",H252&lt;&gt;"",J252&lt;&gt;""),IF(J252="W",I252*H252,IF(J252="L",-I252,IF(J252="P",I252*H252*0.5,""))),"")</f>
        <v/>
      </c>
      <c r="L252" s="15" t="str">
        <f aca="false">IF(AND(K252&lt;&gt;"",P251&lt;&gt;""),K252/P251,IF(K252&lt;&gt;"",K252/$D$2,""))</f>
        <v/>
      </c>
      <c r="M252" s="12"/>
      <c r="N252" s="12"/>
      <c r="O252" s="12"/>
      <c r="P252" s="16" t="str">
        <f aca="false">IF(K252&lt;&gt;"",P251+K252,IF(B252&lt;&gt;"",P251,""))</f>
        <v/>
      </c>
      <c r="Q252" s="17" t="str">
        <f aca="false">IF(P252&lt;&gt;"",MIN(0,P252-MAX($P$4:P252)),"")</f>
        <v/>
      </c>
    </row>
    <row r="253" customFormat="false" ht="15" hidden="false" customHeight="true" outlineLevel="0" collapsed="false">
      <c r="A253" s="11" t="str">
        <f aca="false">IF(B253&lt;&gt;"",COUNTA($B$4:B253),"")</f>
        <v/>
      </c>
      <c r="B253" s="20"/>
      <c r="C253" s="20"/>
      <c r="D253" s="20"/>
      <c r="E253" s="20"/>
      <c r="F253" s="20"/>
      <c r="G253" s="20"/>
      <c r="H253" s="20"/>
      <c r="I253" s="21"/>
      <c r="J253" s="20"/>
      <c r="K253" s="14" t="str">
        <f aca="false">IF(AND(I253&lt;&gt;"",H253&lt;&gt;"",J253&lt;&gt;""),IF(J253="W",I253*H253,IF(J253="L",-I253,IF(J253="P",I253*H253*0.5,""))),"")</f>
        <v/>
      </c>
      <c r="L253" s="15" t="str">
        <f aca="false">IF(AND(K253&lt;&gt;"",P252&lt;&gt;""),K253/P252,IF(K253&lt;&gt;"",K253/$D$2,""))</f>
        <v/>
      </c>
      <c r="M253" s="20"/>
      <c r="N253" s="20"/>
      <c r="O253" s="20"/>
      <c r="P253" s="16" t="str">
        <f aca="false">IF(K253&lt;&gt;"",P252+K253,IF(B253&lt;&gt;"",P252,""))</f>
        <v/>
      </c>
      <c r="Q253" s="17" t="str">
        <f aca="false">IF(P253&lt;&gt;"",MIN(0,P253-MAX($P$4:P253)),"")</f>
        <v/>
      </c>
    </row>
    <row r="254" customFormat="false" ht="15" hidden="false" customHeight="true" outlineLevel="0" collapsed="false">
      <c r="A254" s="11" t="str">
        <f aca="false">IF(B254&lt;&gt;"",COUNTA($B$4:B254),"")</f>
        <v/>
      </c>
      <c r="B254" s="12"/>
      <c r="C254" s="12"/>
      <c r="D254" s="12"/>
      <c r="E254" s="12"/>
      <c r="F254" s="12"/>
      <c r="G254" s="12"/>
      <c r="H254" s="12"/>
      <c r="I254" s="13"/>
      <c r="J254" s="12"/>
      <c r="K254" s="14" t="str">
        <f aca="false">IF(AND(I254&lt;&gt;"",H254&lt;&gt;"",J254&lt;&gt;""),IF(J254="W",I254*H254,IF(J254="L",-I254,IF(J254="P",I254*H254*0.5,""))),"")</f>
        <v/>
      </c>
      <c r="L254" s="15" t="str">
        <f aca="false">IF(AND(K254&lt;&gt;"",P253&lt;&gt;""),K254/P253,IF(K254&lt;&gt;"",K254/$D$2,""))</f>
        <v/>
      </c>
      <c r="M254" s="12"/>
      <c r="N254" s="12"/>
      <c r="O254" s="12"/>
      <c r="P254" s="16" t="str">
        <f aca="false">IF(K254&lt;&gt;"",P253+K254,IF(B254&lt;&gt;"",P253,""))</f>
        <v/>
      </c>
      <c r="Q254" s="17" t="str">
        <f aca="false">IF(P254&lt;&gt;"",MIN(0,P254-MAX($P$4:P254)),"")</f>
        <v/>
      </c>
    </row>
    <row r="255" customFormat="false" ht="15" hidden="false" customHeight="true" outlineLevel="0" collapsed="false">
      <c r="A255" s="11" t="str">
        <f aca="false">IF(B255&lt;&gt;"",COUNTA($B$4:B255),"")</f>
        <v/>
      </c>
      <c r="B255" s="20"/>
      <c r="C255" s="20"/>
      <c r="D255" s="20"/>
      <c r="E255" s="20"/>
      <c r="F255" s="20"/>
      <c r="G255" s="20"/>
      <c r="H255" s="20"/>
      <c r="I255" s="21"/>
      <c r="J255" s="20"/>
      <c r="K255" s="14" t="str">
        <f aca="false">IF(AND(I255&lt;&gt;"",H255&lt;&gt;"",J255&lt;&gt;""),IF(J255="W",I255*H255,IF(J255="L",-I255,IF(J255="P",I255*H255*0.5,""))),"")</f>
        <v/>
      </c>
      <c r="L255" s="15" t="str">
        <f aca="false">IF(AND(K255&lt;&gt;"",P254&lt;&gt;""),K255/P254,IF(K255&lt;&gt;"",K255/$D$2,""))</f>
        <v/>
      </c>
      <c r="M255" s="20"/>
      <c r="N255" s="20"/>
      <c r="O255" s="20"/>
      <c r="P255" s="16" t="str">
        <f aca="false">IF(K255&lt;&gt;"",P254+K255,IF(B255&lt;&gt;"",P254,""))</f>
        <v/>
      </c>
      <c r="Q255" s="17" t="str">
        <f aca="false">IF(P255&lt;&gt;"",MIN(0,P255-MAX($P$4:P255)),"")</f>
        <v/>
      </c>
    </row>
    <row r="256" customFormat="false" ht="15" hidden="false" customHeight="true" outlineLevel="0" collapsed="false">
      <c r="A256" s="11" t="str">
        <f aca="false">IF(B256&lt;&gt;"",COUNTA($B$4:B256),"")</f>
        <v/>
      </c>
      <c r="B256" s="12"/>
      <c r="C256" s="12"/>
      <c r="D256" s="12"/>
      <c r="E256" s="12"/>
      <c r="F256" s="12"/>
      <c r="G256" s="12"/>
      <c r="H256" s="12"/>
      <c r="I256" s="13"/>
      <c r="J256" s="12"/>
      <c r="K256" s="14" t="str">
        <f aca="false">IF(AND(I256&lt;&gt;"",H256&lt;&gt;"",J256&lt;&gt;""),IF(J256="W",I256*H256,IF(J256="L",-I256,IF(J256="P",I256*H256*0.5,""))),"")</f>
        <v/>
      </c>
      <c r="L256" s="15" t="str">
        <f aca="false">IF(AND(K256&lt;&gt;"",P255&lt;&gt;""),K256/P255,IF(K256&lt;&gt;"",K256/$D$2,""))</f>
        <v/>
      </c>
      <c r="M256" s="12"/>
      <c r="N256" s="12"/>
      <c r="O256" s="12"/>
      <c r="P256" s="16" t="str">
        <f aca="false">IF(K256&lt;&gt;"",P255+K256,IF(B256&lt;&gt;"",P255,""))</f>
        <v/>
      </c>
      <c r="Q256" s="17" t="str">
        <f aca="false">IF(P256&lt;&gt;"",MIN(0,P256-MAX($P$4:P256)),"")</f>
        <v/>
      </c>
    </row>
    <row r="257" customFormat="false" ht="15" hidden="false" customHeight="true" outlineLevel="0" collapsed="false">
      <c r="A257" s="11" t="str">
        <f aca="false">IF(B257&lt;&gt;"",COUNTA($B$4:B257),"")</f>
        <v/>
      </c>
      <c r="B257" s="20"/>
      <c r="C257" s="20"/>
      <c r="D257" s="20"/>
      <c r="E257" s="20"/>
      <c r="F257" s="20"/>
      <c r="G257" s="20"/>
      <c r="H257" s="20"/>
      <c r="I257" s="21"/>
      <c r="J257" s="20"/>
      <c r="K257" s="14" t="str">
        <f aca="false">IF(AND(I257&lt;&gt;"",H257&lt;&gt;"",J257&lt;&gt;""),IF(J257="W",I257*H257,IF(J257="L",-I257,IF(J257="P",I257*H257*0.5,""))),"")</f>
        <v/>
      </c>
      <c r="L257" s="15" t="str">
        <f aca="false">IF(AND(K257&lt;&gt;"",P256&lt;&gt;""),K257/P256,IF(K257&lt;&gt;"",K257/$D$2,""))</f>
        <v/>
      </c>
      <c r="M257" s="20"/>
      <c r="N257" s="20"/>
      <c r="O257" s="20"/>
      <c r="P257" s="16" t="str">
        <f aca="false">IF(K257&lt;&gt;"",P256+K257,IF(B257&lt;&gt;"",P256,""))</f>
        <v/>
      </c>
      <c r="Q257" s="17" t="str">
        <f aca="false">IF(P257&lt;&gt;"",MIN(0,P257-MAX($P$4:P257)),"")</f>
        <v/>
      </c>
    </row>
    <row r="258" customFormat="false" ht="15" hidden="false" customHeight="true" outlineLevel="0" collapsed="false">
      <c r="A258" s="11" t="str">
        <f aca="false">IF(B258&lt;&gt;"",COUNTA($B$4:B258),"")</f>
        <v/>
      </c>
      <c r="B258" s="12"/>
      <c r="C258" s="12"/>
      <c r="D258" s="12"/>
      <c r="E258" s="12"/>
      <c r="F258" s="12"/>
      <c r="G258" s="12"/>
      <c r="H258" s="12"/>
      <c r="I258" s="13"/>
      <c r="J258" s="12"/>
      <c r="K258" s="14" t="str">
        <f aca="false">IF(AND(I258&lt;&gt;"",H258&lt;&gt;"",J258&lt;&gt;""),IF(J258="W",I258*H258,IF(J258="L",-I258,IF(J258="P",I258*H258*0.5,""))),"")</f>
        <v/>
      </c>
      <c r="L258" s="15" t="str">
        <f aca="false">IF(AND(K258&lt;&gt;"",P257&lt;&gt;""),K258/P257,IF(K258&lt;&gt;"",K258/$D$2,""))</f>
        <v/>
      </c>
      <c r="M258" s="12"/>
      <c r="N258" s="12"/>
      <c r="O258" s="12"/>
      <c r="P258" s="16" t="str">
        <f aca="false">IF(K258&lt;&gt;"",P257+K258,IF(B258&lt;&gt;"",P257,""))</f>
        <v/>
      </c>
      <c r="Q258" s="17" t="str">
        <f aca="false">IF(P258&lt;&gt;"",MIN(0,P258-MAX($P$4:P258)),"")</f>
        <v/>
      </c>
    </row>
    <row r="259" customFormat="false" ht="15" hidden="false" customHeight="true" outlineLevel="0" collapsed="false">
      <c r="A259" s="11" t="str">
        <f aca="false">IF(B259&lt;&gt;"",COUNTA($B$4:B259),"")</f>
        <v/>
      </c>
      <c r="B259" s="20"/>
      <c r="C259" s="20"/>
      <c r="D259" s="20"/>
      <c r="E259" s="20"/>
      <c r="F259" s="20"/>
      <c r="G259" s="20"/>
      <c r="H259" s="20"/>
      <c r="I259" s="21"/>
      <c r="J259" s="20"/>
      <c r="K259" s="14" t="str">
        <f aca="false">IF(AND(I259&lt;&gt;"",H259&lt;&gt;"",J259&lt;&gt;""),IF(J259="W",I259*H259,IF(J259="L",-I259,IF(J259="P",I259*H259*0.5,""))),"")</f>
        <v/>
      </c>
      <c r="L259" s="15" t="str">
        <f aca="false">IF(AND(K259&lt;&gt;"",P258&lt;&gt;""),K259/P258,IF(K259&lt;&gt;"",K259/$D$2,""))</f>
        <v/>
      </c>
      <c r="M259" s="20"/>
      <c r="N259" s="20"/>
      <c r="O259" s="20"/>
      <c r="P259" s="16" t="str">
        <f aca="false">IF(K259&lt;&gt;"",P258+K259,IF(B259&lt;&gt;"",P258,""))</f>
        <v/>
      </c>
      <c r="Q259" s="17" t="str">
        <f aca="false">IF(P259&lt;&gt;"",MIN(0,P259-MAX($P$4:P259)),"")</f>
        <v/>
      </c>
    </row>
    <row r="260" customFormat="false" ht="15" hidden="false" customHeight="true" outlineLevel="0" collapsed="false">
      <c r="A260" s="11" t="str">
        <f aca="false">IF(B260&lt;&gt;"",COUNTA($B$4:B260),"")</f>
        <v/>
      </c>
      <c r="B260" s="12"/>
      <c r="C260" s="12"/>
      <c r="D260" s="12"/>
      <c r="E260" s="12"/>
      <c r="F260" s="12"/>
      <c r="G260" s="12"/>
      <c r="H260" s="12"/>
      <c r="I260" s="13"/>
      <c r="J260" s="12"/>
      <c r="K260" s="14" t="str">
        <f aca="false">IF(AND(I260&lt;&gt;"",H260&lt;&gt;"",J260&lt;&gt;""),IF(J260="W",I260*H260,IF(J260="L",-I260,IF(J260="P",I260*H260*0.5,""))),"")</f>
        <v/>
      </c>
      <c r="L260" s="15" t="str">
        <f aca="false">IF(AND(K260&lt;&gt;"",P259&lt;&gt;""),K260/P259,IF(K260&lt;&gt;"",K260/$D$2,""))</f>
        <v/>
      </c>
      <c r="M260" s="12"/>
      <c r="N260" s="12"/>
      <c r="O260" s="12"/>
      <c r="P260" s="16" t="str">
        <f aca="false">IF(K260&lt;&gt;"",P259+K260,IF(B260&lt;&gt;"",P259,""))</f>
        <v/>
      </c>
      <c r="Q260" s="17" t="str">
        <f aca="false">IF(P260&lt;&gt;"",MIN(0,P260-MAX($P$4:P260)),"")</f>
        <v/>
      </c>
    </row>
    <row r="261" customFormat="false" ht="15" hidden="false" customHeight="true" outlineLevel="0" collapsed="false">
      <c r="A261" s="11" t="str">
        <f aca="false">IF(B261&lt;&gt;"",COUNTA($B$4:B261),"")</f>
        <v/>
      </c>
      <c r="B261" s="20"/>
      <c r="C261" s="20"/>
      <c r="D261" s="20"/>
      <c r="E261" s="20"/>
      <c r="F261" s="20"/>
      <c r="G261" s="20"/>
      <c r="H261" s="20"/>
      <c r="I261" s="21"/>
      <c r="J261" s="20"/>
      <c r="K261" s="14" t="str">
        <f aca="false">IF(AND(I261&lt;&gt;"",H261&lt;&gt;"",J261&lt;&gt;""),IF(J261="W",I261*H261,IF(J261="L",-I261,IF(J261="P",I261*H261*0.5,""))),"")</f>
        <v/>
      </c>
      <c r="L261" s="15" t="str">
        <f aca="false">IF(AND(K261&lt;&gt;"",P260&lt;&gt;""),K261/P260,IF(K261&lt;&gt;"",K261/$D$2,""))</f>
        <v/>
      </c>
      <c r="M261" s="20"/>
      <c r="N261" s="20"/>
      <c r="O261" s="20"/>
      <c r="P261" s="16" t="str">
        <f aca="false">IF(K261&lt;&gt;"",P260+K261,IF(B261&lt;&gt;"",P260,""))</f>
        <v/>
      </c>
      <c r="Q261" s="17" t="str">
        <f aca="false">IF(P261&lt;&gt;"",MIN(0,P261-MAX($P$4:P261)),"")</f>
        <v/>
      </c>
    </row>
    <row r="262" customFormat="false" ht="15" hidden="false" customHeight="true" outlineLevel="0" collapsed="false">
      <c r="A262" s="11" t="str">
        <f aca="false">IF(B262&lt;&gt;"",COUNTA($B$4:B262),"")</f>
        <v/>
      </c>
      <c r="B262" s="12"/>
      <c r="C262" s="12"/>
      <c r="D262" s="12"/>
      <c r="E262" s="12"/>
      <c r="F262" s="12"/>
      <c r="G262" s="12"/>
      <c r="H262" s="12"/>
      <c r="I262" s="13"/>
      <c r="J262" s="12"/>
      <c r="K262" s="14" t="str">
        <f aca="false">IF(AND(I262&lt;&gt;"",H262&lt;&gt;"",J262&lt;&gt;""),IF(J262="W",I262*H262,IF(J262="L",-I262,IF(J262="P",I262*H262*0.5,""))),"")</f>
        <v/>
      </c>
      <c r="L262" s="15" t="str">
        <f aca="false">IF(AND(K262&lt;&gt;"",P261&lt;&gt;""),K262/P261,IF(K262&lt;&gt;"",K262/$D$2,""))</f>
        <v/>
      </c>
      <c r="M262" s="12"/>
      <c r="N262" s="12"/>
      <c r="O262" s="12"/>
      <c r="P262" s="16" t="str">
        <f aca="false">IF(K262&lt;&gt;"",P261+K262,IF(B262&lt;&gt;"",P261,""))</f>
        <v/>
      </c>
      <c r="Q262" s="17" t="str">
        <f aca="false">IF(P262&lt;&gt;"",MIN(0,P262-MAX($P$4:P262)),"")</f>
        <v/>
      </c>
    </row>
    <row r="263" customFormat="false" ht="15" hidden="false" customHeight="true" outlineLevel="0" collapsed="false">
      <c r="A263" s="11" t="str">
        <f aca="false">IF(B263&lt;&gt;"",COUNTA($B$4:B263),"")</f>
        <v/>
      </c>
      <c r="B263" s="20"/>
      <c r="C263" s="20"/>
      <c r="D263" s="20"/>
      <c r="E263" s="20"/>
      <c r="F263" s="20"/>
      <c r="G263" s="20"/>
      <c r="H263" s="20"/>
      <c r="I263" s="21"/>
      <c r="J263" s="20"/>
      <c r="K263" s="14" t="str">
        <f aca="false">IF(AND(I263&lt;&gt;"",H263&lt;&gt;"",J263&lt;&gt;""),IF(J263="W",I263*H263,IF(J263="L",-I263,IF(J263="P",I263*H263*0.5,""))),"")</f>
        <v/>
      </c>
      <c r="L263" s="15" t="str">
        <f aca="false">IF(AND(K263&lt;&gt;"",P262&lt;&gt;""),K263/P262,IF(K263&lt;&gt;"",K263/$D$2,""))</f>
        <v/>
      </c>
      <c r="M263" s="20"/>
      <c r="N263" s="20"/>
      <c r="O263" s="20"/>
      <c r="P263" s="16" t="str">
        <f aca="false">IF(K263&lt;&gt;"",P262+K263,IF(B263&lt;&gt;"",P262,""))</f>
        <v/>
      </c>
      <c r="Q263" s="17" t="str">
        <f aca="false">IF(P263&lt;&gt;"",MIN(0,P263-MAX($P$4:P263)),"")</f>
        <v/>
      </c>
    </row>
    <row r="264" customFormat="false" ht="15" hidden="false" customHeight="true" outlineLevel="0" collapsed="false">
      <c r="A264" s="11" t="str">
        <f aca="false">IF(B264&lt;&gt;"",COUNTA($B$4:B264),"")</f>
        <v/>
      </c>
      <c r="B264" s="12"/>
      <c r="C264" s="12"/>
      <c r="D264" s="12"/>
      <c r="E264" s="12"/>
      <c r="F264" s="12"/>
      <c r="G264" s="12"/>
      <c r="H264" s="12"/>
      <c r="I264" s="13"/>
      <c r="J264" s="12"/>
      <c r="K264" s="14" t="str">
        <f aca="false">IF(AND(I264&lt;&gt;"",H264&lt;&gt;"",J264&lt;&gt;""),IF(J264="W",I264*H264,IF(J264="L",-I264,IF(J264="P",I264*H264*0.5,""))),"")</f>
        <v/>
      </c>
      <c r="L264" s="15" t="str">
        <f aca="false">IF(AND(K264&lt;&gt;"",P263&lt;&gt;""),K264/P263,IF(K264&lt;&gt;"",K264/$D$2,""))</f>
        <v/>
      </c>
      <c r="M264" s="12"/>
      <c r="N264" s="12"/>
      <c r="O264" s="12"/>
      <c r="P264" s="16" t="str">
        <f aca="false">IF(K264&lt;&gt;"",P263+K264,IF(B264&lt;&gt;"",P263,""))</f>
        <v/>
      </c>
      <c r="Q264" s="17" t="str">
        <f aca="false">IF(P264&lt;&gt;"",MIN(0,P264-MAX($P$4:P264)),"")</f>
        <v/>
      </c>
    </row>
    <row r="265" customFormat="false" ht="15" hidden="false" customHeight="true" outlineLevel="0" collapsed="false">
      <c r="A265" s="11" t="str">
        <f aca="false">IF(B265&lt;&gt;"",COUNTA($B$4:B265),"")</f>
        <v/>
      </c>
      <c r="B265" s="20"/>
      <c r="C265" s="20"/>
      <c r="D265" s="20"/>
      <c r="E265" s="20"/>
      <c r="F265" s="20"/>
      <c r="G265" s="20"/>
      <c r="H265" s="20"/>
      <c r="I265" s="21"/>
      <c r="J265" s="20"/>
      <c r="K265" s="14" t="str">
        <f aca="false">IF(AND(I265&lt;&gt;"",H265&lt;&gt;"",J265&lt;&gt;""),IF(J265="W",I265*H265,IF(J265="L",-I265,IF(J265="P",I265*H265*0.5,""))),"")</f>
        <v/>
      </c>
      <c r="L265" s="15" t="str">
        <f aca="false">IF(AND(K265&lt;&gt;"",P264&lt;&gt;""),K265/P264,IF(K265&lt;&gt;"",K265/$D$2,""))</f>
        <v/>
      </c>
      <c r="M265" s="20"/>
      <c r="N265" s="20"/>
      <c r="O265" s="20"/>
      <c r="P265" s="16" t="str">
        <f aca="false">IF(K265&lt;&gt;"",P264+K265,IF(B265&lt;&gt;"",P264,""))</f>
        <v/>
      </c>
      <c r="Q265" s="17" t="str">
        <f aca="false">IF(P265&lt;&gt;"",MIN(0,P265-MAX($P$4:P265)),"")</f>
        <v/>
      </c>
    </row>
    <row r="266" customFormat="false" ht="15" hidden="false" customHeight="true" outlineLevel="0" collapsed="false">
      <c r="A266" s="11" t="str">
        <f aca="false">IF(B266&lt;&gt;"",COUNTA($B$4:B266),"")</f>
        <v/>
      </c>
      <c r="B266" s="12"/>
      <c r="C266" s="12"/>
      <c r="D266" s="12"/>
      <c r="E266" s="12"/>
      <c r="F266" s="12"/>
      <c r="G266" s="12"/>
      <c r="H266" s="12"/>
      <c r="I266" s="13"/>
      <c r="J266" s="12"/>
      <c r="K266" s="14" t="str">
        <f aca="false">IF(AND(I266&lt;&gt;"",H266&lt;&gt;"",J266&lt;&gt;""),IF(J266="W",I266*H266,IF(J266="L",-I266,IF(J266="P",I266*H266*0.5,""))),"")</f>
        <v/>
      </c>
      <c r="L266" s="15" t="str">
        <f aca="false">IF(AND(K266&lt;&gt;"",P265&lt;&gt;""),K266/P265,IF(K266&lt;&gt;"",K266/$D$2,""))</f>
        <v/>
      </c>
      <c r="M266" s="12"/>
      <c r="N266" s="12"/>
      <c r="O266" s="12"/>
      <c r="P266" s="16" t="str">
        <f aca="false">IF(K266&lt;&gt;"",P265+K266,IF(B266&lt;&gt;"",P265,""))</f>
        <v/>
      </c>
      <c r="Q266" s="17" t="str">
        <f aca="false">IF(P266&lt;&gt;"",MIN(0,P266-MAX($P$4:P266)),"")</f>
        <v/>
      </c>
    </row>
    <row r="267" customFormat="false" ht="15" hidden="false" customHeight="true" outlineLevel="0" collapsed="false">
      <c r="A267" s="11" t="str">
        <f aca="false">IF(B267&lt;&gt;"",COUNTA($B$4:B267),"")</f>
        <v/>
      </c>
      <c r="B267" s="20"/>
      <c r="C267" s="20"/>
      <c r="D267" s="20"/>
      <c r="E267" s="20"/>
      <c r="F267" s="20"/>
      <c r="G267" s="20"/>
      <c r="H267" s="20"/>
      <c r="I267" s="21"/>
      <c r="J267" s="20"/>
      <c r="K267" s="14" t="str">
        <f aca="false">IF(AND(I267&lt;&gt;"",H267&lt;&gt;"",J267&lt;&gt;""),IF(J267="W",I267*H267,IF(J267="L",-I267,IF(J267="P",I267*H267*0.5,""))),"")</f>
        <v/>
      </c>
      <c r="L267" s="15" t="str">
        <f aca="false">IF(AND(K267&lt;&gt;"",P266&lt;&gt;""),K267/P266,IF(K267&lt;&gt;"",K267/$D$2,""))</f>
        <v/>
      </c>
      <c r="M267" s="20"/>
      <c r="N267" s="20"/>
      <c r="O267" s="20"/>
      <c r="P267" s="16" t="str">
        <f aca="false">IF(K267&lt;&gt;"",P266+K267,IF(B267&lt;&gt;"",P266,""))</f>
        <v/>
      </c>
      <c r="Q267" s="17" t="str">
        <f aca="false">IF(P267&lt;&gt;"",MIN(0,P267-MAX($P$4:P267)),"")</f>
        <v/>
      </c>
    </row>
    <row r="268" customFormat="false" ht="15" hidden="false" customHeight="true" outlineLevel="0" collapsed="false">
      <c r="A268" s="11" t="str">
        <f aca="false">IF(B268&lt;&gt;"",COUNTA($B$4:B268),"")</f>
        <v/>
      </c>
      <c r="B268" s="12"/>
      <c r="C268" s="12"/>
      <c r="D268" s="12"/>
      <c r="E268" s="12"/>
      <c r="F268" s="12"/>
      <c r="G268" s="12"/>
      <c r="H268" s="12"/>
      <c r="I268" s="13"/>
      <c r="J268" s="12"/>
      <c r="K268" s="14" t="str">
        <f aca="false">IF(AND(I268&lt;&gt;"",H268&lt;&gt;"",J268&lt;&gt;""),IF(J268="W",I268*H268,IF(J268="L",-I268,IF(J268="P",I268*H268*0.5,""))),"")</f>
        <v/>
      </c>
      <c r="L268" s="15" t="str">
        <f aca="false">IF(AND(K268&lt;&gt;"",P267&lt;&gt;""),K268/P267,IF(K268&lt;&gt;"",K268/$D$2,""))</f>
        <v/>
      </c>
      <c r="M268" s="12"/>
      <c r="N268" s="12"/>
      <c r="O268" s="12"/>
      <c r="P268" s="16" t="str">
        <f aca="false">IF(K268&lt;&gt;"",P267+K268,IF(B268&lt;&gt;"",P267,""))</f>
        <v/>
      </c>
      <c r="Q268" s="17" t="str">
        <f aca="false">IF(P268&lt;&gt;"",MIN(0,P268-MAX($P$4:P268)),"")</f>
        <v/>
      </c>
    </row>
    <row r="269" customFormat="false" ht="15" hidden="false" customHeight="true" outlineLevel="0" collapsed="false">
      <c r="A269" s="11" t="str">
        <f aca="false">IF(B269&lt;&gt;"",COUNTA($B$4:B269),"")</f>
        <v/>
      </c>
      <c r="B269" s="20"/>
      <c r="C269" s="20"/>
      <c r="D269" s="20"/>
      <c r="E269" s="20"/>
      <c r="F269" s="20"/>
      <c r="G269" s="20"/>
      <c r="H269" s="20"/>
      <c r="I269" s="21"/>
      <c r="J269" s="20"/>
      <c r="K269" s="14" t="str">
        <f aca="false">IF(AND(I269&lt;&gt;"",H269&lt;&gt;"",J269&lt;&gt;""),IF(J269="W",I269*H269,IF(J269="L",-I269,IF(J269="P",I269*H269*0.5,""))),"")</f>
        <v/>
      </c>
      <c r="L269" s="15" t="str">
        <f aca="false">IF(AND(K269&lt;&gt;"",P268&lt;&gt;""),K269/P268,IF(K269&lt;&gt;"",K269/$D$2,""))</f>
        <v/>
      </c>
      <c r="M269" s="20"/>
      <c r="N269" s="20"/>
      <c r="O269" s="20"/>
      <c r="P269" s="16" t="str">
        <f aca="false">IF(K269&lt;&gt;"",P268+K269,IF(B269&lt;&gt;"",P268,""))</f>
        <v/>
      </c>
      <c r="Q269" s="17" t="str">
        <f aca="false">IF(P269&lt;&gt;"",MIN(0,P269-MAX($P$4:P269)),"")</f>
        <v/>
      </c>
    </row>
    <row r="270" customFormat="false" ht="15" hidden="false" customHeight="true" outlineLevel="0" collapsed="false">
      <c r="A270" s="11" t="str">
        <f aca="false">IF(B270&lt;&gt;"",COUNTA($B$4:B270),"")</f>
        <v/>
      </c>
      <c r="B270" s="12"/>
      <c r="C270" s="12"/>
      <c r="D270" s="12"/>
      <c r="E270" s="12"/>
      <c r="F270" s="12"/>
      <c r="G270" s="12"/>
      <c r="H270" s="12"/>
      <c r="I270" s="13"/>
      <c r="J270" s="12"/>
      <c r="K270" s="14" t="str">
        <f aca="false">IF(AND(I270&lt;&gt;"",H270&lt;&gt;"",J270&lt;&gt;""),IF(J270="W",I270*H270,IF(J270="L",-I270,IF(J270="P",I270*H270*0.5,""))),"")</f>
        <v/>
      </c>
      <c r="L270" s="15" t="str">
        <f aca="false">IF(AND(K270&lt;&gt;"",P269&lt;&gt;""),K270/P269,IF(K270&lt;&gt;"",K270/$D$2,""))</f>
        <v/>
      </c>
      <c r="M270" s="12"/>
      <c r="N270" s="12"/>
      <c r="O270" s="12"/>
      <c r="P270" s="16" t="str">
        <f aca="false">IF(K270&lt;&gt;"",P269+K270,IF(B270&lt;&gt;"",P269,""))</f>
        <v/>
      </c>
      <c r="Q270" s="17" t="str">
        <f aca="false">IF(P270&lt;&gt;"",MIN(0,P270-MAX($P$4:P270)),"")</f>
        <v/>
      </c>
    </row>
    <row r="271" customFormat="false" ht="15" hidden="false" customHeight="true" outlineLevel="0" collapsed="false">
      <c r="A271" s="11" t="str">
        <f aca="false">IF(B271&lt;&gt;"",COUNTA($B$4:B271),"")</f>
        <v/>
      </c>
      <c r="B271" s="20"/>
      <c r="C271" s="20"/>
      <c r="D271" s="20"/>
      <c r="E271" s="20"/>
      <c r="F271" s="20"/>
      <c r="G271" s="20"/>
      <c r="H271" s="20"/>
      <c r="I271" s="21"/>
      <c r="J271" s="20"/>
      <c r="K271" s="14" t="str">
        <f aca="false">IF(AND(I271&lt;&gt;"",H271&lt;&gt;"",J271&lt;&gt;""),IF(J271="W",I271*H271,IF(J271="L",-I271,IF(J271="P",I271*H271*0.5,""))),"")</f>
        <v/>
      </c>
      <c r="L271" s="15" t="str">
        <f aca="false">IF(AND(K271&lt;&gt;"",P270&lt;&gt;""),K271/P270,IF(K271&lt;&gt;"",K271/$D$2,""))</f>
        <v/>
      </c>
      <c r="M271" s="20"/>
      <c r="N271" s="20"/>
      <c r="O271" s="20"/>
      <c r="P271" s="16" t="str">
        <f aca="false">IF(K271&lt;&gt;"",P270+K271,IF(B271&lt;&gt;"",P270,""))</f>
        <v/>
      </c>
      <c r="Q271" s="17" t="str">
        <f aca="false">IF(P271&lt;&gt;"",MIN(0,P271-MAX($P$4:P271)),"")</f>
        <v/>
      </c>
    </row>
    <row r="272" customFormat="false" ht="15" hidden="false" customHeight="true" outlineLevel="0" collapsed="false">
      <c r="A272" s="11" t="str">
        <f aca="false">IF(B272&lt;&gt;"",COUNTA($B$4:B272),"")</f>
        <v/>
      </c>
      <c r="B272" s="12"/>
      <c r="C272" s="12"/>
      <c r="D272" s="12"/>
      <c r="E272" s="12"/>
      <c r="F272" s="12"/>
      <c r="G272" s="12"/>
      <c r="H272" s="12"/>
      <c r="I272" s="13"/>
      <c r="J272" s="12"/>
      <c r="K272" s="14" t="str">
        <f aca="false">IF(AND(I272&lt;&gt;"",H272&lt;&gt;"",J272&lt;&gt;""),IF(J272="W",I272*H272,IF(J272="L",-I272,IF(J272="P",I272*H272*0.5,""))),"")</f>
        <v/>
      </c>
      <c r="L272" s="15" t="str">
        <f aca="false">IF(AND(K272&lt;&gt;"",P271&lt;&gt;""),K272/P271,IF(K272&lt;&gt;"",K272/$D$2,""))</f>
        <v/>
      </c>
      <c r="M272" s="12"/>
      <c r="N272" s="12"/>
      <c r="O272" s="12"/>
      <c r="P272" s="16" t="str">
        <f aca="false">IF(K272&lt;&gt;"",P271+K272,IF(B272&lt;&gt;"",P271,""))</f>
        <v/>
      </c>
      <c r="Q272" s="17" t="str">
        <f aca="false">IF(P272&lt;&gt;"",MIN(0,P272-MAX($P$4:P272)),"")</f>
        <v/>
      </c>
    </row>
    <row r="273" customFormat="false" ht="15" hidden="false" customHeight="true" outlineLevel="0" collapsed="false">
      <c r="A273" s="11" t="str">
        <f aca="false">IF(B273&lt;&gt;"",COUNTA($B$4:B273),"")</f>
        <v/>
      </c>
      <c r="B273" s="20"/>
      <c r="C273" s="20"/>
      <c r="D273" s="20"/>
      <c r="E273" s="20"/>
      <c r="F273" s="20"/>
      <c r="G273" s="20"/>
      <c r="H273" s="20"/>
      <c r="I273" s="21"/>
      <c r="J273" s="20"/>
      <c r="K273" s="14" t="str">
        <f aca="false">IF(AND(I273&lt;&gt;"",H273&lt;&gt;"",J273&lt;&gt;""),IF(J273="W",I273*H273,IF(J273="L",-I273,IF(J273="P",I273*H273*0.5,""))),"")</f>
        <v/>
      </c>
      <c r="L273" s="15" t="str">
        <f aca="false">IF(AND(K273&lt;&gt;"",P272&lt;&gt;""),K273/P272,IF(K273&lt;&gt;"",K273/$D$2,""))</f>
        <v/>
      </c>
      <c r="M273" s="20"/>
      <c r="N273" s="20"/>
      <c r="O273" s="20"/>
      <c r="P273" s="16" t="str">
        <f aca="false">IF(K273&lt;&gt;"",P272+K273,IF(B273&lt;&gt;"",P272,""))</f>
        <v/>
      </c>
      <c r="Q273" s="17" t="str">
        <f aca="false">IF(P273&lt;&gt;"",MIN(0,P273-MAX($P$4:P273)),"")</f>
        <v/>
      </c>
    </row>
    <row r="274" customFormat="false" ht="15" hidden="false" customHeight="true" outlineLevel="0" collapsed="false">
      <c r="A274" s="11" t="str">
        <f aca="false">IF(B274&lt;&gt;"",COUNTA($B$4:B274),"")</f>
        <v/>
      </c>
      <c r="B274" s="12"/>
      <c r="C274" s="12"/>
      <c r="D274" s="12"/>
      <c r="E274" s="12"/>
      <c r="F274" s="12"/>
      <c r="G274" s="12"/>
      <c r="H274" s="12"/>
      <c r="I274" s="13"/>
      <c r="J274" s="12"/>
      <c r="K274" s="14" t="str">
        <f aca="false">IF(AND(I274&lt;&gt;"",H274&lt;&gt;"",J274&lt;&gt;""),IF(J274="W",I274*H274,IF(J274="L",-I274,IF(J274="P",I274*H274*0.5,""))),"")</f>
        <v/>
      </c>
      <c r="L274" s="15" t="str">
        <f aca="false">IF(AND(K274&lt;&gt;"",P273&lt;&gt;""),K274/P273,IF(K274&lt;&gt;"",K274/$D$2,""))</f>
        <v/>
      </c>
      <c r="M274" s="12"/>
      <c r="N274" s="12"/>
      <c r="O274" s="12"/>
      <c r="P274" s="16" t="str">
        <f aca="false">IF(K274&lt;&gt;"",P273+K274,IF(B274&lt;&gt;"",P273,""))</f>
        <v/>
      </c>
      <c r="Q274" s="17" t="str">
        <f aca="false">IF(P274&lt;&gt;"",MIN(0,P274-MAX($P$4:P274)),"")</f>
        <v/>
      </c>
    </row>
    <row r="275" customFormat="false" ht="15" hidden="false" customHeight="true" outlineLevel="0" collapsed="false">
      <c r="A275" s="11" t="str">
        <f aca="false">IF(B275&lt;&gt;"",COUNTA($B$4:B275),"")</f>
        <v/>
      </c>
      <c r="B275" s="20"/>
      <c r="C275" s="20"/>
      <c r="D275" s="20"/>
      <c r="E275" s="20"/>
      <c r="F275" s="20"/>
      <c r="G275" s="20"/>
      <c r="H275" s="20"/>
      <c r="I275" s="21"/>
      <c r="J275" s="20"/>
      <c r="K275" s="14" t="str">
        <f aca="false">IF(AND(I275&lt;&gt;"",H275&lt;&gt;"",J275&lt;&gt;""),IF(J275="W",I275*H275,IF(J275="L",-I275,IF(J275="P",I275*H275*0.5,""))),"")</f>
        <v/>
      </c>
      <c r="L275" s="15" t="str">
        <f aca="false">IF(AND(K275&lt;&gt;"",P274&lt;&gt;""),K275/P274,IF(K275&lt;&gt;"",K275/$D$2,""))</f>
        <v/>
      </c>
      <c r="M275" s="20"/>
      <c r="N275" s="20"/>
      <c r="O275" s="20"/>
      <c r="P275" s="16" t="str">
        <f aca="false">IF(K275&lt;&gt;"",P274+K275,IF(B275&lt;&gt;"",P274,""))</f>
        <v/>
      </c>
      <c r="Q275" s="17" t="str">
        <f aca="false">IF(P275&lt;&gt;"",MIN(0,P275-MAX($P$4:P275)),"")</f>
        <v/>
      </c>
    </row>
    <row r="276" customFormat="false" ht="15" hidden="false" customHeight="true" outlineLevel="0" collapsed="false">
      <c r="A276" s="11" t="str">
        <f aca="false">IF(B276&lt;&gt;"",COUNTA($B$4:B276),"")</f>
        <v/>
      </c>
      <c r="B276" s="12"/>
      <c r="C276" s="12"/>
      <c r="D276" s="12"/>
      <c r="E276" s="12"/>
      <c r="F276" s="12"/>
      <c r="G276" s="12"/>
      <c r="H276" s="12"/>
      <c r="I276" s="13"/>
      <c r="J276" s="12"/>
      <c r="K276" s="14" t="str">
        <f aca="false">IF(AND(I276&lt;&gt;"",H276&lt;&gt;"",J276&lt;&gt;""),IF(J276="W",I276*H276,IF(J276="L",-I276,IF(J276="P",I276*H276*0.5,""))),"")</f>
        <v/>
      </c>
      <c r="L276" s="15" t="str">
        <f aca="false">IF(AND(K276&lt;&gt;"",P275&lt;&gt;""),K276/P275,IF(K276&lt;&gt;"",K276/$D$2,""))</f>
        <v/>
      </c>
      <c r="M276" s="12"/>
      <c r="N276" s="12"/>
      <c r="O276" s="12"/>
      <c r="P276" s="16" t="str">
        <f aca="false">IF(K276&lt;&gt;"",P275+K276,IF(B276&lt;&gt;"",P275,""))</f>
        <v/>
      </c>
      <c r="Q276" s="17" t="str">
        <f aca="false">IF(P276&lt;&gt;"",MIN(0,P276-MAX($P$4:P276)),"")</f>
        <v/>
      </c>
    </row>
    <row r="277" customFormat="false" ht="15" hidden="false" customHeight="true" outlineLevel="0" collapsed="false">
      <c r="A277" s="11" t="str">
        <f aca="false">IF(B277&lt;&gt;"",COUNTA($B$4:B277),"")</f>
        <v/>
      </c>
      <c r="B277" s="20"/>
      <c r="C277" s="20"/>
      <c r="D277" s="20"/>
      <c r="E277" s="20"/>
      <c r="F277" s="20"/>
      <c r="G277" s="20"/>
      <c r="H277" s="20"/>
      <c r="I277" s="21"/>
      <c r="J277" s="20"/>
      <c r="K277" s="14" t="str">
        <f aca="false">IF(AND(I277&lt;&gt;"",H277&lt;&gt;"",J277&lt;&gt;""),IF(J277="W",I277*H277,IF(J277="L",-I277,IF(J277="P",I277*H277*0.5,""))),"")</f>
        <v/>
      </c>
      <c r="L277" s="15" t="str">
        <f aca="false">IF(AND(K277&lt;&gt;"",P276&lt;&gt;""),K277/P276,IF(K277&lt;&gt;"",K277/$D$2,""))</f>
        <v/>
      </c>
      <c r="M277" s="20"/>
      <c r="N277" s="20"/>
      <c r="O277" s="20"/>
      <c r="P277" s="16" t="str">
        <f aca="false">IF(K277&lt;&gt;"",P276+K277,IF(B277&lt;&gt;"",P276,""))</f>
        <v/>
      </c>
      <c r="Q277" s="17" t="str">
        <f aca="false">IF(P277&lt;&gt;"",MIN(0,P277-MAX($P$4:P277)),"")</f>
        <v/>
      </c>
    </row>
    <row r="278" customFormat="false" ht="15" hidden="false" customHeight="true" outlineLevel="0" collapsed="false">
      <c r="A278" s="11" t="str">
        <f aca="false">IF(B278&lt;&gt;"",COUNTA($B$4:B278),"")</f>
        <v/>
      </c>
      <c r="B278" s="12"/>
      <c r="C278" s="12"/>
      <c r="D278" s="12"/>
      <c r="E278" s="12"/>
      <c r="F278" s="12"/>
      <c r="G278" s="12"/>
      <c r="H278" s="12"/>
      <c r="I278" s="13"/>
      <c r="J278" s="12"/>
      <c r="K278" s="14" t="str">
        <f aca="false">IF(AND(I278&lt;&gt;"",H278&lt;&gt;"",J278&lt;&gt;""),IF(J278="W",I278*H278,IF(J278="L",-I278,IF(J278="P",I278*H278*0.5,""))),"")</f>
        <v/>
      </c>
      <c r="L278" s="15" t="str">
        <f aca="false">IF(AND(K278&lt;&gt;"",P277&lt;&gt;""),K278/P277,IF(K278&lt;&gt;"",K278/$D$2,""))</f>
        <v/>
      </c>
      <c r="M278" s="12"/>
      <c r="N278" s="12"/>
      <c r="O278" s="12"/>
      <c r="P278" s="16" t="str">
        <f aca="false">IF(K278&lt;&gt;"",P277+K278,IF(B278&lt;&gt;"",P277,""))</f>
        <v/>
      </c>
      <c r="Q278" s="17" t="str">
        <f aca="false">IF(P278&lt;&gt;"",MIN(0,P278-MAX($P$4:P278)),"")</f>
        <v/>
      </c>
    </row>
    <row r="279" customFormat="false" ht="15" hidden="false" customHeight="true" outlineLevel="0" collapsed="false">
      <c r="A279" s="11" t="str">
        <f aca="false">IF(B279&lt;&gt;"",COUNTA($B$4:B279),"")</f>
        <v/>
      </c>
      <c r="B279" s="20"/>
      <c r="C279" s="20"/>
      <c r="D279" s="20"/>
      <c r="E279" s="20"/>
      <c r="F279" s="20"/>
      <c r="G279" s="20"/>
      <c r="H279" s="20"/>
      <c r="I279" s="21"/>
      <c r="J279" s="20"/>
      <c r="K279" s="14" t="str">
        <f aca="false">IF(AND(I279&lt;&gt;"",H279&lt;&gt;"",J279&lt;&gt;""),IF(J279="W",I279*H279,IF(J279="L",-I279,IF(J279="P",I279*H279*0.5,""))),"")</f>
        <v/>
      </c>
      <c r="L279" s="15" t="str">
        <f aca="false">IF(AND(K279&lt;&gt;"",P278&lt;&gt;""),K279/P278,IF(K279&lt;&gt;"",K279/$D$2,""))</f>
        <v/>
      </c>
      <c r="M279" s="20"/>
      <c r="N279" s="20"/>
      <c r="O279" s="20"/>
      <c r="P279" s="16" t="str">
        <f aca="false">IF(K279&lt;&gt;"",P278+K279,IF(B279&lt;&gt;"",P278,""))</f>
        <v/>
      </c>
      <c r="Q279" s="17" t="str">
        <f aca="false">IF(P279&lt;&gt;"",MIN(0,P279-MAX($P$4:P279)),"")</f>
        <v/>
      </c>
    </row>
    <row r="280" customFormat="false" ht="15" hidden="false" customHeight="true" outlineLevel="0" collapsed="false">
      <c r="A280" s="11" t="str">
        <f aca="false">IF(B280&lt;&gt;"",COUNTA($B$4:B280),"")</f>
        <v/>
      </c>
      <c r="B280" s="12"/>
      <c r="C280" s="12"/>
      <c r="D280" s="12"/>
      <c r="E280" s="12"/>
      <c r="F280" s="12"/>
      <c r="G280" s="12"/>
      <c r="H280" s="12"/>
      <c r="I280" s="13"/>
      <c r="J280" s="12"/>
      <c r="K280" s="14" t="str">
        <f aca="false">IF(AND(I280&lt;&gt;"",H280&lt;&gt;"",J280&lt;&gt;""),IF(J280="W",I280*H280,IF(J280="L",-I280,IF(J280="P",I280*H280*0.5,""))),"")</f>
        <v/>
      </c>
      <c r="L280" s="15" t="str">
        <f aca="false">IF(AND(K280&lt;&gt;"",P279&lt;&gt;""),K280/P279,IF(K280&lt;&gt;"",K280/$D$2,""))</f>
        <v/>
      </c>
      <c r="M280" s="12"/>
      <c r="N280" s="12"/>
      <c r="O280" s="12"/>
      <c r="P280" s="16" t="str">
        <f aca="false">IF(K280&lt;&gt;"",P279+K280,IF(B280&lt;&gt;"",P279,""))</f>
        <v/>
      </c>
      <c r="Q280" s="17" t="str">
        <f aca="false">IF(P280&lt;&gt;"",MIN(0,P280-MAX($P$4:P280)),"")</f>
        <v/>
      </c>
    </row>
    <row r="281" customFormat="false" ht="15" hidden="false" customHeight="true" outlineLevel="0" collapsed="false">
      <c r="A281" s="11" t="str">
        <f aca="false">IF(B281&lt;&gt;"",COUNTA($B$4:B281),"")</f>
        <v/>
      </c>
      <c r="B281" s="20"/>
      <c r="C281" s="20"/>
      <c r="D281" s="20"/>
      <c r="E281" s="20"/>
      <c r="F281" s="20"/>
      <c r="G281" s="20"/>
      <c r="H281" s="20"/>
      <c r="I281" s="21"/>
      <c r="J281" s="20"/>
      <c r="K281" s="14" t="str">
        <f aca="false">IF(AND(I281&lt;&gt;"",H281&lt;&gt;"",J281&lt;&gt;""),IF(J281="W",I281*H281,IF(J281="L",-I281,IF(J281="P",I281*H281*0.5,""))),"")</f>
        <v/>
      </c>
      <c r="L281" s="15" t="str">
        <f aca="false">IF(AND(K281&lt;&gt;"",P280&lt;&gt;""),K281/P280,IF(K281&lt;&gt;"",K281/$D$2,""))</f>
        <v/>
      </c>
      <c r="M281" s="20"/>
      <c r="N281" s="20"/>
      <c r="O281" s="20"/>
      <c r="P281" s="16" t="str">
        <f aca="false">IF(K281&lt;&gt;"",P280+K281,IF(B281&lt;&gt;"",P280,""))</f>
        <v/>
      </c>
      <c r="Q281" s="17" t="str">
        <f aca="false">IF(P281&lt;&gt;"",MIN(0,P281-MAX($P$4:P281)),"")</f>
        <v/>
      </c>
    </row>
    <row r="282" customFormat="false" ht="15" hidden="false" customHeight="true" outlineLevel="0" collapsed="false">
      <c r="A282" s="11" t="str">
        <f aca="false">IF(B282&lt;&gt;"",COUNTA($B$4:B282),"")</f>
        <v/>
      </c>
      <c r="B282" s="12"/>
      <c r="C282" s="12"/>
      <c r="D282" s="12"/>
      <c r="E282" s="12"/>
      <c r="F282" s="12"/>
      <c r="G282" s="12"/>
      <c r="H282" s="12"/>
      <c r="I282" s="13"/>
      <c r="J282" s="12"/>
      <c r="K282" s="14" t="str">
        <f aca="false">IF(AND(I282&lt;&gt;"",H282&lt;&gt;"",J282&lt;&gt;""),IF(J282="W",I282*H282,IF(J282="L",-I282,IF(J282="P",I282*H282*0.5,""))),"")</f>
        <v/>
      </c>
      <c r="L282" s="15" t="str">
        <f aca="false">IF(AND(K282&lt;&gt;"",P281&lt;&gt;""),K282/P281,IF(K282&lt;&gt;"",K282/$D$2,""))</f>
        <v/>
      </c>
      <c r="M282" s="12"/>
      <c r="N282" s="12"/>
      <c r="O282" s="12"/>
      <c r="P282" s="16" t="str">
        <f aca="false">IF(K282&lt;&gt;"",P281+K282,IF(B282&lt;&gt;"",P281,""))</f>
        <v/>
      </c>
      <c r="Q282" s="17" t="str">
        <f aca="false">IF(P282&lt;&gt;"",MIN(0,P282-MAX($P$4:P282)),"")</f>
        <v/>
      </c>
    </row>
    <row r="283" customFormat="false" ht="15" hidden="false" customHeight="true" outlineLevel="0" collapsed="false">
      <c r="A283" s="11" t="str">
        <f aca="false">IF(B283&lt;&gt;"",COUNTA($B$4:B283),"")</f>
        <v/>
      </c>
      <c r="B283" s="20"/>
      <c r="C283" s="20"/>
      <c r="D283" s="20"/>
      <c r="E283" s="20"/>
      <c r="F283" s="20"/>
      <c r="G283" s="20"/>
      <c r="H283" s="20"/>
      <c r="I283" s="21"/>
      <c r="J283" s="20"/>
      <c r="K283" s="14" t="str">
        <f aca="false">IF(AND(I283&lt;&gt;"",H283&lt;&gt;"",J283&lt;&gt;""),IF(J283="W",I283*H283,IF(J283="L",-I283,IF(J283="P",I283*H283*0.5,""))),"")</f>
        <v/>
      </c>
      <c r="L283" s="15" t="str">
        <f aca="false">IF(AND(K283&lt;&gt;"",P282&lt;&gt;""),K283/P282,IF(K283&lt;&gt;"",K283/$D$2,""))</f>
        <v/>
      </c>
      <c r="M283" s="20"/>
      <c r="N283" s="20"/>
      <c r="O283" s="20"/>
      <c r="P283" s="16" t="str">
        <f aca="false">IF(K283&lt;&gt;"",P282+K283,IF(B283&lt;&gt;"",P282,""))</f>
        <v/>
      </c>
      <c r="Q283" s="17" t="str">
        <f aca="false">IF(P283&lt;&gt;"",MIN(0,P283-MAX($P$4:P283)),"")</f>
        <v/>
      </c>
    </row>
    <row r="284" customFormat="false" ht="15" hidden="false" customHeight="true" outlineLevel="0" collapsed="false">
      <c r="A284" s="11" t="str">
        <f aca="false">IF(B284&lt;&gt;"",COUNTA($B$4:B284),"")</f>
        <v/>
      </c>
      <c r="B284" s="12"/>
      <c r="C284" s="12"/>
      <c r="D284" s="12"/>
      <c r="E284" s="12"/>
      <c r="F284" s="12"/>
      <c r="G284" s="12"/>
      <c r="H284" s="12"/>
      <c r="I284" s="13"/>
      <c r="J284" s="12"/>
      <c r="K284" s="14" t="str">
        <f aca="false">IF(AND(I284&lt;&gt;"",H284&lt;&gt;"",J284&lt;&gt;""),IF(J284="W",I284*H284,IF(J284="L",-I284,IF(J284="P",I284*H284*0.5,""))),"")</f>
        <v/>
      </c>
      <c r="L284" s="15" t="str">
        <f aca="false">IF(AND(K284&lt;&gt;"",P283&lt;&gt;""),K284/P283,IF(K284&lt;&gt;"",K284/$D$2,""))</f>
        <v/>
      </c>
      <c r="M284" s="12"/>
      <c r="N284" s="12"/>
      <c r="O284" s="12"/>
      <c r="P284" s="16" t="str">
        <f aca="false">IF(K284&lt;&gt;"",P283+K284,IF(B284&lt;&gt;"",P283,""))</f>
        <v/>
      </c>
      <c r="Q284" s="17" t="str">
        <f aca="false">IF(P284&lt;&gt;"",MIN(0,P284-MAX($P$4:P284)),"")</f>
        <v/>
      </c>
    </row>
    <row r="285" customFormat="false" ht="15" hidden="false" customHeight="true" outlineLevel="0" collapsed="false">
      <c r="A285" s="11" t="str">
        <f aca="false">IF(B285&lt;&gt;"",COUNTA($B$4:B285),"")</f>
        <v/>
      </c>
      <c r="B285" s="20"/>
      <c r="C285" s="20"/>
      <c r="D285" s="20"/>
      <c r="E285" s="20"/>
      <c r="F285" s="20"/>
      <c r="G285" s="20"/>
      <c r="H285" s="20"/>
      <c r="I285" s="21"/>
      <c r="J285" s="20"/>
      <c r="K285" s="14" t="str">
        <f aca="false">IF(AND(I285&lt;&gt;"",H285&lt;&gt;"",J285&lt;&gt;""),IF(J285="W",I285*H285,IF(J285="L",-I285,IF(J285="P",I285*H285*0.5,""))),"")</f>
        <v/>
      </c>
      <c r="L285" s="15" t="str">
        <f aca="false">IF(AND(K285&lt;&gt;"",P284&lt;&gt;""),K285/P284,IF(K285&lt;&gt;"",K285/$D$2,""))</f>
        <v/>
      </c>
      <c r="M285" s="20"/>
      <c r="N285" s="20"/>
      <c r="O285" s="20"/>
      <c r="P285" s="16" t="str">
        <f aca="false">IF(K285&lt;&gt;"",P284+K285,IF(B285&lt;&gt;"",P284,""))</f>
        <v/>
      </c>
      <c r="Q285" s="17" t="str">
        <f aca="false">IF(P285&lt;&gt;"",MIN(0,P285-MAX($P$4:P285)),"")</f>
        <v/>
      </c>
    </row>
    <row r="286" customFormat="false" ht="15" hidden="false" customHeight="true" outlineLevel="0" collapsed="false">
      <c r="A286" s="11" t="str">
        <f aca="false">IF(B286&lt;&gt;"",COUNTA($B$4:B286),"")</f>
        <v/>
      </c>
      <c r="B286" s="12"/>
      <c r="C286" s="12"/>
      <c r="D286" s="12"/>
      <c r="E286" s="12"/>
      <c r="F286" s="12"/>
      <c r="G286" s="12"/>
      <c r="H286" s="12"/>
      <c r="I286" s="13"/>
      <c r="J286" s="12"/>
      <c r="K286" s="14" t="str">
        <f aca="false">IF(AND(I286&lt;&gt;"",H286&lt;&gt;"",J286&lt;&gt;""),IF(J286="W",I286*H286,IF(J286="L",-I286,IF(J286="P",I286*H286*0.5,""))),"")</f>
        <v/>
      </c>
      <c r="L286" s="15" t="str">
        <f aca="false">IF(AND(K286&lt;&gt;"",P285&lt;&gt;""),K286/P285,IF(K286&lt;&gt;"",K286/$D$2,""))</f>
        <v/>
      </c>
      <c r="M286" s="12"/>
      <c r="N286" s="12"/>
      <c r="O286" s="12"/>
      <c r="P286" s="16" t="str">
        <f aca="false">IF(K286&lt;&gt;"",P285+K286,IF(B286&lt;&gt;"",P285,""))</f>
        <v/>
      </c>
      <c r="Q286" s="17" t="str">
        <f aca="false">IF(P286&lt;&gt;"",MIN(0,P286-MAX($P$4:P286)),"")</f>
        <v/>
      </c>
    </row>
    <row r="287" customFormat="false" ht="15" hidden="false" customHeight="true" outlineLevel="0" collapsed="false">
      <c r="A287" s="11" t="str">
        <f aca="false">IF(B287&lt;&gt;"",COUNTA($B$4:B287),"")</f>
        <v/>
      </c>
      <c r="B287" s="20"/>
      <c r="C287" s="20"/>
      <c r="D287" s="20"/>
      <c r="E287" s="20"/>
      <c r="F287" s="20"/>
      <c r="G287" s="20"/>
      <c r="H287" s="20"/>
      <c r="I287" s="21"/>
      <c r="J287" s="20"/>
      <c r="K287" s="14" t="str">
        <f aca="false">IF(AND(I287&lt;&gt;"",H287&lt;&gt;"",J287&lt;&gt;""),IF(J287="W",I287*H287,IF(J287="L",-I287,IF(J287="P",I287*H287*0.5,""))),"")</f>
        <v/>
      </c>
      <c r="L287" s="15" t="str">
        <f aca="false">IF(AND(K287&lt;&gt;"",P286&lt;&gt;""),K287/P286,IF(K287&lt;&gt;"",K287/$D$2,""))</f>
        <v/>
      </c>
      <c r="M287" s="20"/>
      <c r="N287" s="20"/>
      <c r="O287" s="20"/>
      <c r="P287" s="16" t="str">
        <f aca="false">IF(K287&lt;&gt;"",P286+K287,IF(B287&lt;&gt;"",P286,""))</f>
        <v/>
      </c>
      <c r="Q287" s="17" t="str">
        <f aca="false">IF(P287&lt;&gt;"",MIN(0,P287-MAX($P$4:P287)),"")</f>
        <v/>
      </c>
    </row>
    <row r="288" customFormat="false" ht="15" hidden="false" customHeight="true" outlineLevel="0" collapsed="false">
      <c r="A288" s="11" t="str">
        <f aca="false">IF(B288&lt;&gt;"",COUNTA($B$4:B288),"")</f>
        <v/>
      </c>
      <c r="B288" s="12"/>
      <c r="C288" s="12"/>
      <c r="D288" s="12"/>
      <c r="E288" s="12"/>
      <c r="F288" s="12"/>
      <c r="G288" s="12"/>
      <c r="H288" s="12"/>
      <c r="I288" s="13"/>
      <c r="J288" s="12"/>
      <c r="K288" s="14" t="str">
        <f aca="false">IF(AND(I288&lt;&gt;"",H288&lt;&gt;"",J288&lt;&gt;""),IF(J288="W",I288*H288,IF(J288="L",-I288,IF(J288="P",I288*H288*0.5,""))),"")</f>
        <v/>
      </c>
      <c r="L288" s="15" t="str">
        <f aca="false">IF(AND(K288&lt;&gt;"",P287&lt;&gt;""),K288/P287,IF(K288&lt;&gt;"",K288/$D$2,""))</f>
        <v/>
      </c>
      <c r="M288" s="12"/>
      <c r="N288" s="12"/>
      <c r="O288" s="12"/>
      <c r="P288" s="16" t="str">
        <f aca="false">IF(K288&lt;&gt;"",P287+K288,IF(B288&lt;&gt;"",P287,""))</f>
        <v/>
      </c>
      <c r="Q288" s="17" t="str">
        <f aca="false">IF(P288&lt;&gt;"",MIN(0,P288-MAX($P$4:P288)),"")</f>
        <v/>
      </c>
    </row>
    <row r="289" customFormat="false" ht="15" hidden="false" customHeight="true" outlineLevel="0" collapsed="false">
      <c r="A289" s="11" t="str">
        <f aca="false">IF(B289&lt;&gt;"",COUNTA($B$4:B289),"")</f>
        <v/>
      </c>
      <c r="B289" s="20"/>
      <c r="C289" s="20"/>
      <c r="D289" s="20"/>
      <c r="E289" s="20"/>
      <c r="F289" s="20"/>
      <c r="G289" s="20"/>
      <c r="H289" s="20"/>
      <c r="I289" s="21"/>
      <c r="J289" s="20"/>
      <c r="K289" s="14" t="str">
        <f aca="false">IF(AND(I289&lt;&gt;"",H289&lt;&gt;"",J289&lt;&gt;""),IF(J289="W",I289*H289,IF(J289="L",-I289,IF(J289="P",I289*H289*0.5,""))),"")</f>
        <v/>
      </c>
      <c r="L289" s="15" t="str">
        <f aca="false">IF(AND(K289&lt;&gt;"",P288&lt;&gt;""),K289/P288,IF(K289&lt;&gt;"",K289/$D$2,""))</f>
        <v/>
      </c>
      <c r="M289" s="20"/>
      <c r="N289" s="20"/>
      <c r="O289" s="20"/>
      <c r="P289" s="16" t="str">
        <f aca="false">IF(K289&lt;&gt;"",P288+K289,IF(B289&lt;&gt;"",P288,""))</f>
        <v/>
      </c>
      <c r="Q289" s="17" t="str">
        <f aca="false">IF(P289&lt;&gt;"",MIN(0,P289-MAX($P$4:P289)),"")</f>
        <v/>
      </c>
    </row>
    <row r="290" customFormat="false" ht="15" hidden="false" customHeight="true" outlineLevel="0" collapsed="false">
      <c r="A290" s="11" t="str">
        <f aca="false">IF(B290&lt;&gt;"",COUNTA($B$4:B290),"")</f>
        <v/>
      </c>
      <c r="B290" s="12"/>
      <c r="C290" s="12"/>
      <c r="D290" s="12"/>
      <c r="E290" s="12"/>
      <c r="F290" s="12"/>
      <c r="G290" s="12"/>
      <c r="H290" s="12"/>
      <c r="I290" s="13"/>
      <c r="J290" s="12"/>
      <c r="K290" s="14" t="str">
        <f aca="false">IF(AND(I290&lt;&gt;"",H290&lt;&gt;"",J290&lt;&gt;""),IF(J290="W",I290*H290,IF(J290="L",-I290,IF(J290="P",I290*H290*0.5,""))),"")</f>
        <v/>
      </c>
      <c r="L290" s="15" t="str">
        <f aca="false">IF(AND(K290&lt;&gt;"",P289&lt;&gt;""),K290/P289,IF(K290&lt;&gt;"",K290/$D$2,""))</f>
        <v/>
      </c>
      <c r="M290" s="12"/>
      <c r="N290" s="12"/>
      <c r="O290" s="12"/>
      <c r="P290" s="16" t="str">
        <f aca="false">IF(K290&lt;&gt;"",P289+K290,IF(B290&lt;&gt;"",P289,""))</f>
        <v/>
      </c>
      <c r="Q290" s="17" t="str">
        <f aca="false">IF(P290&lt;&gt;"",MIN(0,P290-MAX($P$4:P290)),"")</f>
        <v/>
      </c>
    </row>
    <row r="291" customFormat="false" ht="15" hidden="false" customHeight="true" outlineLevel="0" collapsed="false">
      <c r="A291" s="11" t="str">
        <f aca="false">IF(B291&lt;&gt;"",COUNTA($B$4:B291),"")</f>
        <v/>
      </c>
      <c r="B291" s="20"/>
      <c r="C291" s="20"/>
      <c r="D291" s="20"/>
      <c r="E291" s="20"/>
      <c r="F291" s="20"/>
      <c r="G291" s="20"/>
      <c r="H291" s="20"/>
      <c r="I291" s="21"/>
      <c r="J291" s="20"/>
      <c r="K291" s="14" t="str">
        <f aca="false">IF(AND(I291&lt;&gt;"",H291&lt;&gt;"",J291&lt;&gt;""),IF(J291="W",I291*H291,IF(J291="L",-I291,IF(J291="P",I291*H291*0.5,""))),"")</f>
        <v/>
      </c>
      <c r="L291" s="15" t="str">
        <f aca="false">IF(AND(K291&lt;&gt;"",P290&lt;&gt;""),K291/P290,IF(K291&lt;&gt;"",K291/$D$2,""))</f>
        <v/>
      </c>
      <c r="M291" s="20"/>
      <c r="N291" s="20"/>
      <c r="O291" s="20"/>
      <c r="P291" s="16" t="str">
        <f aca="false">IF(K291&lt;&gt;"",P290+K291,IF(B291&lt;&gt;"",P290,""))</f>
        <v/>
      </c>
      <c r="Q291" s="17" t="str">
        <f aca="false">IF(P291&lt;&gt;"",MIN(0,P291-MAX($P$4:P291)),"")</f>
        <v/>
      </c>
    </row>
    <row r="292" customFormat="false" ht="15" hidden="false" customHeight="true" outlineLevel="0" collapsed="false">
      <c r="A292" s="11" t="str">
        <f aca="false">IF(B292&lt;&gt;"",COUNTA($B$4:B292),"")</f>
        <v/>
      </c>
      <c r="B292" s="12"/>
      <c r="C292" s="12"/>
      <c r="D292" s="12"/>
      <c r="E292" s="12"/>
      <c r="F292" s="12"/>
      <c r="G292" s="12"/>
      <c r="H292" s="12"/>
      <c r="I292" s="13"/>
      <c r="J292" s="12"/>
      <c r="K292" s="14" t="str">
        <f aca="false">IF(AND(I292&lt;&gt;"",H292&lt;&gt;"",J292&lt;&gt;""),IF(J292="W",I292*H292,IF(J292="L",-I292,IF(J292="P",I292*H292*0.5,""))),"")</f>
        <v/>
      </c>
      <c r="L292" s="15" t="str">
        <f aca="false">IF(AND(K292&lt;&gt;"",P291&lt;&gt;""),K292/P291,IF(K292&lt;&gt;"",K292/$D$2,""))</f>
        <v/>
      </c>
      <c r="M292" s="12"/>
      <c r="N292" s="12"/>
      <c r="O292" s="12"/>
      <c r="P292" s="16" t="str">
        <f aca="false">IF(K292&lt;&gt;"",P291+K292,IF(B292&lt;&gt;"",P291,""))</f>
        <v/>
      </c>
      <c r="Q292" s="17" t="str">
        <f aca="false">IF(P292&lt;&gt;"",MIN(0,P292-MAX($P$4:P292)),"")</f>
        <v/>
      </c>
    </row>
    <row r="293" customFormat="false" ht="15" hidden="false" customHeight="true" outlineLevel="0" collapsed="false">
      <c r="A293" s="11" t="str">
        <f aca="false">IF(B293&lt;&gt;"",COUNTA($B$4:B293),"")</f>
        <v/>
      </c>
      <c r="B293" s="20"/>
      <c r="C293" s="20"/>
      <c r="D293" s="20"/>
      <c r="E293" s="20"/>
      <c r="F293" s="20"/>
      <c r="G293" s="20"/>
      <c r="H293" s="20"/>
      <c r="I293" s="21"/>
      <c r="J293" s="20"/>
      <c r="K293" s="14" t="str">
        <f aca="false">IF(AND(I293&lt;&gt;"",H293&lt;&gt;"",J293&lt;&gt;""),IF(J293="W",I293*H293,IF(J293="L",-I293,IF(J293="P",I293*H293*0.5,""))),"")</f>
        <v/>
      </c>
      <c r="L293" s="15" t="str">
        <f aca="false">IF(AND(K293&lt;&gt;"",P292&lt;&gt;""),K293/P292,IF(K293&lt;&gt;"",K293/$D$2,""))</f>
        <v/>
      </c>
      <c r="M293" s="20"/>
      <c r="N293" s="20"/>
      <c r="O293" s="20"/>
      <c r="P293" s="16" t="str">
        <f aca="false">IF(K293&lt;&gt;"",P292+K293,IF(B293&lt;&gt;"",P292,""))</f>
        <v/>
      </c>
      <c r="Q293" s="17" t="str">
        <f aca="false">IF(P293&lt;&gt;"",MIN(0,P293-MAX($P$4:P293)),"")</f>
        <v/>
      </c>
    </row>
    <row r="294" customFormat="false" ht="15" hidden="false" customHeight="true" outlineLevel="0" collapsed="false">
      <c r="A294" s="11" t="str">
        <f aca="false">IF(B294&lt;&gt;"",COUNTA($B$4:B294),"")</f>
        <v/>
      </c>
      <c r="B294" s="12"/>
      <c r="C294" s="12"/>
      <c r="D294" s="12"/>
      <c r="E294" s="12"/>
      <c r="F294" s="12"/>
      <c r="G294" s="12"/>
      <c r="H294" s="12"/>
      <c r="I294" s="13"/>
      <c r="J294" s="12"/>
      <c r="K294" s="14" t="str">
        <f aca="false">IF(AND(I294&lt;&gt;"",H294&lt;&gt;"",J294&lt;&gt;""),IF(J294="W",I294*H294,IF(J294="L",-I294,IF(J294="P",I294*H294*0.5,""))),"")</f>
        <v/>
      </c>
      <c r="L294" s="15" t="str">
        <f aca="false">IF(AND(K294&lt;&gt;"",P293&lt;&gt;""),K294/P293,IF(K294&lt;&gt;"",K294/$D$2,""))</f>
        <v/>
      </c>
      <c r="M294" s="12"/>
      <c r="N294" s="12"/>
      <c r="O294" s="12"/>
      <c r="P294" s="16" t="str">
        <f aca="false">IF(K294&lt;&gt;"",P293+K294,IF(B294&lt;&gt;"",P293,""))</f>
        <v/>
      </c>
      <c r="Q294" s="17" t="str">
        <f aca="false">IF(P294&lt;&gt;"",MIN(0,P294-MAX($P$4:P294)),"")</f>
        <v/>
      </c>
    </row>
    <row r="295" customFormat="false" ht="15" hidden="false" customHeight="true" outlineLevel="0" collapsed="false">
      <c r="A295" s="11" t="str">
        <f aca="false">IF(B295&lt;&gt;"",COUNTA($B$4:B295),"")</f>
        <v/>
      </c>
      <c r="B295" s="20"/>
      <c r="C295" s="20"/>
      <c r="D295" s="20"/>
      <c r="E295" s="20"/>
      <c r="F295" s="20"/>
      <c r="G295" s="20"/>
      <c r="H295" s="20"/>
      <c r="I295" s="21"/>
      <c r="J295" s="20"/>
      <c r="K295" s="14" t="str">
        <f aca="false">IF(AND(I295&lt;&gt;"",H295&lt;&gt;"",J295&lt;&gt;""),IF(J295="W",I295*H295,IF(J295="L",-I295,IF(J295="P",I295*H295*0.5,""))),"")</f>
        <v/>
      </c>
      <c r="L295" s="15" t="str">
        <f aca="false">IF(AND(K295&lt;&gt;"",P294&lt;&gt;""),K295/P294,IF(K295&lt;&gt;"",K295/$D$2,""))</f>
        <v/>
      </c>
      <c r="M295" s="20"/>
      <c r="N295" s="20"/>
      <c r="O295" s="20"/>
      <c r="P295" s="16" t="str">
        <f aca="false">IF(K295&lt;&gt;"",P294+K295,IF(B295&lt;&gt;"",P294,""))</f>
        <v/>
      </c>
      <c r="Q295" s="17" t="str">
        <f aca="false">IF(P295&lt;&gt;"",MIN(0,P295-MAX($P$4:P295)),"")</f>
        <v/>
      </c>
    </row>
    <row r="296" customFormat="false" ht="15" hidden="false" customHeight="true" outlineLevel="0" collapsed="false">
      <c r="A296" s="11" t="str">
        <f aca="false">IF(B296&lt;&gt;"",COUNTA($B$4:B296),"")</f>
        <v/>
      </c>
      <c r="B296" s="12"/>
      <c r="C296" s="12"/>
      <c r="D296" s="12"/>
      <c r="E296" s="12"/>
      <c r="F296" s="12"/>
      <c r="G296" s="12"/>
      <c r="H296" s="12"/>
      <c r="I296" s="13"/>
      <c r="J296" s="12"/>
      <c r="K296" s="14" t="str">
        <f aca="false">IF(AND(I296&lt;&gt;"",H296&lt;&gt;"",J296&lt;&gt;""),IF(J296="W",I296*H296,IF(J296="L",-I296,IF(J296="P",I296*H296*0.5,""))),"")</f>
        <v/>
      </c>
      <c r="L296" s="15" t="str">
        <f aca="false">IF(AND(K296&lt;&gt;"",P295&lt;&gt;""),K296/P295,IF(K296&lt;&gt;"",K296/$D$2,""))</f>
        <v/>
      </c>
      <c r="M296" s="12"/>
      <c r="N296" s="12"/>
      <c r="O296" s="12"/>
      <c r="P296" s="16" t="str">
        <f aca="false">IF(K296&lt;&gt;"",P295+K296,IF(B296&lt;&gt;"",P295,""))</f>
        <v/>
      </c>
      <c r="Q296" s="17" t="str">
        <f aca="false">IF(P296&lt;&gt;"",MIN(0,P296-MAX($P$4:P296)),"")</f>
        <v/>
      </c>
    </row>
    <row r="297" customFormat="false" ht="15" hidden="false" customHeight="true" outlineLevel="0" collapsed="false">
      <c r="A297" s="11" t="str">
        <f aca="false">IF(B297&lt;&gt;"",COUNTA($B$4:B297),"")</f>
        <v/>
      </c>
      <c r="B297" s="20"/>
      <c r="C297" s="20"/>
      <c r="D297" s="20"/>
      <c r="E297" s="20"/>
      <c r="F297" s="20"/>
      <c r="G297" s="20"/>
      <c r="H297" s="20"/>
      <c r="I297" s="21"/>
      <c r="J297" s="20"/>
      <c r="K297" s="14" t="str">
        <f aca="false">IF(AND(I297&lt;&gt;"",H297&lt;&gt;"",J297&lt;&gt;""),IF(J297="W",I297*H297,IF(J297="L",-I297,IF(J297="P",I297*H297*0.5,""))),"")</f>
        <v/>
      </c>
      <c r="L297" s="15" t="str">
        <f aca="false">IF(AND(K297&lt;&gt;"",P296&lt;&gt;""),K297/P296,IF(K297&lt;&gt;"",K297/$D$2,""))</f>
        <v/>
      </c>
      <c r="M297" s="20"/>
      <c r="N297" s="20"/>
      <c r="O297" s="20"/>
      <c r="P297" s="16" t="str">
        <f aca="false">IF(K297&lt;&gt;"",P296+K297,IF(B297&lt;&gt;"",P296,""))</f>
        <v/>
      </c>
      <c r="Q297" s="17" t="str">
        <f aca="false">IF(P297&lt;&gt;"",MIN(0,P297-MAX($P$4:P297)),"")</f>
        <v/>
      </c>
    </row>
    <row r="298" customFormat="false" ht="15" hidden="false" customHeight="true" outlineLevel="0" collapsed="false">
      <c r="A298" s="11" t="str">
        <f aca="false">IF(B298&lt;&gt;"",COUNTA($B$4:B298),"")</f>
        <v/>
      </c>
      <c r="B298" s="12"/>
      <c r="C298" s="12"/>
      <c r="D298" s="12"/>
      <c r="E298" s="12"/>
      <c r="F298" s="12"/>
      <c r="G298" s="12"/>
      <c r="H298" s="12"/>
      <c r="I298" s="13"/>
      <c r="J298" s="12"/>
      <c r="K298" s="14" t="str">
        <f aca="false">IF(AND(I298&lt;&gt;"",H298&lt;&gt;"",J298&lt;&gt;""),IF(J298="W",I298*H298,IF(J298="L",-I298,IF(J298="P",I298*H298*0.5,""))),"")</f>
        <v/>
      </c>
      <c r="L298" s="15" t="str">
        <f aca="false">IF(AND(K298&lt;&gt;"",P297&lt;&gt;""),K298/P297,IF(K298&lt;&gt;"",K298/$D$2,""))</f>
        <v/>
      </c>
      <c r="M298" s="12"/>
      <c r="N298" s="12"/>
      <c r="O298" s="12"/>
      <c r="P298" s="16" t="str">
        <f aca="false">IF(K298&lt;&gt;"",P297+K298,IF(B298&lt;&gt;"",P297,""))</f>
        <v/>
      </c>
      <c r="Q298" s="17" t="str">
        <f aca="false">IF(P298&lt;&gt;"",MIN(0,P298-MAX($P$4:P298)),"")</f>
        <v/>
      </c>
    </row>
    <row r="299" customFormat="false" ht="15" hidden="false" customHeight="true" outlineLevel="0" collapsed="false">
      <c r="A299" s="11" t="str">
        <f aca="false">IF(B299&lt;&gt;"",COUNTA($B$4:B299),"")</f>
        <v/>
      </c>
      <c r="B299" s="20"/>
      <c r="C299" s="20"/>
      <c r="D299" s="20"/>
      <c r="E299" s="20"/>
      <c r="F299" s="20"/>
      <c r="G299" s="20"/>
      <c r="H299" s="20"/>
      <c r="I299" s="21"/>
      <c r="J299" s="20"/>
      <c r="K299" s="14" t="str">
        <f aca="false">IF(AND(I299&lt;&gt;"",H299&lt;&gt;"",J299&lt;&gt;""),IF(J299="W",I299*H299,IF(J299="L",-I299,IF(J299="P",I299*H299*0.5,""))),"")</f>
        <v/>
      </c>
      <c r="L299" s="15" t="str">
        <f aca="false">IF(AND(K299&lt;&gt;"",P298&lt;&gt;""),K299/P298,IF(K299&lt;&gt;"",K299/$D$2,""))</f>
        <v/>
      </c>
      <c r="M299" s="20"/>
      <c r="N299" s="20"/>
      <c r="O299" s="20"/>
      <c r="P299" s="16" t="str">
        <f aca="false">IF(K299&lt;&gt;"",P298+K299,IF(B299&lt;&gt;"",P298,""))</f>
        <v/>
      </c>
      <c r="Q299" s="17" t="str">
        <f aca="false">IF(P299&lt;&gt;"",MIN(0,P299-MAX($P$4:P299)),"")</f>
        <v/>
      </c>
    </row>
    <row r="300" customFormat="false" ht="15" hidden="false" customHeight="true" outlineLevel="0" collapsed="false">
      <c r="A300" s="11" t="str">
        <f aca="false">IF(B300&lt;&gt;"",COUNTA($B$4:B300),"")</f>
        <v/>
      </c>
      <c r="B300" s="12"/>
      <c r="C300" s="12"/>
      <c r="D300" s="12"/>
      <c r="E300" s="12"/>
      <c r="F300" s="12"/>
      <c r="G300" s="12"/>
      <c r="H300" s="12"/>
      <c r="I300" s="13"/>
      <c r="J300" s="12"/>
      <c r="K300" s="14" t="str">
        <f aca="false">IF(AND(I300&lt;&gt;"",H300&lt;&gt;"",J300&lt;&gt;""),IF(J300="W",I300*H300,IF(J300="L",-I300,IF(J300="P",I300*H300*0.5,""))),"")</f>
        <v/>
      </c>
      <c r="L300" s="15" t="str">
        <f aca="false">IF(AND(K300&lt;&gt;"",P299&lt;&gt;""),K300/P299,IF(K300&lt;&gt;"",K300/$D$2,""))</f>
        <v/>
      </c>
      <c r="M300" s="12"/>
      <c r="N300" s="12"/>
      <c r="O300" s="12"/>
      <c r="P300" s="16" t="str">
        <f aca="false">IF(K300&lt;&gt;"",P299+K300,IF(B300&lt;&gt;"",P299,""))</f>
        <v/>
      </c>
      <c r="Q300" s="17" t="str">
        <f aca="false">IF(P300&lt;&gt;"",MIN(0,P300-MAX($P$4:P300)),"")</f>
        <v/>
      </c>
    </row>
    <row r="301" customFormat="false" ht="15" hidden="false" customHeight="true" outlineLevel="0" collapsed="false">
      <c r="A301" s="11" t="str">
        <f aca="false">IF(B301&lt;&gt;"",COUNTA($B$4:B301),"")</f>
        <v/>
      </c>
      <c r="B301" s="20"/>
      <c r="C301" s="20"/>
      <c r="D301" s="20"/>
      <c r="E301" s="20"/>
      <c r="F301" s="20"/>
      <c r="G301" s="20"/>
      <c r="H301" s="20"/>
      <c r="I301" s="21"/>
      <c r="J301" s="20"/>
      <c r="K301" s="14" t="str">
        <f aca="false">IF(AND(I301&lt;&gt;"",H301&lt;&gt;"",J301&lt;&gt;""),IF(J301="W",I301*H301,IF(J301="L",-I301,IF(J301="P",I301*H301*0.5,""))),"")</f>
        <v/>
      </c>
      <c r="L301" s="15" t="str">
        <f aca="false">IF(AND(K301&lt;&gt;"",P300&lt;&gt;""),K301/P300,IF(K301&lt;&gt;"",K301/$D$2,""))</f>
        <v/>
      </c>
      <c r="M301" s="20"/>
      <c r="N301" s="20"/>
      <c r="O301" s="20"/>
      <c r="P301" s="16" t="str">
        <f aca="false">IF(K301&lt;&gt;"",P300+K301,IF(B301&lt;&gt;"",P300,""))</f>
        <v/>
      </c>
      <c r="Q301" s="17" t="str">
        <f aca="false">IF(P301&lt;&gt;"",MIN(0,P301-MAX($P$4:P301)),"")</f>
        <v/>
      </c>
    </row>
    <row r="302" customFormat="false" ht="15" hidden="false" customHeight="true" outlineLevel="0" collapsed="false">
      <c r="A302" s="11" t="str">
        <f aca="false">IF(B302&lt;&gt;"",COUNTA($B$4:B302),"")</f>
        <v/>
      </c>
      <c r="B302" s="12"/>
      <c r="C302" s="12"/>
      <c r="D302" s="12"/>
      <c r="E302" s="12"/>
      <c r="F302" s="12"/>
      <c r="G302" s="12"/>
      <c r="H302" s="12"/>
      <c r="I302" s="13"/>
      <c r="J302" s="12"/>
      <c r="K302" s="14" t="str">
        <f aca="false">IF(AND(I302&lt;&gt;"",H302&lt;&gt;"",J302&lt;&gt;""),IF(J302="W",I302*H302,IF(J302="L",-I302,IF(J302="P",I302*H302*0.5,""))),"")</f>
        <v/>
      </c>
      <c r="L302" s="15" t="str">
        <f aca="false">IF(AND(K302&lt;&gt;"",P301&lt;&gt;""),K302/P301,IF(K302&lt;&gt;"",K302/$D$2,""))</f>
        <v/>
      </c>
      <c r="M302" s="12"/>
      <c r="N302" s="12"/>
      <c r="O302" s="12"/>
      <c r="P302" s="16" t="str">
        <f aca="false">IF(K302&lt;&gt;"",P301+K302,IF(B302&lt;&gt;"",P301,""))</f>
        <v/>
      </c>
      <c r="Q302" s="17" t="str">
        <f aca="false">IF(P302&lt;&gt;"",MIN(0,P302-MAX($P$4:P302)),"")</f>
        <v/>
      </c>
    </row>
    <row r="303" customFormat="false" ht="15" hidden="false" customHeight="true" outlineLevel="0" collapsed="false">
      <c r="A303" s="11" t="str">
        <f aca="false">IF(B303&lt;&gt;"",COUNTA($B$4:B303),"")</f>
        <v/>
      </c>
      <c r="B303" s="20"/>
      <c r="C303" s="20"/>
      <c r="D303" s="20"/>
      <c r="E303" s="20"/>
      <c r="F303" s="20"/>
      <c r="G303" s="20"/>
      <c r="H303" s="20"/>
      <c r="I303" s="21"/>
      <c r="J303" s="20"/>
      <c r="K303" s="14" t="str">
        <f aca="false">IF(AND(I303&lt;&gt;"",H303&lt;&gt;"",J303&lt;&gt;""),IF(J303="W",I303*H303,IF(J303="L",-I303,IF(J303="P",I303*H303*0.5,""))),"")</f>
        <v/>
      </c>
      <c r="L303" s="15" t="str">
        <f aca="false">IF(AND(K303&lt;&gt;"",P302&lt;&gt;""),K303/P302,IF(K303&lt;&gt;"",K303/$D$2,""))</f>
        <v/>
      </c>
      <c r="M303" s="20"/>
      <c r="N303" s="20"/>
      <c r="O303" s="20"/>
      <c r="P303" s="16" t="str">
        <f aca="false">IF(K303&lt;&gt;"",P302+K303,IF(B303&lt;&gt;"",P302,""))</f>
        <v/>
      </c>
      <c r="Q303" s="17" t="str">
        <f aca="false">IF(P303&lt;&gt;"",MIN(0,P303-MAX($P$4:P303)),"")</f>
        <v/>
      </c>
    </row>
    <row r="304" customFormat="false" ht="15" hidden="false" customHeight="true" outlineLevel="0" collapsed="false">
      <c r="A304" s="11" t="str">
        <f aca="false">IF(B304&lt;&gt;"",COUNTA($B$4:B304),"")</f>
        <v/>
      </c>
      <c r="B304" s="12"/>
      <c r="C304" s="12"/>
      <c r="D304" s="12"/>
      <c r="E304" s="12"/>
      <c r="F304" s="12"/>
      <c r="G304" s="12"/>
      <c r="H304" s="12"/>
      <c r="I304" s="13"/>
      <c r="J304" s="12"/>
      <c r="K304" s="14" t="str">
        <f aca="false">IF(AND(I304&lt;&gt;"",H304&lt;&gt;"",J304&lt;&gt;""),IF(J304="W",I304*H304,IF(J304="L",-I304,IF(J304="P",I304*H304*0.5,""))),"")</f>
        <v/>
      </c>
      <c r="L304" s="15" t="str">
        <f aca="false">IF(AND(K304&lt;&gt;"",P303&lt;&gt;""),K304/P303,IF(K304&lt;&gt;"",K304/$D$2,""))</f>
        <v/>
      </c>
      <c r="M304" s="12"/>
      <c r="N304" s="12"/>
      <c r="O304" s="12"/>
      <c r="P304" s="16" t="str">
        <f aca="false">IF(K304&lt;&gt;"",P303+K304,IF(B304&lt;&gt;"",P303,""))</f>
        <v/>
      </c>
      <c r="Q304" s="17" t="str">
        <f aca="false">IF(P304&lt;&gt;"",MIN(0,P304-MAX($P$4:P304)),"")</f>
        <v/>
      </c>
    </row>
    <row r="305" customFormat="false" ht="15" hidden="false" customHeight="true" outlineLevel="0" collapsed="false">
      <c r="A305" s="11" t="str">
        <f aca="false">IF(B305&lt;&gt;"",COUNTA($B$4:B305),"")</f>
        <v/>
      </c>
      <c r="B305" s="20"/>
      <c r="C305" s="20"/>
      <c r="D305" s="20"/>
      <c r="E305" s="20"/>
      <c r="F305" s="20"/>
      <c r="G305" s="20"/>
      <c r="H305" s="20"/>
      <c r="I305" s="21"/>
      <c r="J305" s="20"/>
      <c r="K305" s="14" t="str">
        <f aca="false">IF(AND(I305&lt;&gt;"",H305&lt;&gt;"",J305&lt;&gt;""),IF(J305="W",I305*H305,IF(J305="L",-I305,IF(J305="P",I305*H305*0.5,""))),"")</f>
        <v/>
      </c>
      <c r="L305" s="15" t="str">
        <f aca="false">IF(AND(K305&lt;&gt;"",P304&lt;&gt;""),K305/P304,IF(K305&lt;&gt;"",K305/$D$2,""))</f>
        <v/>
      </c>
      <c r="M305" s="20"/>
      <c r="N305" s="20"/>
      <c r="O305" s="20"/>
      <c r="P305" s="16" t="str">
        <f aca="false">IF(K305&lt;&gt;"",P304+K305,IF(B305&lt;&gt;"",P304,""))</f>
        <v/>
      </c>
      <c r="Q305" s="17" t="str">
        <f aca="false">IF(P305&lt;&gt;"",MIN(0,P305-MAX($P$4:P305)),"")</f>
        <v/>
      </c>
    </row>
    <row r="306" customFormat="false" ht="15" hidden="false" customHeight="true" outlineLevel="0" collapsed="false">
      <c r="A306" s="11" t="str">
        <f aca="false">IF(B306&lt;&gt;"",COUNTA($B$4:B306),"")</f>
        <v/>
      </c>
      <c r="B306" s="12"/>
      <c r="C306" s="12"/>
      <c r="D306" s="12"/>
      <c r="E306" s="12"/>
      <c r="F306" s="12"/>
      <c r="G306" s="12"/>
      <c r="H306" s="12"/>
      <c r="I306" s="13"/>
      <c r="J306" s="12"/>
      <c r="K306" s="14" t="str">
        <f aca="false">IF(AND(I306&lt;&gt;"",H306&lt;&gt;"",J306&lt;&gt;""),IF(J306="W",I306*H306,IF(J306="L",-I306,IF(J306="P",I306*H306*0.5,""))),"")</f>
        <v/>
      </c>
      <c r="L306" s="15" t="str">
        <f aca="false">IF(AND(K306&lt;&gt;"",P305&lt;&gt;""),K306/P305,IF(K306&lt;&gt;"",K306/$D$2,""))</f>
        <v/>
      </c>
      <c r="M306" s="12"/>
      <c r="N306" s="12"/>
      <c r="O306" s="12"/>
      <c r="P306" s="16" t="str">
        <f aca="false">IF(K306&lt;&gt;"",P305+K306,IF(B306&lt;&gt;"",P305,""))</f>
        <v/>
      </c>
      <c r="Q306" s="17" t="str">
        <f aca="false">IF(P306&lt;&gt;"",MIN(0,P306-MAX($P$4:P306)),"")</f>
        <v/>
      </c>
    </row>
    <row r="307" customFormat="false" ht="15" hidden="false" customHeight="true" outlineLevel="0" collapsed="false">
      <c r="A307" s="11" t="str">
        <f aca="false">IF(B307&lt;&gt;"",COUNTA($B$4:B307),"")</f>
        <v/>
      </c>
      <c r="B307" s="20"/>
      <c r="C307" s="20"/>
      <c r="D307" s="20"/>
      <c r="E307" s="20"/>
      <c r="F307" s="20"/>
      <c r="G307" s="20"/>
      <c r="H307" s="20"/>
      <c r="I307" s="21"/>
      <c r="J307" s="20"/>
      <c r="K307" s="14" t="str">
        <f aca="false">IF(AND(I307&lt;&gt;"",H307&lt;&gt;"",J307&lt;&gt;""),IF(J307="W",I307*H307,IF(J307="L",-I307,IF(J307="P",I307*H307*0.5,""))),"")</f>
        <v/>
      </c>
      <c r="L307" s="15" t="str">
        <f aca="false">IF(AND(K307&lt;&gt;"",P306&lt;&gt;""),K307/P306,IF(K307&lt;&gt;"",K307/$D$2,""))</f>
        <v/>
      </c>
      <c r="M307" s="20"/>
      <c r="N307" s="20"/>
      <c r="O307" s="20"/>
      <c r="P307" s="16" t="str">
        <f aca="false">IF(K307&lt;&gt;"",P306+K307,IF(B307&lt;&gt;"",P306,""))</f>
        <v/>
      </c>
      <c r="Q307" s="17" t="str">
        <f aca="false">IF(P307&lt;&gt;"",MIN(0,P307-MAX($P$4:P307)),"")</f>
        <v/>
      </c>
    </row>
    <row r="308" customFormat="false" ht="15" hidden="false" customHeight="true" outlineLevel="0" collapsed="false">
      <c r="A308" s="11" t="str">
        <f aca="false">IF(B308&lt;&gt;"",COUNTA($B$4:B308),"")</f>
        <v/>
      </c>
      <c r="B308" s="12"/>
      <c r="C308" s="12"/>
      <c r="D308" s="12"/>
      <c r="E308" s="12"/>
      <c r="F308" s="12"/>
      <c r="G308" s="12"/>
      <c r="H308" s="12"/>
      <c r="I308" s="13"/>
      <c r="J308" s="12"/>
      <c r="K308" s="14" t="str">
        <f aca="false">IF(AND(I308&lt;&gt;"",H308&lt;&gt;"",J308&lt;&gt;""),IF(J308="W",I308*H308,IF(J308="L",-I308,IF(J308="P",I308*H308*0.5,""))),"")</f>
        <v/>
      </c>
      <c r="L308" s="15" t="str">
        <f aca="false">IF(AND(K308&lt;&gt;"",P307&lt;&gt;""),K308/P307,IF(K308&lt;&gt;"",K308/$D$2,""))</f>
        <v/>
      </c>
      <c r="M308" s="12"/>
      <c r="N308" s="12"/>
      <c r="O308" s="12"/>
      <c r="P308" s="16" t="str">
        <f aca="false">IF(K308&lt;&gt;"",P307+K308,IF(B308&lt;&gt;"",P307,""))</f>
        <v/>
      </c>
      <c r="Q308" s="17" t="str">
        <f aca="false">IF(P308&lt;&gt;"",MIN(0,P308-MAX($P$4:P308)),"")</f>
        <v/>
      </c>
    </row>
    <row r="309" customFormat="false" ht="15" hidden="false" customHeight="true" outlineLevel="0" collapsed="false">
      <c r="A309" s="11" t="str">
        <f aca="false">IF(B309&lt;&gt;"",COUNTA($B$4:B309),"")</f>
        <v/>
      </c>
      <c r="B309" s="20"/>
      <c r="C309" s="20"/>
      <c r="D309" s="20"/>
      <c r="E309" s="20"/>
      <c r="F309" s="20"/>
      <c r="G309" s="20"/>
      <c r="H309" s="20"/>
      <c r="I309" s="21"/>
      <c r="J309" s="20"/>
      <c r="K309" s="14" t="str">
        <f aca="false">IF(AND(I309&lt;&gt;"",H309&lt;&gt;"",J309&lt;&gt;""),IF(J309="W",I309*H309,IF(J309="L",-I309,IF(J309="P",I309*H309*0.5,""))),"")</f>
        <v/>
      </c>
      <c r="L309" s="15" t="str">
        <f aca="false">IF(AND(K309&lt;&gt;"",P308&lt;&gt;""),K309/P308,IF(K309&lt;&gt;"",K309/$D$2,""))</f>
        <v/>
      </c>
      <c r="M309" s="20"/>
      <c r="N309" s="20"/>
      <c r="O309" s="20"/>
      <c r="P309" s="16" t="str">
        <f aca="false">IF(K309&lt;&gt;"",P308+K309,IF(B309&lt;&gt;"",P308,""))</f>
        <v/>
      </c>
      <c r="Q309" s="17" t="str">
        <f aca="false">IF(P309&lt;&gt;"",MIN(0,P309-MAX($P$4:P309)),"")</f>
        <v/>
      </c>
    </row>
    <row r="310" customFormat="false" ht="15" hidden="false" customHeight="true" outlineLevel="0" collapsed="false">
      <c r="A310" s="11" t="str">
        <f aca="false">IF(B310&lt;&gt;"",COUNTA($B$4:B310),"")</f>
        <v/>
      </c>
      <c r="B310" s="12"/>
      <c r="C310" s="12"/>
      <c r="D310" s="12"/>
      <c r="E310" s="12"/>
      <c r="F310" s="12"/>
      <c r="G310" s="12"/>
      <c r="H310" s="12"/>
      <c r="I310" s="13"/>
      <c r="J310" s="12"/>
      <c r="K310" s="14" t="str">
        <f aca="false">IF(AND(I310&lt;&gt;"",H310&lt;&gt;"",J310&lt;&gt;""),IF(J310="W",I310*H310,IF(J310="L",-I310,IF(J310="P",I310*H310*0.5,""))),"")</f>
        <v/>
      </c>
      <c r="L310" s="15" t="str">
        <f aca="false">IF(AND(K310&lt;&gt;"",P309&lt;&gt;""),K310/P309,IF(K310&lt;&gt;"",K310/$D$2,""))</f>
        <v/>
      </c>
      <c r="M310" s="12"/>
      <c r="N310" s="12"/>
      <c r="O310" s="12"/>
      <c r="P310" s="16" t="str">
        <f aca="false">IF(K310&lt;&gt;"",P309+K310,IF(B310&lt;&gt;"",P309,""))</f>
        <v/>
      </c>
      <c r="Q310" s="17" t="str">
        <f aca="false">IF(P310&lt;&gt;"",MIN(0,P310-MAX($P$4:P310)),"")</f>
        <v/>
      </c>
    </row>
    <row r="311" customFormat="false" ht="15" hidden="false" customHeight="true" outlineLevel="0" collapsed="false">
      <c r="A311" s="11" t="str">
        <f aca="false">IF(B311&lt;&gt;"",COUNTA($B$4:B311),"")</f>
        <v/>
      </c>
      <c r="B311" s="20"/>
      <c r="C311" s="20"/>
      <c r="D311" s="20"/>
      <c r="E311" s="20"/>
      <c r="F311" s="20"/>
      <c r="G311" s="20"/>
      <c r="H311" s="20"/>
      <c r="I311" s="21"/>
      <c r="J311" s="20"/>
      <c r="K311" s="14" t="str">
        <f aca="false">IF(AND(I311&lt;&gt;"",H311&lt;&gt;"",J311&lt;&gt;""),IF(J311="W",I311*H311,IF(J311="L",-I311,IF(J311="P",I311*H311*0.5,""))),"")</f>
        <v/>
      </c>
      <c r="L311" s="15" t="str">
        <f aca="false">IF(AND(K311&lt;&gt;"",P310&lt;&gt;""),K311/P310,IF(K311&lt;&gt;"",K311/$D$2,""))</f>
        <v/>
      </c>
      <c r="M311" s="20"/>
      <c r="N311" s="20"/>
      <c r="O311" s="20"/>
      <c r="P311" s="16" t="str">
        <f aca="false">IF(K311&lt;&gt;"",P310+K311,IF(B311&lt;&gt;"",P310,""))</f>
        <v/>
      </c>
      <c r="Q311" s="17" t="str">
        <f aca="false">IF(P311&lt;&gt;"",MIN(0,P311-MAX($P$4:P311)),"")</f>
        <v/>
      </c>
    </row>
    <row r="312" customFormat="false" ht="15" hidden="false" customHeight="true" outlineLevel="0" collapsed="false">
      <c r="A312" s="11" t="str">
        <f aca="false">IF(B312&lt;&gt;"",COUNTA($B$4:B312),"")</f>
        <v/>
      </c>
      <c r="B312" s="12"/>
      <c r="C312" s="12"/>
      <c r="D312" s="12"/>
      <c r="E312" s="12"/>
      <c r="F312" s="12"/>
      <c r="G312" s="12"/>
      <c r="H312" s="12"/>
      <c r="I312" s="13"/>
      <c r="J312" s="12"/>
      <c r="K312" s="14" t="str">
        <f aca="false">IF(AND(I312&lt;&gt;"",H312&lt;&gt;"",J312&lt;&gt;""),IF(J312="W",I312*H312,IF(J312="L",-I312,IF(J312="P",I312*H312*0.5,""))),"")</f>
        <v/>
      </c>
      <c r="L312" s="15" t="str">
        <f aca="false">IF(AND(K312&lt;&gt;"",P311&lt;&gt;""),K312/P311,IF(K312&lt;&gt;"",K312/$D$2,""))</f>
        <v/>
      </c>
      <c r="M312" s="12"/>
      <c r="N312" s="12"/>
      <c r="O312" s="12"/>
      <c r="P312" s="16" t="str">
        <f aca="false">IF(K312&lt;&gt;"",P311+K312,IF(B312&lt;&gt;"",P311,""))</f>
        <v/>
      </c>
      <c r="Q312" s="17" t="str">
        <f aca="false">IF(P312&lt;&gt;"",MIN(0,P312-MAX($P$4:P312)),"")</f>
        <v/>
      </c>
    </row>
    <row r="313" customFormat="false" ht="15" hidden="false" customHeight="true" outlineLevel="0" collapsed="false">
      <c r="A313" s="11" t="str">
        <f aca="false">IF(B313&lt;&gt;"",COUNTA($B$4:B313),"")</f>
        <v/>
      </c>
      <c r="B313" s="20"/>
      <c r="C313" s="20"/>
      <c r="D313" s="20"/>
      <c r="E313" s="20"/>
      <c r="F313" s="20"/>
      <c r="G313" s="20"/>
      <c r="H313" s="20"/>
      <c r="I313" s="21"/>
      <c r="J313" s="20"/>
      <c r="K313" s="14" t="str">
        <f aca="false">IF(AND(I313&lt;&gt;"",H313&lt;&gt;"",J313&lt;&gt;""),IF(J313="W",I313*H313,IF(J313="L",-I313,IF(J313="P",I313*H313*0.5,""))),"")</f>
        <v/>
      </c>
      <c r="L313" s="15" t="str">
        <f aca="false">IF(AND(K313&lt;&gt;"",P312&lt;&gt;""),K313/P312,IF(K313&lt;&gt;"",K313/$D$2,""))</f>
        <v/>
      </c>
      <c r="M313" s="20"/>
      <c r="N313" s="20"/>
      <c r="O313" s="20"/>
      <c r="P313" s="16" t="str">
        <f aca="false">IF(K313&lt;&gt;"",P312+K313,IF(B313&lt;&gt;"",P312,""))</f>
        <v/>
      </c>
      <c r="Q313" s="17" t="str">
        <f aca="false">IF(P313&lt;&gt;"",MIN(0,P313-MAX($P$4:P313)),"")</f>
        <v/>
      </c>
    </row>
    <row r="314" customFormat="false" ht="15" hidden="false" customHeight="true" outlineLevel="0" collapsed="false">
      <c r="A314" s="11" t="str">
        <f aca="false">IF(B314&lt;&gt;"",COUNTA($B$4:B314),"")</f>
        <v/>
      </c>
      <c r="B314" s="12"/>
      <c r="C314" s="12"/>
      <c r="D314" s="12"/>
      <c r="E314" s="12"/>
      <c r="F314" s="12"/>
      <c r="G314" s="12"/>
      <c r="H314" s="12"/>
      <c r="I314" s="13"/>
      <c r="J314" s="12"/>
      <c r="K314" s="14" t="str">
        <f aca="false">IF(AND(I314&lt;&gt;"",H314&lt;&gt;"",J314&lt;&gt;""),IF(J314="W",I314*H314,IF(J314="L",-I314,IF(J314="P",I314*H314*0.5,""))),"")</f>
        <v/>
      </c>
      <c r="L314" s="15" t="str">
        <f aca="false">IF(AND(K314&lt;&gt;"",P313&lt;&gt;""),K314/P313,IF(K314&lt;&gt;"",K314/$D$2,""))</f>
        <v/>
      </c>
      <c r="M314" s="12"/>
      <c r="N314" s="12"/>
      <c r="O314" s="12"/>
      <c r="P314" s="16" t="str">
        <f aca="false">IF(K314&lt;&gt;"",P313+K314,IF(B314&lt;&gt;"",P313,""))</f>
        <v/>
      </c>
      <c r="Q314" s="17" t="str">
        <f aca="false">IF(P314&lt;&gt;"",MIN(0,P314-MAX($P$4:P314)),"")</f>
        <v/>
      </c>
    </row>
    <row r="315" customFormat="false" ht="15" hidden="false" customHeight="true" outlineLevel="0" collapsed="false">
      <c r="A315" s="11" t="str">
        <f aca="false">IF(B315&lt;&gt;"",COUNTA($B$4:B315),"")</f>
        <v/>
      </c>
      <c r="B315" s="20"/>
      <c r="C315" s="20"/>
      <c r="D315" s="20"/>
      <c r="E315" s="20"/>
      <c r="F315" s="20"/>
      <c r="G315" s="20"/>
      <c r="H315" s="20"/>
      <c r="I315" s="21"/>
      <c r="J315" s="20"/>
      <c r="K315" s="14" t="str">
        <f aca="false">IF(AND(I315&lt;&gt;"",H315&lt;&gt;"",J315&lt;&gt;""),IF(J315="W",I315*H315,IF(J315="L",-I315,IF(J315="P",I315*H315*0.5,""))),"")</f>
        <v/>
      </c>
      <c r="L315" s="15" t="str">
        <f aca="false">IF(AND(K315&lt;&gt;"",P314&lt;&gt;""),K315/P314,IF(K315&lt;&gt;"",K315/$D$2,""))</f>
        <v/>
      </c>
      <c r="M315" s="20"/>
      <c r="N315" s="20"/>
      <c r="O315" s="20"/>
      <c r="P315" s="16" t="str">
        <f aca="false">IF(K315&lt;&gt;"",P314+K315,IF(B315&lt;&gt;"",P314,""))</f>
        <v/>
      </c>
      <c r="Q315" s="17" t="str">
        <f aca="false">IF(P315&lt;&gt;"",MIN(0,P315-MAX($P$4:P315)),"")</f>
        <v/>
      </c>
    </row>
    <row r="316" customFormat="false" ht="15" hidden="false" customHeight="true" outlineLevel="0" collapsed="false">
      <c r="A316" s="11" t="str">
        <f aca="false">IF(B316&lt;&gt;"",COUNTA($B$4:B316),"")</f>
        <v/>
      </c>
      <c r="B316" s="12"/>
      <c r="C316" s="12"/>
      <c r="D316" s="12"/>
      <c r="E316" s="12"/>
      <c r="F316" s="12"/>
      <c r="G316" s="12"/>
      <c r="H316" s="12"/>
      <c r="I316" s="13"/>
      <c r="J316" s="12"/>
      <c r="K316" s="14" t="str">
        <f aca="false">IF(AND(I316&lt;&gt;"",H316&lt;&gt;"",J316&lt;&gt;""),IF(J316="W",I316*H316,IF(J316="L",-I316,IF(J316="P",I316*H316*0.5,""))),"")</f>
        <v/>
      </c>
      <c r="L316" s="15" t="str">
        <f aca="false">IF(AND(K316&lt;&gt;"",P315&lt;&gt;""),K316/P315,IF(K316&lt;&gt;"",K316/$D$2,""))</f>
        <v/>
      </c>
      <c r="M316" s="12"/>
      <c r="N316" s="12"/>
      <c r="O316" s="12"/>
      <c r="P316" s="16" t="str">
        <f aca="false">IF(K316&lt;&gt;"",P315+K316,IF(B316&lt;&gt;"",P315,""))</f>
        <v/>
      </c>
      <c r="Q316" s="17" t="str">
        <f aca="false">IF(P316&lt;&gt;"",MIN(0,P316-MAX($P$4:P316)),"")</f>
        <v/>
      </c>
    </row>
    <row r="317" customFormat="false" ht="15" hidden="false" customHeight="true" outlineLevel="0" collapsed="false">
      <c r="A317" s="11" t="str">
        <f aca="false">IF(B317&lt;&gt;"",COUNTA($B$4:B317),"")</f>
        <v/>
      </c>
      <c r="B317" s="20"/>
      <c r="C317" s="20"/>
      <c r="D317" s="20"/>
      <c r="E317" s="20"/>
      <c r="F317" s="20"/>
      <c r="G317" s="20"/>
      <c r="H317" s="20"/>
      <c r="I317" s="21"/>
      <c r="J317" s="20"/>
      <c r="K317" s="14" t="str">
        <f aca="false">IF(AND(I317&lt;&gt;"",H317&lt;&gt;"",J317&lt;&gt;""),IF(J317="W",I317*H317,IF(J317="L",-I317,IF(J317="P",I317*H317*0.5,""))),"")</f>
        <v/>
      </c>
      <c r="L317" s="15" t="str">
        <f aca="false">IF(AND(K317&lt;&gt;"",P316&lt;&gt;""),K317/P316,IF(K317&lt;&gt;"",K317/$D$2,""))</f>
        <v/>
      </c>
      <c r="M317" s="20"/>
      <c r="N317" s="20"/>
      <c r="O317" s="20"/>
      <c r="P317" s="16" t="str">
        <f aca="false">IF(K317&lt;&gt;"",P316+K317,IF(B317&lt;&gt;"",P316,""))</f>
        <v/>
      </c>
      <c r="Q317" s="17" t="str">
        <f aca="false">IF(P317&lt;&gt;"",MIN(0,P317-MAX($P$4:P317)),"")</f>
        <v/>
      </c>
    </row>
    <row r="318" customFormat="false" ht="15" hidden="false" customHeight="true" outlineLevel="0" collapsed="false">
      <c r="A318" s="11" t="str">
        <f aca="false">IF(B318&lt;&gt;"",COUNTA($B$4:B318),"")</f>
        <v/>
      </c>
      <c r="B318" s="12"/>
      <c r="C318" s="12"/>
      <c r="D318" s="12"/>
      <c r="E318" s="12"/>
      <c r="F318" s="12"/>
      <c r="G318" s="12"/>
      <c r="H318" s="12"/>
      <c r="I318" s="13"/>
      <c r="J318" s="12"/>
      <c r="K318" s="14" t="str">
        <f aca="false">IF(AND(I318&lt;&gt;"",H318&lt;&gt;"",J318&lt;&gt;""),IF(J318="W",I318*H318,IF(J318="L",-I318,IF(J318="P",I318*H318*0.5,""))),"")</f>
        <v/>
      </c>
      <c r="L318" s="15" t="str">
        <f aca="false">IF(AND(K318&lt;&gt;"",P317&lt;&gt;""),K318/P317,IF(K318&lt;&gt;"",K318/$D$2,""))</f>
        <v/>
      </c>
      <c r="M318" s="12"/>
      <c r="N318" s="12"/>
      <c r="O318" s="12"/>
      <c r="P318" s="16" t="str">
        <f aca="false">IF(K318&lt;&gt;"",P317+K318,IF(B318&lt;&gt;"",P317,""))</f>
        <v/>
      </c>
      <c r="Q318" s="17" t="str">
        <f aca="false">IF(P318&lt;&gt;"",MIN(0,P318-MAX($P$4:P318)),"")</f>
        <v/>
      </c>
    </row>
    <row r="319" customFormat="false" ht="15" hidden="false" customHeight="true" outlineLevel="0" collapsed="false">
      <c r="A319" s="11" t="str">
        <f aca="false">IF(B319&lt;&gt;"",COUNTA($B$4:B319),"")</f>
        <v/>
      </c>
      <c r="B319" s="20"/>
      <c r="C319" s="20"/>
      <c r="D319" s="20"/>
      <c r="E319" s="20"/>
      <c r="F319" s="20"/>
      <c r="G319" s="20"/>
      <c r="H319" s="20"/>
      <c r="I319" s="21"/>
      <c r="J319" s="20"/>
      <c r="K319" s="14" t="str">
        <f aca="false">IF(AND(I319&lt;&gt;"",H319&lt;&gt;"",J319&lt;&gt;""),IF(J319="W",I319*H319,IF(J319="L",-I319,IF(J319="P",I319*H319*0.5,""))),"")</f>
        <v/>
      </c>
      <c r="L319" s="15" t="str">
        <f aca="false">IF(AND(K319&lt;&gt;"",P318&lt;&gt;""),K319/P318,IF(K319&lt;&gt;"",K319/$D$2,""))</f>
        <v/>
      </c>
      <c r="M319" s="20"/>
      <c r="N319" s="20"/>
      <c r="O319" s="20"/>
      <c r="P319" s="16" t="str">
        <f aca="false">IF(K319&lt;&gt;"",P318+K319,IF(B319&lt;&gt;"",P318,""))</f>
        <v/>
      </c>
      <c r="Q319" s="17" t="str">
        <f aca="false">IF(P319&lt;&gt;"",MIN(0,P319-MAX($P$4:P319)),"")</f>
        <v/>
      </c>
    </row>
    <row r="320" customFormat="false" ht="15" hidden="false" customHeight="true" outlineLevel="0" collapsed="false">
      <c r="A320" s="11" t="str">
        <f aca="false">IF(B320&lt;&gt;"",COUNTA($B$4:B320),"")</f>
        <v/>
      </c>
      <c r="B320" s="12"/>
      <c r="C320" s="12"/>
      <c r="D320" s="12"/>
      <c r="E320" s="12"/>
      <c r="F320" s="12"/>
      <c r="G320" s="12"/>
      <c r="H320" s="12"/>
      <c r="I320" s="13"/>
      <c r="J320" s="12"/>
      <c r="K320" s="14" t="str">
        <f aca="false">IF(AND(I320&lt;&gt;"",H320&lt;&gt;"",J320&lt;&gt;""),IF(J320="W",I320*H320,IF(J320="L",-I320,IF(J320="P",I320*H320*0.5,""))),"")</f>
        <v/>
      </c>
      <c r="L320" s="15" t="str">
        <f aca="false">IF(AND(K320&lt;&gt;"",P319&lt;&gt;""),K320/P319,IF(K320&lt;&gt;"",K320/$D$2,""))</f>
        <v/>
      </c>
      <c r="M320" s="12"/>
      <c r="N320" s="12"/>
      <c r="O320" s="12"/>
      <c r="P320" s="16" t="str">
        <f aca="false">IF(K320&lt;&gt;"",P319+K320,IF(B320&lt;&gt;"",P319,""))</f>
        <v/>
      </c>
      <c r="Q320" s="17" t="str">
        <f aca="false">IF(P320&lt;&gt;"",MIN(0,P320-MAX($P$4:P320)),"")</f>
        <v/>
      </c>
    </row>
    <row r="321" customFormat="false" ht="15" hidden="false" customHeight="true" outlineLevel="0" collapsed="false">
      <c r="A321" s="11" t="str">
        <f aca="false">IF(B321&lt;&gt;"",COUNTA($B$4:B321),"")</f>
        <v/>
      </c>
      <c r="B321" s="20"/>
      <c r="C321" s="20"/>
      <c r="D321" s="20"/>
      <c r="E321" s="20"/>
      <c r="F321" s="20"/>
      <c r="G321" s="20"/>
      <c r="H321" s="20"/>
      <c r="I321" s="21"/>
      <c r="J321" s="20"/>
      <c r="K321" s="14" t="str">
        <f aca="false">IF(AND(I321&lt;&gt;"",H321&lt;&gt;"",J321&lt;&gt;""),IF(J321="W",I321*H321,IF(J321="L",-I321,IF(J321="P",I321*H321*0.5,""))),"")</f>
        <v/>
      </c>
      <c r="L321" s="15" t="str">
        <f aca="false">IF(AND(K321&lt;&gt;"",P320&lt;&gt;""),K321/P320,IF(K321&lt;&gt;"",K321/$D$2,""))</f>
        <v/>
      </c>
      <c r="M321" s="20"/>
      <c r="N321" s="20"/>
      <c r="O321" s="20"/>
      <c r="P321" s="16" t="str">
        <f aca="false">IF(K321&lt;&gt;"",P320+K321,IF(B321&lt;&gt;"",P320,""))</f>
        <v/>
      </c>
      <c r="Q321" s="17" t="str">
        <f aca="false">IF(P321&lt;&gt;"",MIN(0,P321-MAX($P$4:P321)),"")</f>
        <v/>
      </c>
    </row>
    <row r="322" customFormat="false" ht="15" hidden="false" customHeight="true" outlineLevel="0" collapsed="false">
      <c r="A322" s="11" t="str">
        <f aca="false">IF(B322&lt;&gt;"",COUNTA($B$4:B322),"")</f>
        <v/>
      </c>
      <c r="B322" s="12"/>
      <c r="C322" s="12"/>
      <c r="D322" s="12"/>
      <c r="E322" s="12"/>
      <c r="F322" s="12"/>
      <c r="G322" s="12"/>
      <c r="H322" s="12"/>
      <c r="I322" s="13"/>
      <c r="J322" s="12"/>
      <c r="K322" s="14" t="str">
        <f aca="false">IF(AND(I322&lt;&gt;"",H322&lt;&gt;"",J322&lt;&gt;""),IF(J322="W",I322*H322,IF(J322="L",-I322,IF(J322="P",I322*H322*0.5,""))),"")</f>
        <v/>
      </c>
      <c r="L322" s="15" t="str">
        <f aca="false">IF(AND(K322&lt;&gt;"",P321&lt;&gt;""),K322/P321,IF(K322&lt;&gt;"",K322/$D$2,""))</f>
        <v/>
      </c>
      <c r="M322" s="12"/>
      <c r="N322" s="12"/>
      <c r="O322" s="12"/>
      <c r="P322" s="16" t="str">
        <f aca="false">IF(K322&lt;&gt;"",P321+K322,IF(B322&lt;&gt;"",P321,""))</f>
        <v/>
      </c>
      <c r="Q322" s="17" t="str">
        <f aca="false">IF(P322&lt;&gt;"",MIN(0,P322-MAX($P$4:P322)),"")</f>
        <v/>
      </c>
    </row>
    <row r="323" customFormat="false" ht="15" hidden="false" customHeight="true" outlineLevel="0" collapsed="false">
      <c r="A323" s="11" t="str">
        <f aca="false">IF(B323&lt;&gt;"",COUNTA($B$4:B323),"")</f>
        <v/>
      </c>
      <c r="B323" s="20"/>
      <c r="C323" s="20"/>
      <c r="D323" s="20"/>
      <c r="E323" s="20"/>
      <c r="F323" s="20"/>
      <c r="G323" s="20"/>
      <c r="H323" s="20"/>
      <c r="I323" s="21"/>
      <c r="J323" s="20"/>
      <c r="K323" s="14" t="str">
        <f aca="false">IF(AND(I323&lt;&gt;"",H323&lt;&gt;"",J323&lt;&gt;""),IF(J323="W",I323*H323,IF(J323="L",-I323,IF(J323="P",I323*H323*0.5,""))),"")</f>
        <v/>
      </c>
      <c r="L323" s="15" t="str">
        <f aca="false">IF(AND(K323&lt;&gt;"",P322&lt;&gt;""),K323/P322,IF(K323&lt;&gt;"",K323/$D$2,""))</f>
        <v/>
      </c>
      <c r="M323" s="20"/>
      <c r="N323" s="20"/>
      <c r="O323" s="20"/>
      <c r="P323" s="16" t="str">
        <f aca="false">IF(K323&lt;&gt;"",P322+K323,IF(B323&lt;&gt;"",P322,""))</f>
        <v/>
      </c>
      <c r="Q323" s="17" t="str">
        <f aca="false">IF(P323&lt;&gt;"",MIN(0,P323-MAX($P$4:P323)),"")</f>
        <v/>
      </c>
    </row>
    <row r="324" customFormat="false" ht="15" hidden="false" customHeight="true" outlineLevel="0" collapsed="false">
      <c r="A324" s="11" t="str">
        <f aca="false">IF(B324&lt;&gt;"",COUNTA($B$4:B324),"")</f>
        <v/>
      </c>
      <c r="B324" s="12"/>
      <c r="C324" s="12"/>
      <c r="D324" s="12"/>
      <c r="E324" s="12"/>
      <c r="F324" s="12"/>
      <c r="G324" s="12"/>
      <c r="H324" s="12"/>
      <c r="I324" s="13"/>
      <c r="J324" s="12"/>
      <c r="K324" s="14" t="str">
        <f aca="false">IF(AND(I324&lt;&gt;"",H324&lt;&gt;"",J324&lt;&gt;""),IF(J324="W",I324*H324,IF(J324="L",-I324,IF(J324="P",I324*H324*0.5,""))),"")</f>
        <v/>
      </c>
      <c r="L324" s="15" t="str">
        <f aca="false">IF(AND(K324&lt;&gt;"",P323&lt;&gt;""),K324/P323,IF(K324&lt;&gt;"",K324/$D$2,""))</f>
        <v/>
      </c>
      <c r="M324" s="12"/>
      <c r="N324" s="12"/>
      <c r="O324" s="12"/>
      <c r="P324" s="16" t="str">
        <f aca="false">IF(K324&lt;&gt;"",P323+K324,IF(B324&lt;&gt;"",P323,""))</f>
        <v/>
      </c>
      <c r="Q324" s="17" t="str">
        <f aca="false">IF(P324&lt;&gt;"",MIN(0,P324-MAX($P$4:P324)),"")</f>
        <v/>
      </c>
    </row>
    <row r="325" customFormat="false" ht="15" hidden="false" customHeight="true" outlineLevel="0" collapsed="false">
      <c r="A325" s="11" t="str">
        <f aca="false">IF(B325&lt;&gt;"",COUNTA($B$4:B325),"")</f>
        <v/>
      </c>
      <c r="B325" s="20"/>
      <c r="C325" s="20"/>
      <c r="D325" s="20"/>
      <c r="E325" s="20"/>
      <c r="F325" s="20"/>
      <c r="G325" s="20"/>
      <c r="H325" s="20"/>
      <c r="I325" s="21"/>
      <c r="J325" s="20"/>
      <c r="K325" s="14" t="str">
        <f aca="false">IF(AND(I325&lt;&gt;"",H325&lt;&gt;"",J325&lt;&gt;""),IF(J325="W",I325*H325,IF(J325="L",-I325,IF(J325="P",I325*H325*0.5,""))),"")</f>
        <v/>
      </c>
      <c r="L325" s="15" t="str">
        <f aca="false">IF(AND(K325&lt;&gt;"",P324&lt;&gt;""),K325/P324,IF(K325&lt;&gt;"",K325/$D$2,""))</f>
        <v/>
      </c>
      <c r="M325" s="20"/>
      <c r="N325" s="20"/>
      <c r="O325" s="20"/>
      <c r="P325" s="16" t="str">
        <f aca="false">IF(K325&lt;&gt;"",P324+K325,IF(B325&lt;&gt;"",P324,""))</f>
        <v/>
      </c>
      <c r="Q325" s="17" t="str">
        <f aca="false">IF(P325&lt;&gt;"",MIN(0,P325-MAX($P$4:P325)),"")</f>
        <v/>
      </c>
    </row>
    <row r="326" customFormat="false" ht="15" hidden="false" customHeight="true" outlineLevel="0" collapsed="false">
      <c r="A326" s="11" t="str">
        <f aca="false">IF(B326&lt;&gt;"",COUNTA($B$4:B326),"")</f>
        <v/>
      </c>
      <c r="B326" s="12"/>
      <c r="C326" s="12"/>
      <c r="D326" s="12"/>
      <c r="E326" s="12"/>
      <c r="F326" s="12"/>
      <c r="G326" s="12"/>
      <c r="H326" s="12"/>
      <c r="I326" s="13"/>
      <c r="J326" s="12"/>
      <c r="K326" s="14" t="str">
        <f aca="false">IF(AND(I326&lt;&gt;"",H326&lt;&gt;"",J326&lt;&gt;""),IF(J326="W",I326*H326,IF(J326="L",-I326,IF(J326="P",I326*H326*0.5,""))),"")</f>
        <v/>
      </c>
      <c r="L326" s="15" t="str">
        <f aca="false">IF(AND(K326&lt;&gt;"",P325&lt;&gt;""),K326/P325,IF(K326&lt;&gt;"",K326/$D$2,""))</f>
        <v/>
      </c>
      <c r="M326" s="12"/>
      <c r="N326" s="12"/>
      <c r="O326" s="12"/>
      <c r="P326" s="16" t="str">
        <f aca="false">IF(K326&lt;&gt;"",P325+K326,IF(B326&lt;&gt;"",P325,""))</f>
        <v/>
      </c>
      <c r="Q326" s="17" t="str">
        <f aca="false">IF(P326&lt;&gt;"",MIN(0,P326-MAX($P$4:P326)),"")</f>
        <v/>
      </c>
    </row>
    <row r="327" customFormat="false" ht="15" hidden="false" customHeight="true" outlineLevel="0" collapsed="false">
      <c r="A327" s="11" t="str">
        <f aca="false">IF(B327&lt;&gt;"",COUNTA($B$4:B327),"")</f>
        <v/>
      </c>
      <c r="B327" s="20"/>
      <c r="C327" s="20"/>
      <c r="D327" s="20"/>
      <c r="E327" s="20"/>
      <c r="F327" s="20"/>
      <c r="G327" s="20"/>
      <c r="H327" s="20"/>
      <c r="I327" s="21"/>
      <c r="J327" s="20"/>
      <c r="K327" s="14" t="str">
        <f aca="false">IF(AND(I327&lt;&gt;"",H327&lt;&gt;"",J327&lt;&gt;""),IF(J327="W",I327*H327,IF(J327="L",-I327,IF(J327="P",I327*H327*0.5,""))),"")</f>
        <v/>
      </c>
      <c r="L327" s="15" t="str">
        <f aca="false">IF(AND(K327&lt;&gt;"",P326&lt;&gt;""),K327/P326,IF(K327&lt;&gt;"",K327/$D$2,""))</f>
        <v/>
      </c>
      <c r="M327" s="20"/>
      <c r="N327" s="20"/>
      <c r="O327" s="20"/>
      <c r="P327" s="16" t="str">
        <f aca="false">IF(K327&lt;&gt;"",P326+K327,IF(B327&lt;&gt;"",P326,""))</f>
        <v/>
      </c>
      <c r="Q327" s="17" t="str">
        <f aca="false">IF(P327&lt;&gt;"",MIN(0,P327-MAX($P$4:P327)),"")</f>
        <v/>
      </c>
    </row>
    <row r="328" customFormat="false" ht="15" hidden="false" customHeight="true" outlineLevel="0" collapsed="false">
      <c r="A328" s="11" t="str">
        <f aca="false">IF(B328&lt;&gt;"",COUNTA($B$4:B328),"")</f>
        <v/>
      </c>
      <c r="B328" s="12"/>
      <c r="C328" s="12"/>
      <c r="D328" s="12"/>
      <c r="E328" s="12"/>
      <c r="F328" s="12"/>
      <c r="G328" s="12"/>
      <c r="H328" s="12"/>
      <c r="I328" s="13"/>
      <c r="J328" s="12"/>
      <c r="K328" s="14" t="str">
        <f aca="false">IF(AND(I328&lt;&gt;"",H328&lt;&gt;"",J328&lt;&gt;""),IF(J328="W",I328*H328,IF(J328="L",-I328,IF(J328="P",I328*H328*0.5,""))),"")</f>
        <v/>
      </c>
      <c r="L328" s="15" t="str">
        <f aca="false">IF(AND(K328&lt;&gt;"",P327&lt;&gt;""),K328/P327,IF(K328&lt;&gt;"",K328/$D$2,""))</f>
        <v/>
      </c>
      <c r="M328" s="12"/>
      <c r="N328" s="12"/>
      <c r="O328" s="12"/>
      <c r="P328" s="16" t="str">
        <f aca="false">IF(K328&lt;&gt;"",P327+K328,IF(B328&lt;&gt;"",P327,""))</f>
        <v/>
      </c>
      <c r="Q328" s="17" t="str">
        <f aca="false">IF(P328&lt;&gt;"",MIN(0,P328-MAX($P$4:P328)),"")</f>
        <v/>
      </c>
    </row>
    <row r="329" customFormat="false" ht="15" hidden="false" customHeight="true" outlineLevel="0" collapsed="false">
      <c r="A329" s="11" t="str">
        <f aca="false">IF(B329&lt;&gt;"",COUNTA($B$4:B329),"")</f>
        <v/>
      </c>
      <c r="B329" s="20"/>
      <c r="C329" s="20"/>
      <c r="D329" s="20"/>
      <c r="E329" s="20"/>
      <c r="F329" s="20"/>
      <c r="G329" s="20"/>
      <c r="H329" s="20"/>
      <c r="I329" s="21"/>
      <c r="J329" s="20"/>
      <c r="K329" s="14" t="str">
        <f aca="false">IF(AND(I329&lt;&gt;"",H329&lt;&gt;"",J329&lt;&gt;""),IF(J329="W",I329*H329,IF(J329="L",-I329,IF(J329="P",I329*H329*0.5,""))),"")</f>
        <v/>
      </c>
      <c r="L329" s="15" t="str">
        <f aca="false">IF(AND(K329&lt;&gt;"",P328&lt;&gt;""),K329/P328,IF(K329&lt;&gt;"",K329/$D$2,""))</f>
        <v/>
      </c>
      <c r="M329" s="20"/>
      <c r="N329" s="20"/>
      <c r="O329" s="20"/>
      <c r="P329" s="16" t="str">
        <f aca="false">IF(K329&lt;&gt;"",P328+K329,IF(B329&lt;&gt;"",P328,""))</f>
        <v/>
      </c>
      <c r="Q329" s="17" t="str">
        <f aca="false">IF(P329&lt;&gt;"",MIN(0,P329-MAX($P$4:P329)),"")</f>
        <v/>
      </c>
    </row>
    <row r="330" customFormat="false" ht="15" hidden="false" customHeight="true" outlineLevel="0" collapsed="false">
      <c r="A330" s="11" t="str">
        <f aca="false">IF(B330&lt;&gt;"",COUNTA($B$4:B330),"")</f>
        <v/>
      </c>
      <c r="B330" s="12"/>
      <c r="C330" s="12"/>
      <c r="D330" s="12"/>
      <c r="E330" s="12"/>
      <c r="F330" s="12"/>
      <c r="G330" s="12"/>
      <c r="H330" s="12"/>
      <c r="I330" s="13"/>
      <c r="J330" s="12"/>
      <c r="K330" s="14" t="str">
        <f aca="false">IF(AND(I330&lt;&gt;"",H330&lt;&gt;"",J330&lt;&gt;""),IF(J330="W",I330*H330,IF(J330="L",-I330,IF(J330="P",I330*H330*0.5,""))),"")</f>
        <v/>
      </c>
      <c r="L330" s="15" t="str">
        <f aca="false">IF(AND(K330&lt;&gt;"",P329&lt;&gt;""),K330/P329,IF(K330&lt;&gt;"",K330/$D$2,""))</f>
        <v/>
      </c>
      <c r="M330" s="12"/>
      <c r="N330" s="12"/>
      <c r="O330" s="12"/>
      <c r="P330" s="16" t="str">
        <f aca="false">IF(K330&lt;&gt;"",P329+K330,IF(B330&lt;&gt;"",P329,""))</f>
        <v/>
      </c>
      <c r="Q330" s="17" t="str">
        <f aca="false">IF(P330&lt;&gt;"",MIN(0,P330-MAX($P$4:P330)),"")</f>
        <v/>
      </c>
    </row>
    <row r="331" customFormat="false" ht="15" hidden="false" customHeight="true" outlineLevel="0" collapsed="false">
      <c r="A331" s="11" t="str">
        <f aca="false">IF(B331&lt;&gt;"",COUNTA($B$4:B331),"")</f>
        <v/>
      </c>
      <c r="B331" s="20"/>
      <c r="C331" s="20"/>
      <c r="D331" s="20"/>
      <c r="E331" s="20"/>
      <c r="F331" s="20"/>
      <c r="G331" s="20"/>
      <c r="H331" s="20"/>
      <c r="I331" s="21"/>
      <c r="J331" s="20"/>
      <c r="K331" s="14" t="str">
        <f aca="false">IF(AND(I331&lt;&gt;"",H331&lt;&gt;"",J331&lt;&gt;""),IF(J331="W",I331*H331,IF(J331="L",-I331,IF(J331="P",I331*H331*0.5,""))),"")</f>
        <v/>
      </c>
      <c r="L331" s="15" t="str">
        <f aca="false">IF(AND(K331&lt;&gt;"",P330&lt;&gt;""),K331/P330,IF(K331&lt;&gt;"",K331/$D$2,""))</f>
        <v/>
      </c>
      <c r="M331" s="20"/>
      <c r="N331" s="20"/>
      <c r="O331" s="20"/>
      <c r="P331" s="16" t="str">
        <f aca="false">IF(K331&lt;&gt;"",P330+K331,IF(B331&lt;&gt;"",P330,""))</f>
        <v/>
      </c>
      <c r="Q331" s="17" t="str">
        <f aca="false">IF(P331&lt;&gt;"",MIN(0,P331-MAX($P$4:P331)),"")</f>
        <v/>
      </c>
    </row>
    <row r="332" customFormat="false" ht="15" hidden="false" customHeight="true" outlineLevel="0" collapsed="false">
      <c r="A332" s="11" t="str">
        <f aca="false">IF(B332&lt;&gt;"",COUNTA($B$4:B332),"")</f>
        <v/>
      </c>
      <c r="B332" s="12"/>
      <c r="C332" s="12"/>
      <c r="D332" s="12"/>
      <c r="E332" s="12"/>
      <c r="F332" s="12"/>
      <c r="G332" s="12"/>
      <c r="H332" s="12"/>
      <c r="I332" s="13"/>
      <c r="J332" s="12"/>
      <c r="K332" s="14" t="str">
        <f aca="false">IF(AND(I332&lt;&gt;"",H332&lt;&gt;"",J332&lt;&gt;""),IF(J332="W",I332*H332,IF(J332="L",-I332,IF(J332="P",I332*H332*0.5,""))),"")</f>
        <v/>
      </c>
      <c r="L332" s="15" t="str">
        <f aca="false">IF(AND(K332&lt;&gt;"",P331&lt;&gt;""),K332/P331,IF(K332&lt;&gt;"",K332/$D$2,""))</f>
        <v/>
      </c>
      <c r="M332" s="12"/>
      <c r="N332" s="12"/>
      <c r="O332" s="12"/>
      <c r="P332" s="16" t="str">
        <f aca="false">IF(K332&lt;&gt;"",P331+K332,IF(B332&lt;&gt;"",P331,""))</f>
        <v/>
      </c>
      <c r="Q332" s="17" t="str">
        <f aca="false">IF(P332&lt;&gt;"",MIN(0,P332-MAX($P$4:P332)),"")</f>
        <v/>
      </c>
    </row>
    <row r="333" customFormat="false" ht="15" hidden="false" customHeight="true" outlineLevel="0" collapsed="false">
      <c r="A333" s="11" t="str">
        <f aca="false">IF(B333&lt;&gt;"",COUNTA($B$4:B333),"")</f>
        <v/>
      </c>
      <c r="B333" s="20"/>
      <c r="C333" s="20"/>
      <c r="D333" s="20"/>
      <c r="E333" s="20"/>
      <c r="F333" s="20"/>
      <c r="G333" s="20"/>
      <c r="H333" s="20"/>
      <c r="I333" s="21"/>
      <c r="J333" s="20"/>
      <c r="K333" s="14" t="str">
        <f aca="false">IF(AND(I333&lt;&gt;"",H333&lt;&gt;"",J333&lt;&gt;""),IF(J333="W",I333*H333,IF(J333="L",-I333,IF(J333="P",I333*H333*0.5,""))),"")</f>
        <v/>
      </c>
      <c r="L333" s="15" t="str">
        <f aca="false">IF(AND(K333&lt;&gt;"",P332&lt;&gt;""),K333/P332,IF(K333&lt;&gt;"",K333/$D$2,""))</f>
        <v/>
      </c>
      <c r="M333" s="20"/>
      <c r="N333" s="20"/>
      <c r="O333" s="20"/>
      <c r="P333" s="16" t="str">
        <f aca="false">IF(K333&lt;&gt;"",P332+K333,IF(B333&lt;&gt;"",P332,""))</f>
        <v/>
      </c>
      <c r="Q333" s="17" t="str">
        <f aca="false">IF(P333&lt;&gt;"",MIN(0,P333-MAX($P$4:P333)),"")</f>
        <v/>
      </c>
    </row>
    <row r="334" customFormat="false" ht="15" hidden="false" customHeight="true" outlineLevel="0" collapsed="false">
      <c r="A334" s="11" t="str">
        <f aca="false">IF(B334&lt;&gt;"",COUNTA($B$4:B334),"")</f>
        <v/>
      </c>
      <c r="B334" s="12"/>
      <c r="C334" s="12"/>
      <c r="D334" s="12"/>
      <c r="E334" s="12"/>
      <c r="F334" s="12"/>
      <c r="G334" s="12"/>
      <c r="H334" s="12"/>
      <c r="I334" s="13"/>
      <c r="J334" s="12"/>
      <c r="K334" s="14" t="str">
        <f aca="false">IF(AND(I334&lt;&gt;"",H334&lt;&gt;"",J334&lt;&gt;""),IF(J334="W",I334*H334,IF(J334="L",-I334,IF(J334="P",I334*H334*0.5,""))),"")</f>
        <v/>
      </c>
      <c r="L334" s="15" t="str">
        <f aca="false">IF(AND(K334&lt;&gt;"",P333&lt;&gt;""),K334/P333,IF(K334&lt;&gt;"",K334/$D$2,""))</f>
        <v/>
      </c>
      <c r="M334" s="12"/>
      <c r="N334" s="12"/>
      <c r="O334" s="12"/>
      <c r="P334" s="16" t="str">
        <f aca="false">IF(K334&lt;&gt;"",P333+K334,IF(B334&lt;&gt;"",P333,""))</f>
        <v/>
      </c>
      <c r="Q334" s="17" t="str">
        <f aca="false">IF(P334&lt;&gt;"",MIN(0,P334-MAX($P$4:P334)),"")</f>
        <v/>
      </c>
    </row>
    <row r="335" customFormat="false" ht="15" hidden="false" customHeight="true" outlineLevel="0" collapsed="false">
      <c r="A335" s="11" t="str">
        <f aca="false">IF(B335&lt;&gt;"",COUNTA($B$4:B335),"")</f>
        <v/>
      </c>
      <c r="B335" s="20"/>
      <c r="C335" s="20"/>
      <c r="D335" s="20"/>
      <c r="E335" s="20"/>
      <c r="F335" s="20"/>
      <c r="G335" s="20"/>
      <c r="H335" s="20"/>
      <c r="I335" s="21"/>
      <c r="J335" s="20"/>
      <c r="K335" s="14" t="str">
        <f aca="false">IF(AND(I335&lt;&gt;"",H335&lt;&gt;"",J335&lt;&gt;""),IF(J335="W",I335*H335,IF(J335="L",-I335,IF(J335="P",I335*H335*0.5,""))),"")</f>
        <v/>
      </c>
      <c r="L335" s="15" t="str">
        <f aca="false">IF(AND(K335&lt;&gt;"",P334&lt;&gt;""),K335/P334,IF(K335&lt;&gt;"",K335/$D$2,""))</f>
        <v/>
      </c>
      <c r="M335" s="20"/>
      <c r="N335" s="20"/>
      <c r="O335" s="20"/>
      <c r="P335" s="16" t="str">
        <f aca="false">IF(K335&lt;&gt;"",P334+K335,IF(B335&lt;&gt;"",P334,""))</f>
        <v/>
      </c>
      <c r="Q335" s="17" t="str">
        <f aca="false">IF(P335&lt;&gt;"",MIN(0,P335-MAX($P$4:P335)),"")</f>
        <v/>
      </c>
    </row>
    <row r="336" customFormat="false" ht="15" hidden="false" customHeight="true" outlineLevel="0" collapsed="false">
      <c r="A336" s="11" t="str">
        <f aca="false">IF(B336&lt;&gt;"",COUNTA($B$4:B336),"")</f>
        <v/>
      </c>
      <c r="B336" s="12"/>
      <c r="C336" s="12"/>
      <c r="D336" s="12"/>
      <c r="E336" s="12"/>
      <c r="F336" s="12"/>
      <c r="G336" s="12"/>
      <c r="H336" s="12"/>
      <c r="I336" s="13"/>
      <c r="J336" s="12"/>
      <c r="K336" s="14" t="str">
        <f aca="false">IF(AND(I336&lt;&gt;"",H336&lt;&gt;"",J336&lt;&gt;""),IF(J336="W",I336*H336,IF(J336="L",-I336,IF(J336="P",I336*H336*0.5,""))),"")</f>
        <v/>
      </c>
      <c r="L336" s="15" t="str">
        <f aca="false">IF(AND(K336&lt;&gt;"",P335&lt;&gt;""),K336/P335,IF(K336&lt;&gt;"",K336/$D$2,""))</f>
        <v/>
      </c>
      <c r="M336" s="12"/>
      <c r="N336" s="12"/>
      <c r="O336" s="12"/>
      <c r="P336" s="16" t="str">
        <f aca="false">IF(K336&lt;&gt;"",P335+K336,IF(B336&lt;&gt;"",P335,""))</f>
        <v/>
      </c>
      <c r="Q336" s="17" t="str">
        <f aca="false">IF(P336&lt;&gt;"",MIN(0,P336-MAX($P$4:P336)),"")</f>
        <v/>
      </c>
    </row>
    <row r="337" customFormat="false" ht="15" hidden="false" customHeight="true" outlineLevel="0" collapsed="false">
      <c r="A337" s="11" t="str">
        <f aca="false">IF(B337&lt;&gt;"",COUNTA($B$4:B337),"")</f>
        <v/>
      </c>
      <c r="B337" s="20"/>
      <c r="C337" s="20"/>
      <c r="D337" s="20"/>
      <c r="E337" s="20"/>
      <c r="F337" s="20"/>
      <c r="G337" s="20"/>
      <c r="H337" s="20"/>
      <c r="I337" s="21"/>
      <c r="J337" s="20"/>
      <c r="K337" s="14" t="str">
        <f aca="false">IF(AND(I337&lt;&gt;"",H337&lt;&gt;"",J337&lt;&gt;""),IF(J337="W",I337*H337,IF(J337="L",-I337,IF(J337="P",I337*H337*0.5,""))),"")</f>
        <v/>
      </c>
      <c r="L337" s="15" t="str">
        <f aca="false">IF(AND(K337&lt;&gt;"",P336&lt;&gt;""),K337/P336,IF(K337&lt;&gt;"",K337/$D$2,""))</f>
        <v/>
      </c>
      <c r="M337" s="20"/>
      <c r="N337" s="20"/>
      <c r="O337" s="20"/>
      <c r="P337" s="16" t="str">
        <f aca="false">IF(K337&lt;&gt;"",P336+K337,IF(B337&lt;&gt;"",P336,""))</f>
        <v/>
      </c>
      <c r="Q337" s="17" t="str">
        <f aca="false">IF(P337&lt;&gt;"",MIN(0,P337-MAX($P$4:P337)),"")</f>
        <v/>
      </c>
    </row>
    <row r="338" customFormat="false" ht="15" hidden="false" customHeight="true" outlineLevel="0" collapsed="false">
      <c r="A338" s="11" t="str">
        <f aca="false">IF(B338&lt;&gt;"",COUNTA($B$4:B338),"")</f>
        <v/>
      </c>
      <c r="B338" s="12"/>
      <c r="C338" s="12"/>
      <c r="D338" s="12"/>
      <c r="E338" s="12"/>
      <c r="F338" s="12"/>
      <c r="G338" s="12"/>
      <c r="H338" s="12"/>
      <c r="I338" s="13"/>
      <c r="J338" s="12"/>
      <c r="K338" s="14" t="str">
        <f aca="false">IF(AND(I338&lt;&gt;"",H338&lt;&gt;"",J338&lt;&gt;""),IF(J338="W",I338*H338,IF(J338="L",-I338,IF(J338="P",I338*H338*0.5,""))),"")</f>
        <v/>
      </c>
      <c r="L338" s="15" t="str">
        <f aca="false">IF(AND(K338&lt;&gt;"",P337&lt;&gt;""),K338/P337,IF(K338&lt;&gt;"",K338/$D$2,""))</f>
        <v/>
      </c>
      <c r="M338" s="12"/>
      <c r="N338" s="12"/>
      <c r="O338" s="12"/>
      <c r="P338" s="16" t="str">
        <f aca="false">IF(K338&lt;&gt;"",P337+K338,IF(B338&lt;&gt;"",P337,""))</f>
        <v/>
      </c>
      <c r="Q338" s="17" t="str">
        <f aca="false">IF(P338&lt;&gt;"",MIN(0,P338-MAX($P$4:P338)),"")</f>
        <v/>
      </c>
    </row>
    <row r="339" customFormat="false" ht="15" hidden="false" customHeight="true" outlineLevel="0" collapsed="false">
      <c r="A339" s="11" t="str">
        <f aca="false">IF(B339&lt;&gt;"",COUNTA($B$4:B339),"")</f>
        <v/>
      </c>
      <c r="B339" s="20"/>
      <c r="C339" s="20"/>
      <c r="D339" s="20"/>
      <c r="E339" s="20"/>
      <c r="F339" s="20"/>
      <c r="G339" s="20"/>
      <c r="H339" s="20"/>
      <c r="I339" s="21"/>
      <c r="J339" s="20"/>
      <c r="K339" s="14" t="str">
        <f aca="false">IF(AND(I339&lt;&gt;"",H339&lt;&gt;"",J339&lt;&gt;""),IF(J339="W",I339*H339,IF(J339="L",-I339,IF(J339="P",I339*H339*0.5,""))),"")</f>
        <v/>
      </c>
      <c r="L339" s="15" t="str">
        <f aca="false">IF(AND(K339&lt;&gt;"",P338&lt;&gt;""),K339/P338,IF(K339&lt;&gt;"",K339/$D$2,""))</f>
        <v/>
      </c>
      <c r="M339" s="20"/>
      <c r="N339" s="20"/>
      <c r="O339" s="20"/>
      <c r="P339" s="16" t="str">
        <f aca="false">IF(K339&lt;&gt;"",P338+K339,IF(B339&lt;&gt;"",P338,""))</f>
        <v/>
      </c>
      <c r="Q339" s="17" t="str">
        <f aca="false">IF(P339&lt;&gt;"",MIN(0,P339-MAX($P$4:P339)),"")</f>
        <v/>
      </c>
    </row>
    <row r="340" customFormat="false" ht="15" hidden="false" customHeight="true" outlineLevel="0" collapsed="false">
      <c r="A340" s="11" t="str">
        <f aca="false">IF(B340&lt;&gt;"",COUNTA($B$4:B340),"")</f>
        <v/>
      </c>
      <c r="B340" s="12"/>
      <c r="C340" s="12"/>
      <c r="D340" s="12"/>
      <c r="E340" s="12"/>
      <c r="F340" s="12"/>
      <c r="G340" s="12"/>
      <c r="H340" s="12"/>
      <c r="I340" s="13"/>
      <c r="J340" s="12"/>
      <c r="K340" s="14" t="str">
        <f aca="false">IF(AND(I340&lt;&gt;"",H340&lt;&gt;"",J340&lt;&gt;""),IF(J340="W",I340*H340,IF(J340="L",-I340,IF(J340="P",I340*H340*0.5,""))),"")</f>
        <v/>
      </c>
      <c r="L340" s="15" t="str">
        <f aca="false">IF(AND(K340&lt;&gt;"",P339&lt;&gt;""),K340/P339,IF(K340&lt;&gt;"",K340/$D$2,""))</f>
        <v/>
      </c>
      <c r="M340" s="12"/>
      <c r="N340" s="12"/>
      <c r="O340" s="12"/>
      <c r="P340" s="16" t="str">
        <f aca="false">IF(K340&lt;&gt;"",P339+K340,IF(B340&lt;&gt;"",P339,""))</f>
        <v/>
      </c>
      <c r="Q340" s="17" t="str">
        <f aca="false">IF(P340&lt;&gt;"",MIN(0,P340-MAX($P$4:P340)),"")</f>
        <v/>
      </c>
    </row>
    <row r="341" customFormat="false" ht="15" hidden="false" customHeight="true" outlineLevel="0" collapsed="false">
      <c r="A341" s="11" t="str">
        <f aca="false">IF(B341&lt;&gt;"",COUNTA($B$4:B341),"")</f>
        <v/>
      </c>
      <c r="B341" s="20"/>
      <c r="C341" s="20"/>
      <c r="D341" s="20"/>
      <c r="E341" s="20"/>
      <c r="F341" s="20"/>
      <c r="G341" s="20"/>
      <c r="H341" s="20"/>
      <c r="I341" s="21"/>
      <c r="J341" s="20"/>
      <c r="K341" s="14" t="str">
        <f aca="false">IF(AND(I341&lt;&gt;"",H341&lt;&gt;"",J341&lt;&gt;""),IF(J341="W",I341*H341,IF(J341="L",-I341,IF(J341="P",I341*H341*0.5,""))),"")</f>
        <v/>
      </c>
      <c r="L341" s="15" t="str">
        <f aca="false">IF(AND(K341&lt;&gt;"",P340&lt;&gt;""),K341/P340,IF(K341&lt;&gt;"",K341/$D$2,""))</f>
        <v/>
      </c>
      <c r="M341" s="20"/>
      <c r="N341" s="20"/>
      <c r="O341" s="20"/>
      <c r="P341" s="16" t="str">
        <f aca="false">IF(K341&lt;&gt;"",P340+K341,IF(B341&lt;&gt;"",P340,""))</f>
        <v/>
      </c>
      <c r="Q341" s="17" t="str">
        <f aca="false">IF(P341&lt;&gt;"",MIN(0,P341-MAX($P$4:P341)),"")</f>
        <v/>
      </c>
    </row>
    <row r="342" customFormat="false" ht="15" hidden="false" customHeight="true" outlineLevel="0" collapsed="false">
      <c r="A342" s="11" t="str">
        <f aca="false">IF(B342&lt;&gt;"",COUNTA($B$4:B342),"")</f>
        <v/>
      </c>
      <c r="B342" s="12"/>
      <c r="C342" s="12"/>
      <c r="D342" s="12"/>
      <c r="E342" s="12"/>
      <c r="F342" s="12"/>
      <c r="G342" s="12"/>
      <c r="H342" s="12"/>
      <c r="I342" s="13"/>
      <c r="J342" s="12"/>
      <c r="K342" s="14" t="str">
        <f aca="false">IF(AND(I342&lt;&gt;"",H342&lt;&gt;"",J342&lt;&gt;""),IF(J342="W",I342*H342,IF(J342="L",-I342,IF(J342="P",I342*H342*0.5,""))),"")</f>
        <v/>
      </c>
      <c r="L342" s="15" t="str">
        <f aca="false">IF(AND(K342&lt;&gt;"",P341&lt;&gt;""),K342/P341,IF(K342&lt;&gt;"",K342/$D$2,""))</f>
        <v/>
      </c>
      <c r="M342" s="12"/>
      <c r="N342" s="12"/>
      <c r="O342" s="12"/>
      <c r="P342" s="16" t="str">
        <f aca="false">IF(K342&lt;&gt;"",P341+K342,IF(B342&lt;&gt;"",P341,""))</f>
        <v/>
      </c>
      <c r="Q342" s="17" t="str">
        <f aca="false">IF(P342&lt;&gt;"",MIN(0,P342-MAX($P$4:P342)),"")</f>
        <v/>
      </c>
    </row>
    <row r="343" customFormat="false" ht="15" hidden="false" customHeight="true" outlineLevel="0" collapsed="false">
      <c r="A343" s="11" t="str">
        <f aca="false">IF(B343&lt;&gt;"",COUNTA($B$4:B343),"")</f>
        <v/>
      </c>
      <c r="B343" s="20"/>
      <c r="C343" s="20"/>
      <c r="D343" s="20"/>
      <c r="E343" s="20"/>
      <c r="F343" s="20"/>
      <c r="G343" s="20"/>
      <c r="H343" s="20"/>
      <c r="I343" s="21"/>
      <c r="J343" s="20"/>
      <c r="K343" s="14" t="str">
        <f aca="false">IF(AND(I343&lt;&gt;"",H343&lt;&gt;"",J343&lt;&gt;""),IF(J343="W",I343*H343,IF(J343="L",-I343,IF(J343="P",I343*H343*0.5,""))),"")</f>
        <v/>
      </c>
      <c r="L343" s="15" t="str">
        <f aca="false">IF(AND(K343&lt;&gt;"",P342&lt;&gt;""),K343/P342,IF(K343&lt;&gt;"",K343/$D$2,""))</f>
        <v/>
      </c>
      <c r="M343" s="20"/>
      <c r="N343" s="20"/>
      <c r="O343" s="20"/>
      <c r="P343" s="16" t="str">
        <f aca="false">IF(K343&lt;&gt;"",P342+K343,IF(B343&lt;&gt;"",P342,""))</f>
        <v/>
      </c>
      <c r="Q343" s="17" t="str">
        <f aca="false">IF(P343&lt;&gt;"",MIN(0,P343-MAX($P$4:P343)),"")</f>
        <v/>
      </c>
    </row>
    <row r="344" customFormat="false" ht="15" hidden="false" customHeight="true" outlineLevel="0" collapsed="false">
      <c r="A344" s="11" t="str">
        <f aca="false">IF(B344&lt;&gt;"",COUNTA($B$4:B344),"")</f>
        <v/>
      </c>
      <c r="B344" s="12"/>
      <c r="C344" s="12"/>
      <c r="D344" s="12"/>
      <c r="E344" s="12"/>
      <c r="F344" s="12"/>
      <c r="G344" s="12"/>
      <c r="H344" s="12"/>
      <c r="I344" s="13"/>
      <c r="J344" s="12"/>
      <c r="K344" s="14" t="str">
        <f aca="false">IF(AND(I344&lt;&gt;"",H344&lt;&gt;"",J344&lt;&gt;""),IF(J344="W",I344*H344,IF(J344="L",-I344,IF(J344="P",I344*H344*0.5,""))),"")</f>
        <v/>
      </c>
      <c r="L344" s="15" t="str">
        <f aca="false">IF(AND(K344&lt;&gt;"",P343&lt;&gt;""),K344/P343,IF(K344&lt;&gt;"",K344/$D$2,""))</f>
        <v/>
      </c>
      <c r="M344" s="12"/>
      <c r="N344" s="12"/>
      <c r="O344" s="12"/>
      <c r="P344" s="16" t="str">
        <f aca="false">IF(K344&lt;&gt;"",P343+K344,IF(B344&lt;&gt;"",P343,""))</f>
        <v/>
      </c>
      <c r="Q344" s="17" t="str">
        <f aca="false">IF(P344&lt;&gt;"",MIN(0,P344-MAX($P$4:P344)),"")</f>
        <v/>
      </c>
    </row>
    <row r="345" customFormat="false" ht="15" hidden="false" customHeight="true" outlineLevel="0" collapsed="false">
      <c r="A345" s="11" t="str">
        <f aca="false">IF(B345&lt;&gt;"",COUNTA($B$4:B345),"")</f>
        <v/>
      </c>
      <c r="B345" s="20"/>
      <c r="C345" s="20"/>
      <c r="D345" s="20"/>
      <c r="E345" s="20"/>
      <c r="F345" s="20"/>
      <c r="G345" s="20"/>
      <c r="H345" s="20"/>
      <c r="I345" s="21"/>
      <c r="J345" s="20"/>
      <c r="K345" s="14" t="str">
        <f aca="false">IF(AND(I345&lt;&gt;"",H345&lt;&gt;"",J345&lt;&gt;""),IF(J345="W",I345*H345,IF(J345="L",-I345,IF(J345="P",I345*H345*0.5,""))),"")</f>
        <v/>
      </c>
      <c r="L345" s="15" t="str">
        <f aca="false">IF(AND(K345&lt;&gt;"",P344&lt;&gt;""),K345/P344,IF(K345&lt;&gt;"",K345/$D$2,""))</f>
        <v/>
      </c>
      <c r="M345" s="20"/>
      <c r="N345" s="20"/>
      <c r="O345" s="20"/>
      <c r="P345" s="16" t="str">
        <f aca="false">IF(K345&lt;&gt;"",P344+K345,IF(B345&lt;&gt;"",P344,""))</f>
        <v/>
      </c>
      <c r="Q345" s="17" t="str">
        <f aca="false">IF(P345&lt;&gt;"",MIN(0,P345-MAX($P$4:P345)),"")</f>
        <v/>
      </c>
    </row>
    <row r="346" customFormat="false" ht="15" hidden="false" customHeight="true" outlineLevel="0" collapsed="false">
      <c r="A346" s="11" t="str">
        <f aca="false">IF(B346&lt;&gt;"",COUNTA($B$4:B346),"")</f>
        <v/>
      </c>
      <c r="B346" s="12"/>
      <c r="C346" s="12"/>
      <c r="D346" s="12"/>
      <c r="E346" s="12"/>
      <c r="F346" s="12"/>
      <c r="G346" s="12"/>
      <c r="H346" s="12"/>
      <c r="I346" s="13"/>
      <c r="J346" s="12"/>
      <c r="K346" s="14" t="str">
        <f aca="false">IF(AND(I346&lt;&gt;"",H346&lt;&gt;"",J346&lt;&gt;""),IF(J346="W",I346*H346,IF(J346="L",-I346,IF(J346="P",I346*H346*0.5,""))),"")</f>
        <v/>
      </c>
      <c r="L346" s="15" t="str">
        <f aca="false">IF(AND(K346&lt;&gt;"",P345&lt;&gt;""),K346/P345,IF(K346&lt;&gt;"",K346/$D$2,""))</f>
        <v/>
      </c>
      <c r="M346" s="12"/>
      <c r="N346" s="12"/>
      <c r="O346" s="12"/>
      <c r="P346" s="16" t="str">
        <f aca="false">IF(K346&lt;&gt;"",P345+K346,IF(B346&lt;&gt;"",P345,""))</f>
        <v/>
      </c>
      <c r="Q346" s="17" t="str">
        <f aca="false">IF(P346&lt;&gt;"",MIN(0,P346-MAX($P$4:P346)),"")</f>
        <v/>
      </c>
    </row>
    <row r="347" customFormat="false" ht="15" hidden="false" customHeight="true" outlineLevel="0" collapsed="false">
      <c r="A347" s="11" t="str">
        <f aca="false">IF(B347&lt;&gt;"",COUNTA($B$4:B347),"")</f>
        <v/>
      </c>
      <c r="B347" s="20"/>
      <c r="C347" s="20"/>
      <c r="D347" s="20"/>
      <c r="E347" s="20"/>
      <c r="F347" s="20"/>
      <c r="G347" s="20"/>
      <c r="H347" s="20"/>
      <c r="I347" s="21"/>
      <c r="J347" s="20"/>
      <c r="K347" s="14" t="str">
        <f aca="false">IF(AND(I347&lt;&gt;"",H347&lt;&gt;"",J347&lt;&gt;""),IF(J347="W",I347*H347,IF(J347="L",-I347,IF(J347="P",I347*H347*0.5,""))),"")</f>
        <v/>
      </c>
      <c r="L347" s="15" t="str">
        <f aca="false">IF(AND(K347&lt;&gt;"",P346&lt;&gt;""),K347/P346,IF(K347&lt;&gt;"",K347/$D$2,""))</f>
        <v/>
      </c>
      <c r="M347" s="20"/>
      <c r="N347" s="20"/>
      <c r="O347" s="20"/>
      <c r="P347" s="16" t="str">
        <f aca="false">IF(K347&lt;&gt;"",P346+K347,IF(B347&lt;&gt;"",P346,""))</f>
        <v/>
      </c>
      <c r="Q347" s="17" t="str">
        <f aca="false">IF(P347&lt;&gt;"",MIN(0,P347-MAX($P$4:P347)),"")</f>
        <v/>
      </c>
    </row>
    <row r="348" customFormat="false" ht="15" hidden="false" customHeight="true" outlineLevel="0" collapsed="false">
      <c r="A348" s="11" t="str">
        <f aca="false">IF(B348&lt;&gt;"",COUNTA($B$4:B348),"")</f>
        <v/>
      </c>
      <c r="B348" s="12"/>
      <c r="C348" s="12"/>
      <c r="D348" s="12"/>
      <c r="E348" s="12"/>
      <c r="F348" s="12"/>
      <c r="G348" s="12"/>
      <c r="H348" s="12"/>
      <c r="I348" s="13"/>
      <c r="J348" s="12"/>
      <c r="K348" s="14" t="str">
        <f aca="false">IF(AND(I348&lt;&gt;"",H348&lt;&gt;"",J348&lt;&gt;""),IF(J348="W",I348*H348,IF(J348="L",-I348,IF(J348="P",I348*H348*0.5,""))),"")</f>
        <v/>
      </c>
      <c r="L348" s="15" t="str">
        <f aca="false">IF(AND(K348&lt;&gt;"",P347&lt;&gt;""),K348/P347,IF(K348&lt;&gt;"",K348/$D$2,""))</f>
        <v/>
      </c>
      <c r="M348" s="12"/>
      <c r="N348" s="12"/>
      <c r="O348" s="12"/>
      <c r="P348" s="16" t="str">
        <f aca="false">IF(K348&lt;&gt;"",P347+K348,IF(B348&lt;&gt;"",P347,""))</f>
        <v/>
      </c>
      <c r="Q348" s="17" t="str">
        <f aca="false">IF(P348&lt;&gt;"",MIN(0,P348-MAX($P$4:P348)),"")</f>
        <v/>
      </c>
    </row>
    <row r="349" customFormat="false" ht="15" hidden="false" customHeight="true" outlineLevel="0" collapsed="false">
      <c r="A349" s="11" t="str">
        <f aca="false">IF(B349&lt;&gt;"",COUNTA($B$4:B349),"")</f>
        <v/>
      </c>
      <c r="B349" s="20"/>
      <c r="C349" s="20"/>
      <c r="D349" s="20"/>
      <c r="E349" s="20"/>
      <c r="F349" s="20"/>
      <c r="G349" s="20"/>
      <c r="H349" s="20"/>
      <c r="I349" s="21"/>
      <c r="J349" s="20"/>
      <c r="K349" s="14" t="str">
        <f aca="false">IF(AND(I349&lt;&gt;"",H349&lt;&gt;"",J349&lt;&gt;""),IF(J349="W",I349*H349,IF(J349="L",-I349,IF(J349="P",I349*H349*0.5,""))),"")</f>
        <v/>
      </c>
      <c r="L349" s="15" t="str">
        <f aca="false">IF(AND(K349&lt;&gt;"",P348&lt;&gt;""),K349/P348,IF(K349&lt;&gt;"",K349/$D$2,""))</f>
        <v/>
      </c>
      <c r="M349" s="20"/>
      <c r="N349" s="20"/>
      <c r="O349" s="20"/>
      <c r="P349" s="16" t="str">
        <f aca="false">IF(K349&lt;&gt;"",P348+K349,IF(B349&lt;&gt;"",P348,""))</f>
        <v/>
      </c>
      <c r="Q349" s="17" t="str">
        <f aca="false">IF(P349&lt;&gt;"",MIN(0,P349-MAX($P$4:P349)),"")</f>
        <v/>
      </c>
    </row>
    <row r="350" customFormat="false" ht="15" hidden="false" customHeight="true" outlineLevel="0" collapsed="false">
      <c r="A350" s="11" t="str">
        <f aca="false">IF(B350&lt;&gt;"",COUNTA($B$4:B350),"")</f>
        <v/>
      </c>
      <c r="B350" s="12"/>
      <c r="C350" s="12"/>
      <c r="D350" s="12"/>
      <c r="E350" s="12"/>
      <c r="F350" s="12"/>
      <c r="G350" s="12"/>
      <c r="H350" s="12"/>
      <c r="I350" s="13"/>
      <c r="J350" s="12"/>
      <c r="K350" s="14" t="str">
        <f aca="false">IF(AND(I350&lt;&gt;"",H350&lt;&gt;"",J350&lt;&gt;""),IF(J350="W",I350*H350,IF(J350="L",-I350,IF(J350="P",I350*H350*0.5,""))),"")</f>
        <v/>
      </c>
      <c r="L350" s="15" t="str">
        <f aca="false">IF(AND(K350&lt;&gt;"",P349&lt;&gt;""),K350/P349,IF(K350&lt;&gt;"",K350/$D$2,""))</f>
        <v/>
      </c>
      <c r="M350" s="12"/>
      <c r="N350" s="12"/>
      <c r="O350" s="12"/>
      <c r="P350" s="16" t="str">
        <f aca="false">IF(K350&lt;&gt;"",P349+K350,IF(B350&lt;&gt;"",P349,""))</f>
        <v/>
      </c>
      <c r="Q350" s="17" t="str">
        <f aca="false">IF(P350&lt;&gt;"",MIN(0,P350-MAX($P$4:P350)),"")</f>
        <v/>
      </c>
    </row>
    <row r="351" customFormat="false" ht="15" hidden="false" customHeight="true" outlineLevel="0" collapsed="false">
      <c r="A351" s="11" t="str">
        <f aca="false">IF(B351&lt;&gt;"",COUNTA($B$4:B351),"")</f>
        <v/>
      </c>
      <c r="B351" s="20"/>
      <c r="C351" s="20"/>
      <c r="D351" s="20"/>
      <c r="E351" s="20"/>
      <c r="F351" s="20"/>
      <c r="G351" s="20"/>
      <c r="H351" s="20"/>
      <c r="I351" s="21"/>
      <c r="J351" s="20"/>
      <c r="K351" s="14" t="str">
        <f aca="false">IF(AND(I351&lt;&gt;"",H351&lt;&gt;"",J351&lt;&gt;""),IF(J351="W",I351*H351,IF(J351="L",-I351,IF(J351="P",I351*H351*0.5,""))),"")</f>
        <v/>
      </c>
      <c r="L351" s="15" t="str">
        <f aca="false">IF(AND(K351&lt;&gt;"",P350&lt;&gt;""),K351/P350,IF(K351&lt;&gt;"",K351/$D$2,""))</f>
        <v/>
      </c>
      <c r="M351" s="20"/>
      <c r="N351" s="20"/>
      <c r="O351" s="20"/>
      <c r="P351" s="16" t="str">
        <f aca="false">IF(K351&lt;&gt;"",P350+K351,IF(B351&lt;&gt;"",P350,""))</f>
        <v/>
      </c>
      <c r="Q351" s="17" t="str">
        <f aca="false">IF(P351&lt;&gt;"",MIN(0,P351-MAX($P$4:P351)),"")</f>
        <v/>
      </c>
    </row>
    <row r="352" customFormat="false" ht="15" hidden="false" customHeight="true" outlineLevel="0" collapsed="false">
      <c r="A352" s="11" t="str">
        <f aca="false">IF(B352&lt;&gt;"",COUNTA($B$4:B352),"")</f>
        <v/>
      </c>
      <c r="B352" s="12"/>
      <c r="C352" s="12"/>
      <c r="D352" s="12"/>
      <c r="E352" s="12"/>
      <c r="F352" s="12"/>
      <c r="G352" s="12"/>
      <c r="H352" s="12"/>
      <c r="I352" s="13"/>
      <c r="J352" s="12"/>
      <c r="K352" s="14" t="str">
        <f aca="false">IF(AND(I352&lt;&gt;"",H352&lt;&gt;"",J352&lt;&gt;""),IF(J352="W",I352*H352,IF(J352="L",-I352,IF(J352="P",I352*H352*0.5,""))),"")</f>
        <v/>
      </c>
      <c r="L352" s="15" t="str">
        <f aca="false">IF(AND(K352&lt;&gt;"",P351&lt;&gt;""),K352/P351,IF(K352&lt;&gt;"",K352/$D$2,""))</f>
        <v/>
      </c>
      <c r="M352" s="12"/>
      <c r="N352" s="12"/>
      <c r="O352" s="12"/>
      <c r="P352" s="16" t="str">
        <f aca="false">IF(K352&lt;&gt;"",P351+K352,IF(B352&lt;&gt;"",P351,""))</f>
        <v/>
      </c>
      <c r="Q352" s="17" t="str">
        <f aca="false">IF(P352&lt;&gt;"",MIN(0,P352-MAX($P$4:P352)),"")</f>
        <v/>
      </c>
    </row>
    <row r="353" customFormat="false" ht="15" hidden="false" customHeight="true" outlineLevel="0" collapsed="false">
      <c r="A353" s="11" t="str">
        <f aca="false">IF(B353&lt;&gt;"",COUNTA($B$4:B353),"")</f>
        <v/>
      </c>
      <c r="B353" s="20"/>
      <c r="C353" s="20"/>
      <c r="D353" s="20"/>
      <c r="E353" s="20"/>
      <c r="F353" s="20"/>
      <c r="G353" s="20"/>
      <c r="H353" s="20"/>
      <c r="I353" s="21"/>
      <c r="J353" s="20"/>
      <c r="K353" s="14" t="str">
        <f aca="false">IF(AND(I353&lt;&gt;"",H353&lt;&gt;"",J353&lt;&gt;""),IF(J353="W",I353*H353,IF(J353="L",-I353,IF(J353="P",I353*H353*0.5,""))),"")</f>
        <v/>
      </c>
      <c r="L353" s="15" t="str">
        <f aca="false">IF(AND(K353&lt;&gt;"",P352&lt;&gt;""),K353/P352,IF(K353&lt;&gt;"",K353/$D$2,""))</f>
        <v/>
      </c>
      <c r="M353" s="20"/>
      <c r="N353" s="20"/>
      <c r="O353" s="20"/>
      <c r="P353" s="16" t="str">
        <f aca="false">IF(K353&lt;&gt;"",P352+K353,IF(B353&lt;&gt;"",P352,""))</f>
        <v/>
      </c>
      <c r="Q353" s="17" t="str">
        <f aca="false">IF(P353&lt;&gt;"",MIN(0,P353-MAX($P$4:P353)),"")</f>
        <v/>
      </c>
    </row>
    <row r="354" customFormat="false" ht="15" hidden="false" customHeight="true" outlineLevel="0" collapsed="false">
      <c r="A354" s="11" t="str">
        <f aca="false">IF(B354&lt;&gt;"",COUNTA($B$4:B354),"")</f>
        <v/>
      </c>
      <c r="B354" s="12"/>
      <c r="C354" s="12"/>
      <c r="D354" s="12"/>
      <c r="E354" s="12"/>
      <c r="F354" s="12"/>
      <c r="G354" s="12"/>
      <c r="H354" s="12"/>
      <c r="I354" s="13"/>
      <c r="J354" s="12"/>
      <c r="K354" s="14" t="str">
        <f aca="false">IF(AND(I354&lt;&gt;"",H354&lt;&gt;"",J354&lt;&gt;""),IF(J354="W",I354*H354,IF(J354="L",-I354,IF(J354="P",I354*H354*0.5,""))),"")</f>
        <v/>
      </c>
      <c r="L354" s="15" t="str">
        <f aca="false">IF(AND(K354&lt;&gt;"",P353&lt;&gt;""),K354/P353,IF(K354&lt;&gt;"",K354/$D$2,""))</f>
        <v/>
      </c>
      <c r="M354" s="12"/>
      <c r="N354" s="12"/>
      <c r="O354" s="12"/>
      <c r="P354" s="16" t="str">
        <f aca="false">IF(K354&lt;&gt;"",P353+K354,IF(B354&lt;&gt;"",P353,""))</f>
        <v/>
      </c>
      <c r="Q354" s="17" t="str">
        <f aca="false">IF(P354&lt;&gt;"",MIN(0,P354-MAX($P$4:P354)),"")</f>
        <v/>
      </c>
    </row>
    <row r="355" customFormat="false" ht="15" hidden="false" customHeight="true" outlineLevel="0" collapsed="false">
      <c r="A355" s="11" t="str">
        <f aca="false">IF(B355&lt;&gt;"",COUNTA($B$4:B355),"")</f>
        <v/>
      </c>
      <c r="B355" s="20"/>
      <c r="C355" s="20"/>
      <c r="D355" s="20"/>
      <c r="E355" s="20"/>
      <c r="F355" s="20"/>
      <c r="G355" s="20"/>
      <c r="H355" s="20"/>
      <c r="I355" s="21"/>
      <c r="J355" s="20"/>
      <c r="K355" s="14" t="str">
        <f aca="false">IF(AND(I355&lt;&gt;"",H355&lt;&gt;"",J355&lt;&gt;""),IF(J355="W",I355*H355,IF(J355="L",-I355,IF(J355="P",I355*H355*0.5,""))),"")</f>
        <v/>
      </c>
      <c r="L355" s="15" t="str">
        <f aca="false">IF(AND(K355&lt;&gt;"",P354&lt;&gt;""),K355/P354,IF(K355&lt;&gt;"",K355/$D$2,""))</f>
        <v/>
      </c>
      <c r="M355" s="20"/>
      <c r="N355" s="20"/>
      <c r="O355" s="20"/>
      <c r="P355" s="16" t="str">
        <f aca="false">IF(K355&lt;&gt;"",P354+K355,IF(B355&lt;&gt;"",P354,""))</f>
        <v/>
      </c>
      <c r="Q355" s="17" t="str">
        <f aca="false">IF(P355&lt;&gt;"",MIN(0,P355-MAX($P$4:P355)),"")</f>
        <v/>
      </c>
    </row>
    <row r="356" customFormat="false" ht="15" hidden="false" customHeight="true" outlineLevel="0" collapsed="false">
      <c r="A356" s="11" t="str">
        <f aca="false">IF(B356&lt;&gt;"",COUNTA($B$4:B356),"")</f>
        <v/>
      </c>
      <c r="B356" s="12"/>
      <c r="C356" s="12"/>
      <c r="D356" s="12"/>
      <c r="E356" s="12"/>
      <c r="F356" s="12"/>
      <c r="G356" s="12"/>
      <c r="H356" s="12"/>
      <c r="I356" s="13"/>
      <c r="J356" s="12"/>
      <c r="K356" s="14" t="str">
        <f aca="false">IF(AND(I356&lt;&gt;"",H356&lt;&gt;"",J356&lt;&gt;""),IF(J356="W",I356*H356,IF(J356="L",-I356,IF(J356="P",I356*H356*0.5,""))),"")</f>
        <v/>
      </c>
      <c r="L356" s="15" t="str">
        <f aca="false">IF(AND(K356&lt;&gt;"",P355&lt;&gt;""),K356/P355,IF(K356&lt;&gt;"",K356/$D$2,""))</f>
        <v/>
      </c>
      <c r="M356" s="12"/>
      <c r="N356" s="12"/>
      <c r="O356" s="12"/>
      <c r="P356" s="16" t="str">
        <f aca="false">IF(K356&lt;&gt;"",P355+K356,IF(B356&lt;&gt;"",P355,""))</f>
        <v/>
      </c>
      <c r="Q356" s="17" t="str">
        <f aca="false">IF(P356&lt;&gt;"",MIN(0,P356-MAX($P$4:P356)),"")</f>
        <v/>
      </c>
    </row>
    <row r="357" customFormat="false" ht="15" hidden="false" customHeight="true" outlineLevel="0" collapsed="false">
      <c r="A357" s="11" t="str">
        <f aca="false">IF(B357&lt;&gt;"",COUNTA($B$4:B357),"")</f>
        <v/>
      </c>
      <c r="B357" s="20"/>
      <c r="C357" s="20"/>
      <c r="D357" s="20"/>
      <c r="E357" s="20"/>
      <c r="F357" s="20"/>
      <c r="G357" s="20"/>
      <c r="H357" s="20"/>
      <c r="I357" s="21"/>
      <c r="J357" s="20"/>
      <c r="K357" s="14" t="str">
        <f aca="false">IF(AND(I357&lt;&gt;"",H357&lt;&gt;"",J357&lt;&gt;""),IF(J357="W",I357*H357,IF(J357="L",-I357,IF(J357="P",I357*H357*0.5,""))),"")</f>
        <v/>
      </c>
      <c r="L357" s="15" t="str">
        <f aca="false">IF(AND(K357&lt;&gt;"",P356&lt;&gt;""),K357/P356,IF(K357&lt;&gt;"",K357/$D$2,""))</f>
        <v/>
      </c>
      <c r="M357" s="20"/>
      <c r="N357" s="20"/>
      <c r="O357" s="20"/>
      <c r="P357" s="16" t="str">
        <f aca="false">IF(K357&lt;&gt;"",P356+K357,IF(B357&lt;&gt;"",P356,""))</f>
        <v/>
      </c>
      <c r="Q357" s="17" t="str">
        <f aca="false">IF(P357&lt;&gt;"",MIN(0,P357-MAX($P$4:P357)),"")</f>
        <v/>
      </c>
    </row>
    <row r="358" customFormat="false" ht="15" hidden="false" customHeight="true" outlineLevel="0" collapsed="false">
      <c r="A358" s="11" t="str">
        <f aca="false">IF(B358&lt;&gt;"",COUNTA($B$4:B358),"")</f>
        <v/>
      </c>
      <c r="B358" s="12"/>
      <c r="C358" s="12"/>
      <c r="D358" s="12"/>
      <c r="E358" s="12"/>
      <c r="F358" s="12"/>
      <c r="G358" s="12"/>
      <c r="H358" s="12"/>
      <c r="I358" s="13"/>
      <c r="J358" s="12"/>
      <c r="K358" s="14" t="str">
        <f aca="false">IF(AND(I358&lt;&gt;"",H358&lt;&gt;"",J358&lt;&gt;""),IF(J358="W",I358*H358,IF(J358="L",-I358,IF(J358="P",I358*H358*0.5,""))),"")</f>
        <v/>
      </c>
      <c r="L358" s="15" t="str">
        <f aca="false">IF(AND(K358&lt;&gt;"",P357&lt;&gt;""),K358/P357,IF(K358&lt;&gt;"",K358/$D$2,""))</f>
        <v/>
      </c>
      <c r="M358" s="12"/>
      <c r="N358" s="12"/>
      <c r="O358" s="12"/>
      <c r="P358" s="16" t="str">
        <f aca="false">IF(K358&lt;&gt;"",P357+K358,IF(B358&lt;&gt;"",P357,""))</f>
        <v/>
      </c>
      <c r="Q358" s="17" t="str">
        <f aca="false">IF(P358&lt;&gt;"",MIN(0,P358-MAX($P$4:P358)),"")</f>
        <v/>
      </c>
    </row>
    <row r="359" customFormat="false" ht="15" hidden="false" customHeight="true" outlineLevel="0" collapsed="false">
      <c r="A359" s="11" t="str">
        <f aca="false">IF(B359&lt;&gt;"",COUNTA($B$4:B359),"")</f>
        <v/>
      </c>
      <c r="B359" s="20"/>
      <c r="C359" s="20"/>
      <c r="D359" s="20"/>
      <c r="E359" s="20"/>
      <c r="F359" s="20"/>
      <c r="G359" s="20"/>
      <c r="H359" s="20"/>
      <c r="I359" s="21"/>
      <c r="J359" s="20"/>
      <c r="K359" s="14" t="str">
        <f aca="false">IF(AND(I359&lt;&gt;"",H359&lt;&gt;"",J359&lt;&gt;""),IF(J359="W",I359*H359,IF(J359="L",-I359,IF(J359="P",I359*H359*0.5,""))),"")</f>
        <v/>
      </c>
      <c r="L359" s="15" t="str">
        <f aca="false">IF(AND(K359&lt;&gt;"",P358&lt;&gt;""),K359/P358,IF(K359&lt;&gt;"",K359/$D$2,""))</f>
        <v/>
      </c>
      <c r="M359" s="20"/>
      <c r="N359" s="20"/>
      <c r="O359" s="20"/>
      <c r="P359" s="16" t="str">
        <f aca="false">IF(K359&lt;&gt;"",P358+K359,IF(B359&lt;&gt;"",P358,""))</f>
        <v/>
      </c>
      <c r="Q359" s="17" t="str">
        <f aca="false">IF(P359&lt;&gt;"",MIN(0,P359-MAX($P$4:P359)),"")</f>
        <v/>
      </c>
    </row>
    <row r="360" customFormat="false" ht="15" hidden="false" customHeight="true" outlineLevel="0" collapsed="false">
      <c r="A360" s="11" t="str">
        <f aca="false">IF(B360&lt;&gt;"",COUNTA($B$4:B360),"")</f>
        <v/>
      </c>
      <c r="B360" s="12"/>
      <c r="C360" s="12"/>
      <c r="D360" s="12"/>
      <c r="E360" s="12"/>
      <c r="F360" s="12"/>
      <c r="G360" s="12"/>
      <c r="H360" s="12"/>
      <c r="I360" s="13"/>
      <c r="J360" s="12"/>
      <c r="K360" s="14" t="str">
        <f aca="false">IF(AND(I360&lt;&gt;"",H360&lt;&gt;"",J360&lt;&gt;""),IF(J360="W",I360*H360,IF(J360="L",-I360,IF(J360="P",I360*H360*0.5,""))),"")</f>
        <v/>
      </c>
      <c r="L360" s="15" t="str">
        <f aca="false">IF(AND(K360&lt;&gt;"",P359&lt;&gt;""),K360/P359,IF(K360&lt;&gt;"",K360/$D$2,""))</f>
        <v/>
      </c>
      <c r="M360" s="12"/>
      <c r="N360" s="12"/>
      <c r="O360" s="12"/>
      <c r="P360" s="16" t="str">
        <f aca="false">IF(K360&lt;&gt;"",P359+K360,IF(B360&lt;&gt;"",P359,""))</f>
        <v/>
      </c>
      <c r="Q360" s="17" t="str">
        <f aca="false">IF(P360&lt;&gt;"",MIN(0,P360-MAX($P$4:P360)),"")</f>
        <v/>
      </c>
    </row>
    <row r="361" customFormat="false" ht="15" hidden="false" customHeight="true" outlineLevel="0" collapsed="false">
      <c r="A361" s="11" t="str">
        <f aca="false">IF(B361&lt;&gt;"",COUNTA($B$4:B361),"")</f>
        <v/>
      </c>
      <c r="B361" s="20"/>
      <c r="C361" s="20"/>
      <c r="D361" s="20"/>
      <c r="E361" s="20"/>
      <c r="F361" s="20"/>
      <c r="G361" s="20"/>
      <c r="H361" s="20"/>
      <c r="I361" s="21"/>
      <c r="J361" s="20"/>
      <c r="K361" s="14" t="str">
        <f aca="false">IF(AND(I361&lt;&gt;"",H361&lt;&gt;"",J361&lt;&gt;""),IF(J361="W",I361*H361,IF(J361="L",-I361,IF(J361="P",I361*H361*0.5,""))),"")</f>
        <v/>
      </c>
      <c r="L361" s="15" t="str">
        <f aca="false">IF(AND(K361&lt;&gt;"",P360&lt;&gt;""),K361/P360,IF(K361&lt;&gt;"",K361/$D$2,""))</f>
        <v/>
      </c>
      <c r="M361" s="20"/>
      <c r="N361" s="20"/>
      <c r="O361" s="20"/>
      <c r="P361" s="16" t="str">
        <f aca="false">IF(K361&lt;&gt;"",P360+K361,IF(B361&lt;&gt;"",P360,""))</f>
        <v/>
      </c>
      <c r="Q361" s="17" t="str">
        <f aca="false">IF(P361&lt;&gt;"",MIN(0,P361-MAX($P$4:P361)),"")</f>
        <v/>
      </c>
    </row>
    <row r="362" customFormat="false" ht="15" hidden="false" customHeight="true" outlineLevel="0" collapsed="false">
      <c r="A362" s="11" t="str">
        <f aca="false">IF(B362&lt;&gt;"",COUNTA($B$4:B362),"")</f>
        <v/>
      </c>
      <c r="B362" s="12"/>
      <c r="C362" s="12"/>
      <c r="D362" s="12"/>
      <c r="E362" s="12"/>
      <c r="F362" s="12"/>
      <c r="G362" s="12"/>
      <c r="H362" s="12"/>
      <c r="I362" s="13"/>
      <c r="J362" s="12"/>
      <c r="K362" s="14" t="str">
        <f aca="false">IF(AND(I362&lt;&gt;"",H362&lt;&gt;"",J362&lt;&gt;""),IF(J362="W",I362*H362,IF(J362="L",-I362,IF(J362="P",I362*H362*0.5,""))),"")</f>
        <v/>
      </c>
      <c r="L362" s="15" t="str">
        <f aca="false">IF(AND(K362&lt;&gt;"",P361&lt;&gt;""),K362/P361,IF(K362&lt;&gt;"",K362/$D$2,""))</f>
        <v/>
      </c>
      <c r="M362" s="12"/>
      <c r="N362" s="12"/>
      <c r="O362" s="12"/>
      <c r="P362" s="16" t="str">
        <f aca="false">IF(K362&lt;&gt;"",P361+K362,IF(B362&lt;&gt;"",P361,""))</f>
        <v/>
      </c>
      <c r="Q362" s="17" t="str">
        <f aca="false">IF(P362&lt;&gt;"",MIN(0,P362-MAX($P$4:P362)),"")</f>
        <v/>
      </c>
    </row>
    <row r="363" customFormat="false" ht="15" hidden="false" customHeight="true" outlineLevel="0" collapsed="false">
      <c r="A363" s="11" t="str">
        <f aca="false">IF(B363&lt;&gt;"",COUNTA($B$4:B363),"")</f>
        <v/>
      </c>
      <c r="B363" s="20"/>
      <c r="C363" s="20"/>
      <c r="D363" s="20"/>
      <c r="E363" s="20"/>
      <c r="F363" s="20"/>
      <c r="G363" s="20"/>
      <c r="H363" s="20"/>
      <c r="I363" s="21"/>
      <c r="J363" s="20"/>
      <c r="K363" s="14" t="str">
        <f aca="false">IF(AND(I363&lt;&gt;"",H363&lt;&gt;"",J363&lt;&gt;""),IF(J363="W",I363*H363,IF(J363="L",-I363,IF(J363="P",I363*H363*0.5,""))),"")</f>
        <v/>
      </c>
      <c r="L363" s="15" t="str">
        <f aca="false">IF(AND(K363&lt;&gt;"",P362&lt;&gt;""),K363/P362,IF(K363&lt;&gt;"",K363/$D$2,""))</f>
        <v/>
      </c>
      <c r="M363" s="20"/>
      <c r="N363" s="20"/>
      <c r="O363" s="20"/>
      <c r="P363" s="16" t="str">
        <f aca="false">IF(K363&lt;&gt;"",P362+K363,IF(B363&lt;&gt;"",P362,""))</f>
        <v/>
      </c>
      <c r="Q363" s="17" t="str">
        <f aca="false">IF(P363&lt;&gt;"",MIN(0,P363-MAX($P$4:P363)),"")</f>
        <v/>
      </c>
    </row>
    <row r="364" customFormat="false" ht="15" hidden="false" customHeight="true" outlineLevel="0" collapsed="false">
      <c r="A364" s="11" t="str">
        <f aca="false">IF(B364&lt;&gt;"",COUNTA($B$4:B364),"")</f>
        <v/>
      </c>
      <c r="B364" s="12"/>
      <c r="C364" s="12"/>
      <c r="D364" s="12"/>
      <c r="E364" s="12"/>
      <c r="F364" s="12"/>
      <c r="G364" s="12"/>
      <c r="H364" s="12"/>
      <c r="I364" s="13"/>
      <c r="J364" s="12"/>
      <c r="K364" s="14" t="str">
        <f aca="false">IF(AND(I364&lt;&gt;"",H364&lt;&gt;"",J364&lt;&gt;""),IF(J364="W",I364*H364,IF(J364="L",-I364,IF(J364="P",I364*H364*0.5,""))),"")</f>
        <v/>
      </c>
      <c r="L364" s="15" t="str">
        <f aca="false">IF(AND(K364&lt;&gt;"",P363&lt;&gt;""),K364/P363,IF(K364&lt;&gt;"",K364/$D$2,""))</f>
        <v/>
      </c>
      <c r="M364" s="12"/>
      <c r="N364" s="12"/>
      <c r="O364" s="12"/>
      <c r="P364" s="16" t="str">
        <f aca="false">IF(K364&lt;&gt;"",P363+K364,IF(B364&lt;&gt;"",P363,""))</f>
        <v/>
      </c>
      <c r="Q364" s="17" t="str">
        <f aca="false">IF(P364&lt;&gt;"",MIN(0,P364-MAX($P$4:P364)),"")</f>
        <v/>
      </c>
    </row>
    <row r="365" customFormat="false" ht="15" hidden="false" customHeight="true" outlineLevel="0" collapsed="false">
      <c r="A365" s="11" t="str">
        <f aca="false">IF(B365&lt;&gt;"",COUNTA($B$4:B365),"")</f>
        <v/>
      </c>
      <c r="B365" s="20"/>
      <c r="C365" s="20"/>
      <c r="D365" s="20"/>
      <c r="E365" s="20"/>
      <c r="F365" s="20"/>
      <c r="G365" s="20"/>
      <c r="H365" s="20"/>
      <c r="I365" s="21"/>
      <c r="J365" s="20"/>
      <c r="K365" s="14" t="str">
        <f aca="false">IF(AND(I365&lt;&gt;"",H365&lt;&gt;"",J365&lt;&gt;""),IF(J365="W",I365*H365,IF(J365="L",-I365,IF(J365="P",I365*H365*0.5,""))),"")</f>
        <v/>
      </c>
      <c r="L365" s="15" t="str">
        <f aca="false">IF(AND(K365&lt;&gt;"",P364&lt;&gt;""),K365/P364,IF(K365&lt;&gt;"",K365/$D$2,""))</f>
        <v/>
      </c>
      <c r="M365" s="20"/>
      <c r="N365" s="20"/>
      <c r="O365" s="20"/>
      <c r="P365" s="16" t="str">
        <f aca="false">IF(K365&lt;&gt;"",P364+K365,IF(B365&lt;&gt;"",P364,""))</f>
        <v/>
      </c>
      <c r="Q365" s="17" t="str">
        <f aca="false">IF(P365&lt;&gt;"",MIN(0,P365-MAX($P$4:P365)),"")</f>
        <v/>
      </c>
    </row>
    <row r="366" customFormat="false" ht="15" hidden="false" customHeight="true" outlineLevel="0" collapsed="false">
      <c r="A366" s="11" t="str">
        <f aca="false">IF(B366&lt;&gt;"",COUNTA($B$4:B366),"")</f>
        <v/>
      </c>
      <c r="B366" s="12"/>
      <c r="C366" s="12"/>
      <c r="D366" s="12"/>
      <c r="E366" s="12"/>
      <c r="F366" s="12"/>
      <c r="G366" s="12"/>
      <c r="H366" s="12"/>
      <c r="I366" s="13"/>
      <c r="J366" s="12"/>
      <c r="K366" s="14" t="str">
        <f aca="false">IF(AND(I366&lt;&gt;"",H366&lt;&gt;"",J366&lt;&gt;""),IF(J366="W",I366*H366,IF(J366="L",-I366,IF(J366="P",I366*H366*0.5,""))),"")</f>
        <v/>
      </c>
      <c r="L366" s="15" t="str">
        <f aca="false">IF(AND(K366&lt;&gt;"",P365&lt;&gt;""),K366/P365,IF(K366&lt;&gt;"",K366/$D$2,""))</f>
        <v/>
      </c>
      <c r="M366" s="12"/>
      <c r="N366" s="12"/>
      <c r="O366" s="12"/>
      <c r="P366" s="16" t="str">
        <f aca="false">IF(K366&lt;&gt;"",P365+K366,IF(B366&lt;&gt;"",P365,""))</f>
        <v/>
      </c>
      <c r="Q366" s="17" t="str">
        <f aca="false">IF(P366&lt;&gt;"",MIN(0,P366-MAX($P$4:P366)),"")</f>
        <v/>
      </c>
    </row>
    <row r="367" customFormat="false" ht="15" hidden="false" customHeight="true" outlineLevel="0" collapsed="false">
      <c r="A367" s="11" t="str">
        <f aca="false">IF(B367&lt;&gt;"",COUNTA($B$4:B367),"")</f>
        <v/>
      </c>
      <c r="B367" s="20"/>
      <c r="C367" s="20"/>
      <c r="D367" s="20"/>
      <c r="E367" s="20"/>
      <c r="F367" s="20"/>
      <c r="G367" s="20"/>
      <c r="H367" s="20"/>
      <c r="I367" s="21"/>
      <c r="J367" s="20"/>
      <c r="K367" s="14" t="str">
        <f aca="false">IF(AND(I367&lt;&gt;"",H367&lt;&gt;"",J367&lt;&gt;""),IF(J367="W",I367*H367,IF(J367="L",-I367,IF(J367="P",I367*H367*0.5,""))),"")</f>
        <v/>
      </c>
      <c r="L367" s="15" t="str">
        <f aca="false">IF(AND(K367&lt;&gt;"",P366&lt;&gt;""),K367/P366,IF(K367&lt;&gt;"",K367/$D$2,""))</f>
        <v/>
      </c>
      <c r="M367" s="20"/>
      <c r="N367" s="20"/>
      <c r="O367" s="20"/>
      <c r="P367" s="16" t="str">
        <f aca="false">IF(K367&lt;&gt;"",P366+K367,IF(B367&lt;&gt;"",P366,""))</f>
        <v/>
      </c>
      <c r="Q367" s="17" t="str">
        <f aca="false">IF(P367&lt;&gt;"",MIN(0,P367-MAX($P$4:P367)),"")</f>
        <v/>
      </c>
    </row>
    <row r="368" customFormat="false" ht="15" hidden="false" customHeight="true" outlineLevel="0" collapsed="false">
      <c r="A368" s="11" t="str">
        <f aca="false">IF(B368&lt;&gt;"",COUNTA($B$4:B368),"")</f>
        <v/>
      </c>
      <c r="B368" s="12"/>
      <c r="C368" s="12"/>
      <c r="D368" s="12"/>
      <c r="E368" s="12"/>
      <c r="F368" s="12"/>
      <c r="G368" s="12"/>
      <c r="H368" s="12"/>
      <c r="I368" s="13"/>
      <c r="J368" s="12"/>
      <c r="K368" s="14" t="str">
        <f aca="false">IF(AND(I368&lt;&gt;"",H368&lt;&gt;"",J368&lt;&gt;""),IF(J368="W",I368*H368,IF(J368="L",-I368,IF(J368="P",I368*H368*0.5,""))),"")</f>
        <v/>
      </c>
      <c r="L368" s="15" t="str">
        <f aca="false">IF(AND(K368&lt;&gt;"",P367&lt;&gt;""),K368/P367,IF(K368&lt;&gt;"",K368/$D$2,""))</f>
        <v/>
      </c>
      <c r="M368" s="12"/>
      <c r="N368" s="12"/>
      <c r="O368" s="12"/>
      <c r="P368" s="16" t="str">
        <f aca="false">IF(K368&lt;&gt;"",P367+K368,IF(B368&lt;&gt;"",P367,""))</f>
        <v/>
      </c>
      <c r="Q368" s="17" t="str">
        <f aca="false">IF(P368&lt;&gt;"",MIN(0,P368-MAX($P$4:P368)),"")</f>
        <v/>
      </c>
    </row>
    <row r="369" customFormat="false" ht="15" hidden="false" customHeight="true" outlineLevel="0" collapsed="false">
      <c r="A369" s="11" t="str">
        <f aca="false">IF(B369&lt;&gt;"",COUNTA($B$4:B369),"")</f>
        <v/>
      </c>
      <c r="B369" s="20"/>
      <c r="C369" s="20"/>
      <c r="D369" s="20"/>
      <c r="E369" s="20"/>
      <c r="F369" s="20"/>
      <c r="G369" s="20"/>
      <c r="H369" s="20"/>
      <c r="I369" s="21"/>
      <c r="J369" s="20"/>
      <c r="K369" s="14" t="str">
        <f aca="false">IF(AND(I369&lt;&gt;"",H369&lt;&gt;"",J369&lt;&gt;""),IF(J369="W",I369*H369,IF(J369="L",-I369,IF(J369="P",I369*H369*0.5,""))),"")</f>
        <v/>
      </c>
      <c r="L369" s="15" t="str">
        <f aca="false">IF(AND(K369&lt;&gt;"",P368&lt;&gt;""),K369/P368,IF(K369&lt;&gt;"",K369/$D$2,""))</f>
        <v/>
      </c>
      <c r="M369" s="20"/>
      <c r="N369" s="20"/>
      <c r="O369" s="20"/>
      <c r="P369" s="16" t="str">
        <f aca="false">IF(K369&lt;&gt;"",P368+K369,IF(B369&lt;&gt;"",P368,""))</f>
        <v/>
      </c>
      <c r="Q369" s="17" t="str">
        <f aca="false">IF(P369&lt;&gt;"",MIN(0,P369-MAX($P$4:P369)),"")</f>
        <v/>
      </c>
    </row>
    <row r="370" customFormat="false" ht="15" hidden="false" customHeight="true" outlineLevel="0" collapsed="false">
      <c r="A370" s="11" t="str">
        <f aca="false">IF(B370&lt;&gt;"",COUNTA($B$4:B370),"")</f>
        <v/>
      </c>
      <c r="B370" s="12"/>
      <c r="C370" s="12"/>
      <c r="D370" s="12"/>
      <c r="E370" s="12"/>
      <c r="F370" s="12"/>
      <c r="G370" s="12"/>
      <c r="H370" s="12"/>
      <c r="I370" s="13"/>
      <c r="J370" s="12"/>
      <c r="K370" s="14" t="str">
        <f aca="false">IF(AND(I370&lt;&gt;"",H370&lt;&gt;"",J370&lt;&gt;""),IF(J370="W",I370*H370,IF(J370="L",-I370,IF(J370="P",I370*H370*0.5,""))),"")</f>
        <v/>
      </c>
      <c r="L370" s="15" t="str">
        <f aca="false">IF(AND(K370&lt;&gt;"",P369&lt;&gt;""),K370/P369,IF(K370&lt;&gt;"",K370/$D$2,""))</f>
        <v/>
      </c>
      <c r="M370" s="12"/>
      <c r="N370" s="12"/>
      <c r="O370" s="12"/>
      <c r="P370" s="16" t="str">
        <f aca="false">IF(K370&lt;&gt;"",P369+K370,IF(B370&lt;&gt;"",P369,""))</f>
        <v/>
      </c>
      <c r="Q370" s="17" t="str">
        <f aca="false">IF(P370&lt;&gt;"",MIN(0,P370-MAX($P$4:P370)),"")</f>
        <v/>
      </c>
    </row>
    <row r="371" customFormat="false" ht="15" hidden="false" customHeight="true" outlineLevel="0" collapsed="false">
      <c r="A371" s="11" t="str">
        <f aca="false">IF(B371&lt;&gt;"",COUNTA($B$4:B371),"")</f>
        <v/>
      </c>
      <c r="B371" s="20"/>
      <c r="C371" s="20"/>
      <c r="D371" s="20"/>
      <c r="E371" s="20"/>
      <c r="F371" s="20"/>
      <c r="G371" s="20"/>
      <c r="H371" s="20"/>
      <c r="I371" s="21"/>
      <c r="J371" s="20"/>
      <c r="K371" s="14" t="str">
        <f aca="false">IF(AND(I371&lt;&gt;"",H371&lt;&gt;"",J371&lt;&gt;""),IF(J371="W",I371*H371,IF(J371="L",-I371,IF(J371="P",I371*H371*0.5,""))),"")</f>
        <v/>
      </c>
      <c r="L371" s="15" t="str">
        <f aca="false">IF(AND(K371&lt;&gt;"",P370&lt;&gt;""),K371/P370,IF(K371&lt;&gt;"",K371/$D$2,""))</f>
        <v/>
      </c>
      <c r="M371" s="20"/>
      <c r="N371" s="20"/>
      <c r="O371" s="20"/>
      <c r="P371" s="16" t="str">
        <f aca="false">IF(K371&lt;&gt;"",P370+K371,IF(B371&lt;&gt;"",P370,""))</f>
        <v/>
      </c>
      <c r="Q371" s="17" t="str">
        <f aca="false">IF(P371&lt;&gt;"",MIN(0,P371-MAX($P$4:P371)),"")</f>
        <v/>
      </c>
    </row>
    <row r="372" customFormat="false" ht="15" hidden="false" customHeight="true" outlineLevel="0" collapsed="false">
      <c r="A372" s="11" t="str">
        <f aca="false">IF(B372&lt;&gt;"",COUNTA($B$4:B372),"")</f>
        <v/>
      </c>
      <c r="B372" s="12"/>
      <c r="C372" s="12"/>
      <c r="D372" s="12"/>
      <c r="E372" s="12"/>
      <c r="F372" s="12"/>
      <c r="G372" s="12"/>
      <c r="H372" s="12"/>
      <c r="I372" s="13"/>
      <c r="J372" s="12"/>
      <c r="K372" s="14" t="str">
        <f aca="false">IF(AND(I372&lt;&gt;"",H372&lt;&gt;"",J372&lt;&gt;""),IF(J372="W",I372*H372,IF(J372="L",-I372,IF(J372="P",I372*H372*0.5,""))),"")</f>
        <v/>
      </c>
      <c r="L372" s="15" t="str">
        <f aca="false">IF(AND(K372&lt;&gt;"",P371&lt;&gt;""),K372/P371,IF(K372&lt;&gt;"",K372/$D$2,""))</f>
        <v/>
      </c>
      <c r="M372" s="12"/>
      <c r="N372" s="12"/>
      <c r="O372" s="12"/>
      <c r="P372" s="16" t="str">
        <f aca="false">IF(K372&lt;&gt;"",P371+K372,IF(B372&lt;&gt;"",P371,""))</f>
        <v/>
      </c>
      <c r="Q372" s="17" t="str">
        <f aca="false">IF(P372&lt;&gt;"",MIN(0,P372-MAX($P$4:P372)),"")</f>
        <v/>
      </c>
    </row>
    <row r="373" customFormat="false" ht="15" hidden="false" customHeight="true" outlineLevel="0" collapsed="false">
      <c r="A373" s="11" t="str">
        <f aca="false">IF(B373&lt;&gt;"",COUNTA($B$4:B373),"")</f>
        <v/>
      </c>
      <c r="B373" s="20"/>
      <c r="C373" s="20"/>
      <c r="D373" s="20"/>
      <c r="E373" s="20"/>
      <c r="F373" s="20"/>
      <c r="G373" s="20"/>
      <c r="H373" s="20"/>
      <c r="I373" s="21"/>
      <c r="J373" s="20"/>
      <c r="K373" s="14" t="str">
        <f aca="false">IF(AND(I373&lt;&gt;"",H373&lt;&gt;"",J373&lt;&gt;""),IF(J373="W",I373*H373,IF(J373="L",-I373,IF(J373="P",I373*H373*0.5,""))),"")</f>
        <v/>
      </c>
      <c r="L373" s="15" t="str">
        <f aca="false">IF(AND(K373&lt;&gt;"",P372&lt;&gt;""),K373/P372,IF(K373&lt;&gt;"",K373/$D$2,""))</f>
        <v/>
      </c>
      <c r="M373" s="20"/>
      <c r="N373" s="20"/>
      <c r="O373" s="20"/>
      <c r="P373" s="16" t="str">
        <f aca="false">IF(K373&lt;&gt;"",P372+K373,IF(B373&lt;&gt;"",P372,""))</f>
        <v/>
      </c>
      <c r="Q373" s="17" t="str">
        <f aca="false">IF(P373&lt;&gt;"",MIN(0,P373-MAX($P$4:P373)),"")</f>
        <v/>
      </c>
    </row>
    <row r="374" customFormat="false" ht="15" hidden="false" customHeight="true" outlineLevel="0" collapsed="false">
      <c r="A374" s="11" t="str">
        <f aca="false">IF(B374&lt;&gt;"",COUNTA($B$4:B374),"")</f>
        <v/>
      </c>
      <c r="B374" s="12"/>
      <c r="C374" s="12"/>
      <c r="D374" s="12"/>
      <c r="E374" s="12"/>
      <c r="F374" s="12"/>
      <c r="G374" s="12"/>
      <c r="H374" s="12"/>
      <c r="I374" s="13"/>
      <c r="J374" s="12"/>
      <c r="K374" s="14" t="str">
        <f aca="false">IF(AND(I374&lt;&gt;"",H374&lt;&gt;"",J374&lt;&gt;""),IF(J374="W",I374*H374,IF(J374="L",-I374,IF(J374="P",I374*H374*0.5,""))),"")</f>
        <v/>
      </c>
      <c r="L374" s="15" t="str">
        <f aca="false">IF(AND(K374&lt;&gt;"",P373&lt;&gt;""),K374/P373,IF(K374&lt;&gt;"",K374/$D$2,""))</f>
        <v/>
      </c>
      <c r="M374" s="12"/>
      <c r="N374" s="12"/>
      <c r="O374" s="12"/>
      <c r="P374" s="16" t="str">
        <f aca="false">IF(K374&lt;&gt;"",P373+K374,IF(B374&lt;&gt;"",P373,""))</f>
        <v/>
      </c>
      <c r="Q374" s="17" t="str">
        <f aca="false">IF(P374&lt;&gt;"",MIN(0,P374-MAX($P$4:P374)),"")</f>
        <v/>
      </c>
    </row>
    <row r="375" customFormat="false" ht="15" hidden="false" customHeight="true" outlineLevel="0" collapsed="false">
      <c r="A375" s="11" t="str">
        <f aca="false">IF(B375&lt;&gt;"",COUNTA($B$4:B375),"")</f>
        <v/>
      </c>
      <c r="B375" s="20"/>
      <c r="C375" s="20"/>
      <c r="D375" s="20"/>
      <c r="E375" s="20"/>
      <c r="F375" s="20"/>
      <c r="G375" s="20"/>
      <c r="H375" s="20"/>
      <c r="I375" s="21"/>
      <c r="J375" s="20"/>
      <c r="K375" s="14" t="str">
        <f aca="false">IF(AND(I375&lt;&gt;"",H375&lt;&gt;"",J375&lt;&gt;""),IF(J375="W",I375*H375,IF(J375="L",-I375,IF(J375="P",I375*H375*0.5,""))),"")</f>
        <v/>
      </c>
      <c r="L375" s="15" t="str">
        <f aca="false">IF(AND(K375&lt;&gt;"",P374&lt;&gt;""),K375/P374,IF(K375&lt;&gt;"",K375/$D$2,""))</f>
        <v/>
      </c>
      <c r="M375" s="20"/>
      <c r="N375" s="20"/>
      <c r="O375" s="20"/>
      <c r="P375" s="16" t="str">
        <f aca="false">IF(K375&lt;&gt;"",P374+K375,IF(B375&lt;&gt;"",P374,""))</f>
        <v/>
      </c>
      <c r="Q375" s="17" t="str">
        <f aca="false">IF(P375&lt;&gt;"",MIN(0,P375-MAX($P$4:P375)),"")</f>
        <v/>
      </c>
    </row>
    <row r="376" customFormat="false" ht="15" hidden="false" customHeight="true" outlineLevel="0" collapsed="false">
      <c r="A376" s="11" t="str">
        <f aca="false">IF(B376&lt;&gt;"",COUNTA($B$4:B376),"")</f>
        <v/>
      </c>
      <c r="B376" s="12"/>
      <c r="C376" s="12"/>
      <c r="D376" s="12"/>
      <c r="E376" s="12"/>
      <c r="F376" s="12"/>
      <c r="G376" s="12"/>
      <c r="H376" s="12"/>
      <c r="I376" s="13"/>
      <c r="J376" s="12"/>
      <c r="K376" s="14" t="str">
        <f aca="false">IF(AND(I376&lt;&gt;"",H376&lt;&gt;"",J376&lt;&gt;""),IF(J376="W",I376*H376,IF(J376="L",-I376,IF(J376="P",I376*H376*0.5,""))),"")</f>
        <v/>
      </c>
      <c r="L376" s="15" t="str">
        <f aca="false">IF(AND(K376&lt;&gt;"",P375&lt;&gt;""),K376/P375,IF(K376&lt;&gt;"",K376/$D$2,""))</f>
        <v/>
      </c>
      <c r="M376" s="12"/>
      <c r="N376" s="12"/>
      <c r="O376" s="12"/>
      <c r="P376" s="16" t="str">
        <f aca="false">IF(K376&lt;&gt;"",P375+K376,IF(B376&lt;&gt;"",P375,""))</f>
        <v/>
      </c>
      <c r="Q376" s="17" t="str">
        <f aca="false">IF(P376&lt;&gt;"",MIN(0,P376-MAX($P$4:P376)),"")</f>
        <v/>
      </c>
    </row>
    <row r="377" customFormat="false" ht="15" hidden="false" customHeight="true" outlineLevel="0" collapsed="false">
      <c r="A377" s="11" t="str">
        <f aca="false">IF(B377&lt;&gt;"",COUNTA($B$4:B377),"")</f>
        <v/>
      </c>
      <c r="B377" s="20"/>
      <c r="C377" s="20"/>
      <c r="D377" s="20"/>
      <c r="E377" s="20"/>
      <c r="F377" s="20"/>
      <c r="G377" s="20"/>
      <c r="H377" s="20"/>
      <c r="I377" s="21"/>
      <c r="J377" s="20"/>
      <c r="K377" s="14" t="str">
        <f aca="false">IF(AND(I377&lt;&gt;"",H377&lt;&gt;"",J377&lt;&gt;""),IF(J377="W",I377*H377,IF(J377="L",-I377,IF(J377="P",I377*H377*0.5,""))),"")</f>
        <v/>
      </c>
      <c r="L377" s="15" t="str">
        <f aca="false">IF(AND(K377&lt;&gt;"",P376&lt;&gt;""),K377/P376,IF(K377&lt;&gt;"",K377/$D$2,""))</f>
        <v/>
      </c>
      <c r="M377" s="20"/>
      <c r="N377" s="20"/>
      <c r="O377" s="20"/>
      <c r="P377" s="16" t="str">
        <f aca="false">IF(K377&lt;&gt;"",P376+K377,IF(B377&lt;&gt;"",P376,""))</f>
        <v/>
      </c>
      <c r="Q377" s="17" t="str">
        <f aca="false">IF(P377&lt;&gt;"",MIN(0,P377-MAX($P$4:P377)),"")</f>
        <v/>
      </c>
    </row>
    <row r="378" customFormat="false" ht="15" hidden="false" customHeight="true" outlineLevel="0" collapsed="false">
      <c r="A378" s="11" t="str">
        <f aca="false">IF(B378&lt;&gt;"",COUNTA($B$4:B378),"")</f>
        <v/>
      </c>
      <c r="B378" s="12"/>
      <c r="C378" s="12"/>
      <c r="D378" s="12"/>
      <c r="E378" s="12"/>
      <c r="F378" s="12"/>
      <c r="G378" s="12"/>
      <c r="H378" s="12"/>
      <c r="I378" s="13"/>
      <c r="J378" s="12"/>
      <c r="K378" s="14" t="str">
        <f aca="false">IF(AND(I378&lt;&gt;"",H378&lt;&gt;"",J378&lt;&gt;""),IF(J378="W",I378*H378,IF(J378="L",-I378,IF(J378="P",I378*H378*0.5,""))),"")</f>
        <v/>
      </c>
      <c r="L378" s="15" t="str">
        <f aca="false">IF(AND(K378&lt;&gt;"",P377&lt;&gt;""),K378/P377,IF(K378&lt;&gt;"",K378/$D$2,""))</f>
        <v/>
      </c>
      <c r="M378" s="12"/>
      <c r="N378" s="12"/>
      <c r="O378" s="12"/>
      <c r="P378" s="16" t="str">
        <f aca="false">IF(K378&lt;&gt;"",P377+K378,IF(B378&lt;&gt;"",P377,""))</f>
        <v/>
      </c>
      <c r="Q378" s="17" t="str">
        <f aca="false">IF(P378&lt;&gt;"",MIN(0,P378-MAX($P$4:P378)),"")</f>
        <v/>
      </c>
    </row>
    <row r="379" customFormat="false" ht="15" hidden="false" customHeight="true" outlineLevel="0" collapsed="false">
      <c r="A379" s="11" t="str">
        <f aca="false">IF(B379&lt;&gt;"",COUNTA($B$4:B379),"")</f>
        <v/>
      </c>
      <c r="B379" s="20"/>
      <c r="C379" s="20"/>
      <c r="D379" s="20"/>
      <c r="E379" s="20"/>
      <c r="F379" s="20"/>
      <c r="G379" s="20"/>
      <c r="H379" s="20"/>
      <c r="I379" s="21"/>
      <c r="J379" s="20"/>
      <c r="K379" s="14" t="str">
        <f aca="false">IF(AND(I379&lt;&gt;"",H379&lt;&gt;"",J379&lt;&gt;""),IF(J379="W",I379*H379,IF(J379="L",-I379,IF(J379="P",I379*H379*0.5,""))),"")</f>
        <v/>
      </c>
      <c r="L379" s="15" t="str">
        <f aca="false">IF(AND(K379&lt;&gt;"",P378&lt;&gt;""),K379/P378,IF(K379&lt;&gt;"",K379/$D$2,""))</f>
        <v/>
      </c>
      <c r="M379" s="20"/>
      <c r="N379" s="20"/>
      <c r="O379" s="20"/>
      <c r="P379" s="16" t="str">
        <f aca="false">IF(K379&lt;&gt;"",P378+K379,IF(B379&lt;&gt;"",P378,""))</f>
        <v/>
      </c>
      <c r="Q379" s="17" t="str">
        <f aca="false">IF(P379&lt;&gt;"",MIN(0,P379-MAX($P$4:P379)),"")</f>
        <v/>
      </c>
    </row>
    <row r="380" customFormat="false" ht="15" hidden="false" customHeight="true" outlineLevel="0" collapsed="false">
      <c r="A380" s="11" t="str">
        <f aca="false">IF(B380&lt;&gt;"",COUNTA($B$4:B380),"")</f>
        <v/>
      </c>
      <c r="B380" s="12"/>
      <c r="C380" s="12"/>
      <c r="D380" s="12"/>
      <c r="E380" s="12"/>
      <c r="F380" s="12"/>
      <c r="G380" s="12"/>
      <c r="H380" s="12"/>
      <c r="I380" s="13"/>
      <c r="J380" s="12"/>
      <c r="K380" s="14" t="str">
        <f aca="false">IF(AND(I380&lt;&gt;"",H380&lt;&gt;"",J380&lt;&gt;""),IF(J380="W",I380*H380,IF(J380="L",-I380,IF(J380="P",I380*H380*0.5,""))),"")</f>
        <v/>
      </c>
      <c r="L380" s="15" t="str">
        <f aca="false">IF(AND(K380&lt;&gt;"",P379&lt;&gt;""),K380/P379,IF(K380&lt;&gt;"",K380/$D$2,""))</f>
        <v/>
      </c>
      <c r="M380" s="12"/>
      <c r="N380" s="12"/>
      <c r="O380" s="12"/>
      <c r="P380" s="16" t="str">
        <f aca="false">IF(K380&lt;&gt;"",P379+K380,IF(B380&lt;&gt;"",P379,""))</f>
        <v/>
      </c>
      <c r="Q380" s="17" t="str">
        <f aca="false">IF(P380&lt;&gt;"",MIN(0,P380-MAX($P$4:P380)),"")</f>
        <v/>
      </c>
    </row>
    <row r="381" customFormat="false" ht="15" hidden="false" customHeight="true" outlineLevel="0" collapsed="false">
      <c r="A381" s="11" t="str">
        <f aca="false">IF(B381&lt;&gt;"",COUNTA($B$4:B381),"")</f>
        <v/>
      </c>
      <c r="B381" s="20"/>
      <c r="C381" s="20"/>
      <c r="D381" s="20"/>
      <c r="E381" s="20"/>
      <c r="F381" s="20"/>
      <c r="G381" s="20"/>
      <c r="H381" s="20"/>
      <c r="I381" s="21"/>
      <c r="J381" s="20"/>
      <c r="K381" s="14" t="str">
        <f aca="false">IF(AND(I381&lt;&gt;"",H381&lt;&gt;"",J381&lt;&gt;""),IF(J381="W",I381*H381,IF(J381="L",-I381,IF(J381="P",I381*H381*0.5,""))),"")</f>
        <v/>
      </c>
      <c r="L381" s="15" t="str">
        <f aca="false">IF(AND(K381&lt;&gt;"",P380&lt;&gt;""),K381/P380,IF(K381&lt;&gt;"",K381/$D$2,""))</f>
        <v/>
      </c>
      <c r="M381" s="20"/>
      <c r="N381" s="20"/>
      <c r="O381" s="20"/>
      <c r="P381" s="16" t="str">
        <f aca="false">IF(K381&lt;&gt;"",P380+K381,IF(B381&lt;&gt;"",P380,""))</f>
        <v/>
      </c>
      <c r="Q381" s="17" t="str">
        <f aca="false">IF(P381&lt;&gt;"",MIN(0,P381-MAX($P$4:P381)),"")</f>
        <v/>
      </c>
    </row>
    <row r="382" customFormat="false" ht="15" hidden="false" customHeight="true" outlineLevel="0" collapsed="false">
      <c r="A382" s="11" t="str">
        <f aca="false">IF(B382&lt;&gt;"",COUNTA($B$4:B382),"")</f>
        <v/>
      </c>
      <c r="B382" s="12"/>
      <c r="C382" s="12"/>
      <c r="D382" s="12"/>
      <c r="E382" s="12"/>
      <c r="F382" s="12"/>
      <c r="G382" s="12"/>
      <c r="H382" s="12"/>
      <c r="I382" s="13"/>
      <c r="J382" s="12"/>
      <c r="K382" s="14" t="str">
        <f aca="false">IF(AND(I382&lt;&gt;"",H382&lt;&gt;"",J382&lt;&gt;""),IF(J382="W",I382*H382,IF(J382="L",-I382,IF(J382="P",I382*H382*0.5,""))),"")</f>
        <v/>
      </c>
      <c r="L382" s="15" t="str">
        <f aca="false">IF(AND(K382&lt;&gt;"",P381&lt;&gt;""),K382/P381,IF(K382&lt;&gt;"",K382/$D$2,""))</f>
        <v/>
      </c>
      <c r="M382" s="12"/>
      <c r="N382" s="12"/>
      <c r="O382" s="12"/>
      <c r="P382" s="16" t="str">
        <f aca="false">IF(K382&lt;&gt;"",P381+K382,IF(B382&lt;&gt;"",P381,""))</f>
        <v/>
      </c>
      <c r="Q382" s="17" t="str">
        <f aca="false">IF(P382&lt;&gt;"",MIN(0,P382-MAX($P$4:P382)),"")</f>
        <v/>
      </c>
    </row>
    <row r="383" customFormat="false" ht="15" hidden="false" customHeight="true" outlineLevel="0" collapsed="false">
      <c r="A383" s="11" t="str">
        <f aca="false">IF(B383&lt;&gt;"",COUNTA($B$4:B383),"")</f>
        <v/>
      </c>
      <c r="B383" s="20"/>
      <c r="C383" s="20"/>
      <c r="D383" s="20"/>
      <c r="E383" s="20"/>
      <c r="F383" s="20"/>
      <c r="G383" s="20"/>
      <c r="H383" s="20"/>
      <c r="I383" s="21"/>
      <c r="J383" s="20"/>
      <c r="K383" s="14" t="str">
        <f aca="false">IF(AND(I383&lt;&gt;"",H383&lt;&gt;"",J383&lt;&gt;""),IF(J383="W",I383*H383,IF(J383="L",-I383,IF(J383="P",I383*H383*0.5,""))),"")</f>
        <v/>
      </c>
      <c r="L383" s="15" t="str">
        <f aca="false">IF(AND(K383&lt;&gt;"",P382&lt;&gt;""),K383/P382,IF(K383&lt;&gt;"",K383/$D$2,""))</f>
        <v/>
      </c>
      <c r="M383" s="20"/>
      <c r="N383" s="20"/>
      <c r="O383" s="20"/>
      <c r="P383" s="16" t="str">
        <f aca="false">IF(K383&lt;&gt;"",P382+K383,IF(B383&lt;&gt;"",P382,""))</f>
        <v/>
      </c>
      <c r="Q383" s="17" t="str">
        <f aca="false">IF(P383&lt;&gt;"",MIN(0,P383-MAX($P$4:P383)),"")</f>
        <v/>
      </c>
    </row>
    <row r="384" customFormat="false" ht="15" hidden="false" customHeight="true" outlineLevel="0" collapsed="false">
      <c r="A384" s="11" t="str">
        <f aca="false">IF(B384&lt;&gt;"",COUNTA($B$4:B384),"")</f>
        <v/>
      </c>
      <c r="B384" s="12"/>
      <c r="C384" s="12"/>
      <c r="D384" s="12"/>
      <c r="E384" s="12"/>
      <c r="F384" s="12"/>
      <c r="G384" s="12"/>
      <c r="H384" s="12"/>
      <c r="I384" s="13"/>
      <c r="J384" s="12"/>
      <c r="K384" s="14" t="str">
        <f aca="false">IF(AND(I384&lt;&gt;"",H384&lt;&gt;"",J384&lt;&gt;""),IF(J384="W",I384*H384,IF(J384="L",-I384,IF(J384="P",I384*H384*0.5,""))),"")</f>
        <v/>
      </c>
      <c r="L384" s="15" t="str">
        <f aca="false">IF(AND(K384&lt;&gt;"",P383&lt;&gt;""),K384/P383,IF(K384&lt;&gt;"",K384/$D$2,""))</f>
        <v/>
      </c>
      <c r="M384" s="12"/>
      <c r="N384" s="12"/>
      <c r="O384" s="12"/>
      <c r="P384" s="16" t="str">
        <f aca="false">IF(K384&lt;&gt;"",P383+K384,IF(B384&lt;&gt;"",P383,""))</f>
        <v/>
      </c>
      <c r="Q384" s="17" t="str">
        <f aca="false">IF(P384&lt;&gt;"",MIN(0,P384-MAX($P$4:P384)),"")</f>
        <v/>
      </c>
    </row>
    <row r="385" customFormat="false" ht="15" hidden="false" customHeight="true" outlineLevel="0" collapsed="false">
      <c r="A385" s="11" t="str">
        <f aca="false">IF(B385&lt;&gt;"",COUNTA($B$4:B385),"")</f>
        <v/>
      </c>
      <c r="B385" s="20"/>
      <c r="C385" s="20"/>
      <c r="D385" s="20"/>
      <c r="E385" s="20"/>
      <c r="F385" s="20"/>
      <c r="G385" s="20"/>
      <c r="H385" s="20"/>
      <c r="I385" s="21"/>
      <c r="J385" s="20"/>
      <c r="K385" s="14" t="str">
        <f aca="false">IF(AND(I385&lt;&gt;"",H385&lt;&gt;"",J385&lt;&gt;""),IF(J385="W",I385*H385,IF(J385="L",-I385,IF(J385="P",I385*H385*0.5,""))),"")</f>
        <v/>
      </c>
      <c r="L385" s="15" t="str">
        <f aca="false">IF(AND(K385&lt;&gt;"",P384&lt;&gt;""),K385/P384,IF(K385&lt;&gt;"",K385/$D$2,""))</f>
        <v/>
      </c>
      <c r="M385" s="20"/>
      <c r="N385" s="20"/>
      <c r="O385" s="20"/>
      <c r="P385" s="16" t="str">
        <f aca="false">IF(K385&lt;&gt;"",P384+K385,IF(B385&lt;&gt;"",P384,""))</f>
        <v/>
      </c>
      <c r="Q385" s="17" t="str">
        <f aca="false">IF(P385&lt;&gt;"",MIN(0,P385-MAX($P$4:P385)),"")</f>
        <v/>
      </c>
    </row>
    <row r="386" customFormat="false" ht="15" hidden="false" customHeight="true" outlineLevel="0" collapsed="false">
      <c r="A386" s="11" t="str">
        <f aca="false">IF(B386&lt;&gt;"",COUNTA($B$4:B386),"")</f>
        <v/>
      </c>
      <c r="B386" s="12"/>
      <c r="C386" s="12"/>
      <c r="D386" s="12"/>
      <c r="E386" s="12"/>
      <c r="F386" s="12"/>
      <c r="G386" s="12"/>
      <c r="H386" s="12"/>
      <c r="I386" s="13"/>
      <c r="J386" s="12"/>
      <c r="K386" s="14" t="str">
        <f aca="false">IF(AND(I386&lt;&gt;"",H386&lt;&gt;"",J386&lt;&gt;""),IF(J386="W",I386*H386,IF(J386="L",-I386,IF(J386="P",I386*H386*0.5,""))),"")</f>
        <v/>
      </c>
      <c r="L386" s="15" t="str">
        <f aca="false">IF(AND(K386&lt;&gt;"",P385&lt;&gt;""),K386/P385,IF(K386&lt;&gt;"",K386/$D$2,""))</f>
        <v/>
      </c>
      <c r="M386" s="12"/>
      <c r="N386" s="12"/>
      <c r="O386" s="12"/>
      <c r="P386" s="16" t="str">
        <f aca="false">IF(K386&lt;&gt;"",P385+K386,IF(B386&lt;&gt;"",P385,""))</f>
        <v/>
      </c>
      <c r="Q386" s="17" t="str">
        <f aca="false">IF(P386&lt;&gt;"",MIN(0,P386-MAX($P$4:P386)),"")</f>
        <v/>
      </c>
    </row>
    <row r="387" customFormat="false" ht="15" hidden="false" customHeight="true" outlineLevel="0" collapsed="false">
      <c r="A387" s="11" t="str">
        <f aca="false">IF(B387&lt;&gt;"",COUNTA($B$4:B387),"")</f>
        <v/>
      </c>
      <c r="B387" s="20"/>
      <c r="C387" s="20"/>
      <c r="D387" s="20"/>
      <c r="E387" s="20"/>
      <c r="F387" s="20"/>
      <c r="G387" s="20"/>
      <c r="H387" s="20"/>
      <c r="I387" s="21"/>
      <c r="J387" s="20"/>
      <c r="K387" s="14" t="str">
        <f aca="false">IF(AND(I387&lt;&gt;"",H387&lt;&gt;"",J387&lt;&gt;""),IF(J387="W",I387*H387,IF(J387="L",-I387,IF(J387="P",I387*H387*0.5,""))),"")</f>
        <v/>
      </c>
      <c r="L387" s="15" t="str">
        <f aca="false">IF(AND(K387&lt;&gt;"",P386&lt;&gt;""),K387/P386,IF(K387&lt;&gt;"",K387/$D$2,""))</f>
        <v/>
      </c>
      <c r="M387" s="20"/>
      <c r="N387" s="20"/>
      <c r="O387" s="20"/>
      <c r="P387" s="16" t="str">
        <f aca="false">IF(K387&lt;&gt;"",P386+K387,IF(B387&lt;&gt;"",P386,""))</f>
        <v/>
      </c>
      <c r="Q387" s="17" t="str">
        <f aca="false">IF(P387&lt;&gt;"",MIN(0,P387-MAX($P$4:P387)),"")</f>
        <v/>
      </c>
    </row>
    <row r="388" customFormat="false" ht="15" hidden="false" customHeight="true" outlineLevel="0" collapsed="false">
      <c r="A388" s="11" t="str">
        <f aca="false">IF(B388&lt;&gt;"",COUNTA($B$4:B388),"")</f>
        <v/>
      </c>
      <c r="B388" s="12"/>
      <c r="C388" s="12"/>
      <c r="D388" s="12"/>
      <c r="E388" s="12"/>
      <c r="F388" s="12"/>
      <c r="G388" s="12"/>
      <c r="H388" s="12"/>
      <c r="I388" s="13"/>
      <c r="J388" s="12"/>
      <c r="K388" s="14" t="str">
        <f aca="false">IF(AND(I388&lt;&gt;"",H388&lt;&gt;"",J388&lt;&gt;""),IF(J388="W",I388*H388,IF(J388="L",-I388,IF(J388="P",I388*H388*0.5,""))),"")</f>
        <v/>
      </c>
      <c r="L388" s="15" t="str">
        <f aca="false">IF(AND(K388&lt;&gt;"",P387&lt;&gt;""),K388/P387,IF(K388&lt;&gt;"",K388/$D$2,""))</f>
        <v/>
      </c>
      <c r="M388" s="12"/>
      <c r="N388" s="12"/>
      <c r="O388" s="12"/>
      <c r="P388" s="16" t="str">
        <f aca="false">IF(K388&lt;&gt;"",P387+K388,IF(B388&lt;&gt;"",P387,""))</f>
        <v/>
      </c>
      <c r="Q388" s="17" t="str">
        <f aca="false">IF(P388&lt;&gt;"",MIN(0,P388-MAX($P$4:P388)),"")</f>
        <v/>
      </c>
    </row>
    <row r="389" customFormat="false" ht="15" hidden="false" customHeight="true" outlineLevel="0" collapsed="false">
      <c r="A389" s="11" t="str">
        <f aca="false">IF(B389&lt;&gt;"",COUNTA($B$4:B389),"")</f>
        <v/>
      </c>
      <c r="B389" s="20"/>
      <c r="C389" s="20"/>
      <c r="D389" s="20"/>
      <c r="E389" s="20"/>
      <c r="F389" s="20"/>
      <c r="G389" s="20"/>
      <c r="H389" s="20"/>
      <c r="I389" s="21"/>
      <c r="J389" s="20"/>
      <c r="K389" s="14" t="str">
        <f aca="false">IF(AND(I389&lt;&gt;"",H389&lt;&gt;"",J389&lt;&gt;""),IF(J389="W",I389*H389,IF(J389="L",-I389,IF(J389="P",I389*H389*0.5,""))),"")</f>
        <v/>
      </c>
      <c r="L389" s="15" t="str">
        <f aca="false">IF(AND(K389&lt;&gt;"",P388&lt;&gt;""),K389/P388,IF(K389&lt;&gt;"",K389/$D$2,""))</f>
        <v/>
      </c>
      <c r="M389" s="20"/>
      <c r="N389" s="20"/>
      <c r="O389" s="20"/>
      <c r="P389" s="16" t="str">
        <f aca="false">IF(K389&lt;&gt;"",P388+K389,IF(B389&lt;&gt;"",P388,""))</f>
        <v/>
      </c>
      <c r="Q389" s="17" t="str">
        <f aca="false">IF(P389&lt;&gt;"",MIN(0,P389-MAX($P$4:P389)),"")</f>
        <v/>
      </c>
    </row>
    <row r="390" customFormat="false" ht="15" hidden="false" customHeight="true" outlineLevel="0" collapsed="false">
      <c r="A390" s="11" t="str">
        <f aca="false">IF(B390&lt;&gt;"",COUNTA($B$4:B390),"")</f>
        <v/>
      </c>
      <c r="B390" s="12"/>
      <c r="C390" s="12"/>
      <c r="D390" s="12"/>
      <c r="E390" s="12"/>
      <c r="F390" s="12"/>
      <c r="G390" s="12"/>
      <c r="H390" s="12"/>
      <c r="I390" s="13"/>
      <c r="J390" s="12"/>
      <c r="K390" s="14" t="str">
        <f aca="false">IF(AND(I390&lt;&gt;"",H390&lt;&gt;"",J390&lt;&gt;""),IF(J390="W",I390*H390,IF(J390="L",-I390,IF(J390="P",I390*H390*0.5,""))),"")</f>
        <v/>
      </c>
      <c r="L390" s="15" t="str">
        <f aca="false">IF(AND(K390&lt;&gt;"",P389&lt;&gt;""),K390/P389,IF(K390&lt;&gt;"",K390/$D$2,""))</f>
        <v/>
      </c>
      <c r="M390" s="12"/>
      <c r="N390" s="12"/>
      <c r="O390" s="12"/>
      <c r="P390" s="16" t="str">
        <f aca="false">IF(K390&lt;&gt;"",P389+K390,IF(B390&lt;&gt;"",P389,""))</f>
        <v/>
      </c>
      <c r="Q390" s="17" t="str">
        <f aca="false">IF(P390&lt;&gt;"",MIN(0,P390-MAX($P$4:P390)),"")</f>
        <v/>
      </c>
    </row>
    <row r="391" customFormat="false" ht="15" hidden="false" customHeight="true" outlineLevel="0" collapsed="false">
      <c r="A391" s="11" t="str">
        <f aca="false">IF(B391&lt;&gt;"",COUNTA($B$4:B391),"")</f>
        <v/>
      </c>
      <c r="B391" s="20"/>
      <c r="C391" s="20"/>
      <c r="D391" s="20"/>
      <c r="E391" s="20"/>
      <c r="F391" s="20"/>
      <c r="G391" s="20"/>
      <c r="H391" s="20"/>
      <c r="I391" s="21"/>
      <c r="J391" s="20"/>
      <c r="K391" s="14" t="str">
        <f aca="false">IF(AND(I391&lt;&gt;"",H391&lt;&gt;"",J391&lt;&gt;""),IF(J391="W",I391*H391,IF(J391="L",-I391,IF(J391="P",I391*H391*0.5,""))),"")</f>
        <v/>
      </c>
      <c r="L391" s="15" t="str">
        <f aca="false">IF(AND(K391&lt;&gt;"",P390&lt;&gt;""),K391/P390,IF(K391&lt;&gt;"",K391/$D$2,""))</f>
        <v/>
      </c>
      <c r="M391" s="20"/>
      <c r="N391" s="20"/>
      <c r="O391" s="20"/>
      <c r="P391" s="16" t="str">
        <f aca="false">IF(K391&lt;&gt;"",P390+K391,IF(B391&lt;&gt;"",P390,""))</f>
        <v/>
      </c>
      <c r="Q391" s="17" t="str">
        <f aca="false">IF(P391&lt;&gt;"",MIN(0,P391-MAX($P$4:P391)),"")</f>
        <v/>
      </c>
    </row>
    <row r="392" customFormat="false" ht="15" hidden="false" customHeight="true" outlineLevel="0" collapsed="false">
      <c r="A392" s="11" t="str">
        <f aca="false">IF(B392&lt;&gt;"",COUNTA($B$4:B392),"")</f>
        <v/>
      </c>
      <c r="B392" s="12"/>
      <c r="C392" s="12"/>
      <c r="D392" s="12"/>
      <c r="E392" s="12"/>
      <c r="F392" s="12"/>
      <c r="G392" s="12"/>
      <c r="H392" s="12"/>
      <c r="I392" s="13"/>
      <c r="J392" s="12"/>
      <c r="K392" s="14" t="str">
        <f aca="false">IF(AND(I392&lt;&gt;"",H392&lt;&gt;"",J392&lt;&gt;""),IF(J392="W",I392*H392,IF(J392="L",-I392,IF(J392="P",I392*H392*0.5,""))),"")</f>
        <v/>
      </c>
      <c r="L392" s="15" t="str">
        <f aca="false">IF(AND(K392&lt;&gt;"",P391&lt;&gt;""),K392/P391,IF(K392&lt;&gt;"",K392/$D$2,""))</f>
        <v/>
      </c>
      <c r="M392" s="12"/>
      <c r="N392" s="12"/>
      <c r="O392" s="12"/>
      <c r="P392" s="16" t="str">
        <f aca="false">IF(K392&lt;&gt;"",P391+K392,IF(B392&lt;&gt;"",P391,""))</f>
        <v/>
      </c>
      <c r="Q392" s="17" t="str">
        <f aca="false">IF(P392&lt;&gt;"",MIN(0,P392-MAX($P$4:P392)),"")</f>
        <v/>
      </c>
    </row>
    <row r="393" customFormat="false" ht="15" hidden="false" customHeight="true" outlineLevel="0" collapsed="false">
      <c r="A393" s="11" t="str">
        <f aca="false">IF(B393&lt;&gt;"",COUNTA($B$4:B393),"")</f>
        <v/>
      </c>
      <c r="B393" s="20"/>
      <c r="C393" s="20"/>
      <c r="D393" s="20"/>
      <c r="E393" s="20"/>
      <c r="F393" s="20"/>
      <c r="G393" s="20"/>
      <c r="H393" s="20"/>
      <c r="I393" s="21"/>
      <c r="J393" s="20"/>
      <c r="K393" s="14" t="str">
        <f aca="false">IF(AND(I393&lt;&gt;"",H393&lt;&gt;"",J393&lt;&gt;""),IF(J393="W",I393*H393,IF(J393="L",-I393,IF(J393="P",I393*H393*0.5,""))),"")</f>
        <v/>
      </c>
      <c r="L393" s="15" t="str">
        <f aca="false">IF(AND(K393&lt;&gt;"",P392&lt;&gt;""),K393/P392,IF(K393&lt;&gt;"",K393/$D$2,""))</f>
        <v/>
      </c>
      <c r="M393" s="20"/>
      <c r="N393" s="20"/>
      <c r="O393" s="20"/>
      <c r="P393" s="16" t="str">
        <f aca="false">IF(K393&lt;&gt;"",P392+K393,IF(B393&lt;&gt;"",P392,""))</f>
        <v/>
      </c>
      <c r="Q393" s="17" t="str">
        <f aca="false">IF(P393&lt;&gt;"",MIN(0,P393-MAX($P$4:P393)),"")</f>
        <v/>
      </c>
    </row>
    <row r="394" customFormat="false" ht="15" hidden="false" customHeight="true" outlineLevel="0" collapsed="false">
      <c r="A394" s="11" t="str">
        <f aca="false">IF(B394&lt;&gt;"",COUNTA($B$4:B394),"")</f>
        <v/>
      </c>
      <c r="B394" s="12"/>
      <c r="C394" s="12"/>
      <c r="D394" s="12"/>
      <c r="E394" s="12"/>
      <c r="F394" s="12"/>
      <c r="G394" s="12"/>
      <c r="H394" s="12"/>
      <c r="I394" s="13"/>
      <c r="J394" s="12"/>
      <c r="K394" s="14" t="str">
        <f aca="false">IF(AND(I394&lt;&gt;"",H394&lt;&gt;"",J394&lt;&gt;""),IF(J394="W",I394*H394,IF(J394="L",-I394,IF(J394="P",I394*H394*0.5,""))),"")</f>
        <v/>
      </c>
      <c r="L394" s="15" t="str">
        <f aca="false">IF(AND(K394&lt;&gt;"",P393&lt;&gt;""),K394/P393,IF(K394&lt;&gt;"",K394/$D$2,""))</f>
        <v/>
      </c>
      <c r="M394" s="12"/>
      <c r="N394" s="12"/>
      <c r="O394" s="12"/>
      <c r="P394" s="16" t="str">
        <f aca="false">IF(K394&lt;&gt;"",P393+K394,IF(B394&lt;&gt;"",P393,""))</f>
        <v/>
      </c>
      <c r="Q394" s="17" t="str">
        <f aca="false">IF(P394&lt;&gt;"",MIN(0,P394-MAX($P$4:P394)),"")</f>
        <v/>
      </c>
    </row>
    <row r="395" customFormat="false" ht="15" hidden="false" customHeight="true" outlineLevel="0" collapsed="false">
      <c r="A395" s="11" t="str">
        <f aca="false">IF(B395&lt;&gt;"",COUNTA($B$4:B395),"")</f>
        <v/>
      </c>
      <c r="B395" s="20"/>
      <c r="C395" s="20"/>
      <c r="D395" s="20"/>
      <c r="E395" s="20"/>
      <c r="F395" s="20"/>
      <c r="G395" s="20"/>
      <c r="H395" s="20"/>
      <c r="I395" s="21"/>
      <c r="J395" s="20"/>
      <c r="K395" s="14" t="str">
        <f aca="false">IF(AND(I395&lt;&gt;"",H395&lt;&gt;"",J395&lt;&gt;""),IF(J395="W",I395*H395,IF(J395="L",-I395,IF(J395="P",I395*H395*0.5,""))),"")</f>
        <v/>
      </c>
      <c r="L395" s="15" t="str">
        <f aca="false">IF(AND(K395&lt;&gt;"",P394&lt;&gt;""),K395/P394,IF(K395&lt;&gt;"",K395/$D$2,""))</f>
        <v/>
      </c>
      <c r="M395" s="20"/>
      <c r="N395" s="20"/>
      <c r="O395" s="20"/>
      <c r="P395" s="16" t="str">
        <f aca="false">IF(K395&lt;&gt;"",P394+K395,IF(B395&lt;&gt;"",P394,""))</f>
        <v/>
      </c>
      <c r="Q395" s="17" t="str">
        <f aca="false">IF(P395&lt;&gt;"",MIN(0,P395-MAX($P$4:P395)),"")</f>
        <v/>
      </c>
    </row>
    <row r="396" customFormat="false" ht="15" hidden="false" customHeight="true" outlineLevel="0" collapsed="false">
      <c r="A396" s="11" t="str">
        <f aca="false">IF(B396&lt;&gt;"",COUNTA($B$4:B396),"")</f>
        <v/>
      </c>
      <c r="B396" s="12"/>
      <c r="C396" s="12"/>
      <c r="D396" s="12"/>
      <c r="E396" s="12"/>
      <c r="F396" s="12"/>
      <c r="G396" s="12"/>
      <c r="H396" s="12"/>
      <c r="I396" s="13"/>
      <c r="J396" s="12"/>
      <c r="K396" s="14" t="str">
        <f aca="false">IF(AND(I396&lt;&gt;"",H396&lt;&gt;"",J396&lt;&gt;""),IF(J396="W",I396*H396,IF(J396="L",-I396,IF(J396="P",I396*H396*0.5,""))),"")</f>
        <v/>
      </c>
      <c r="L396" s="15" t="str">
        <f aca="false">IF(AND(K396&lt;&gt;"",P395&lt;&gt;""),K396/P395,IF(K396&lt;&gt;"",K396/$D$2,""))</f>
        <v/>
      </c>
      <c r="M396" s="12"/>
      <c r="N396" s="12"/>
      <c r="O396" s="12"/>
      <c r="P396" s="16" t="str">
        <f aca="false">IF(K396&lt;&gt;"",P395+K396,IF(B396&lt;&gt;"",P395,""))</f>
        <v/>
      </c>
      <c r="Q396" s="17" t="str">
        <f aca="false">IF(P396&lt;&gt;"",MIN(0,P396-MAX($P$4:P396)),"")</f>
        <v/>
      </c>
    </row>
    <row r="397" customFormat="false" ht="15" hidden="false" customHeight="true" outlineLevel="0" collapsed="false">
      <c r="A397" s="11" t="str">
        <f aca="false">IF(B397&lt;&gt;"",COUNTA($B$4:B397),"")</f>
        <v/>
      </c>
      <c r="B397" s="20"/>
      <c r="C397" s="20"/>
      <c r="D397" s="20"/>
      <c r="E397" s="20"/>
      <c r="F397" s="20"/>
      <c r="G397" s="20"/>
      <c r="H397" s="20"/>
      <c r="I397" s="21"/>
      <c r="J397" s="20"/>
      <c r="K397" s="14" t="str">
        <f aca="false">IF(AND(I397&lt;&gt;"",H397&lt;&gt;"",J397&lt;&gt;""),IF(J397="W",I397*H397,IF(J397="L",-I397,IF(J397="P",I397*H397*0.5,""))),"")</f>
        <v/>
      </c>
      <c r="L397" s="15" t="str">
        <f aca="false">IF(AND(K397&lt;&gt;"",P396&lt;&gt;""),K397/P396,IF(K397&lt;&gt;"",K397/$D$2,""))</f>
        <v/>
      </c>
      <c r="M397" s="20"/>
      <c r="N397" s="20"/>
      <c r="O397" s="20"/>
      <c r="P397" s="16" t="str">
        <f aca="false">IF(K397&lt;&gt;"",P396+K397,IF(B397&lt;&gt;"",P396,""))</f>
        <v/>
      </c>
      <c r="Q397" s="17" t="str">
        <f aca="false">IF(P397&lt;&gt;"",MIN(0,P397-MAX($P$4:P397)),"")</f>
        <v/>
      </c>
    </row>
    <row r="398" customFormat="false" ht="15" hidden="false" customHeight="true" outlineLevel="0" collapsed="false">
      <c r="A398" s="11" t="str">
        <f aca="false">IF(B398&lt;&gt;"",COUNTA($B$4:B398),"")</f>
        <v/>
      </c>
      <c r="B398" s="12"/>
      <c r="C398" s="12"/>
      <c r="D398" s="12"/>
      <c r="E398" s="12"/>
      <c r="F398" s="12"/>
      <c r="G398" s="12"/>
      <c r="H398" s="12"/>
      <c r="I398" s="13"/>
      <c r="J398" s="12"/>
      <c r="K398" s="14" t="str">
        <f aca="false">IF(AND(I398&lt;&gt;"",H398&lt;&gt;"",J398&lt;&gt;""),IF(J398="W",I398*H398,IF(J398="L",-I398,IF(J398="P",I398*H398*0.5,""))),"")</f>
        <v/>
      </c>
      <c r="L398" s="15" t="str">
        <f aca="false">IF(AND(K398&lt;&gt;"",P397&lt;&gt;""),K398/P397,IF(K398&lt;&gt;"",K398/$D$2,""))</f>
        <v/>
      </c>
      <c r="M398" s="12"/>
      <c r="N398" s="12"/>
      <c r="O398" s="12"/>
      <c r="P398" s="16" t="str">
        <f aca="false">IF(K398&lt;&gt;"",P397+K398,IF(B398&lt;&gt;"",P397,""))</f>
        <v/>
      </c>
      <c r="Q398" s="17" t="str">
        <f aca="false">IF(P398&lt;&gt;"",MIN(0,P398-MAX($P$4:P398)),"")</f>
        <v/>
      </c>
    </row>
    <row r="399" customFormat="false" ht="15" hidden="false" customHeight="true" outlineLevel="0" collapsed="false">
      <c r="A399" s="11" t="str">
        <f aca="false">IF(B399&lt;&gt;"",COUNTA($B$4:B399),"")</f>
        <v/>
      </c>
      <c r="B399" s="20"/>
      <c r="C399" s="20"/>
      <c r="D399" s="20"/>
      <c r="E399" s="20"/>
      <c r="F399" s="20"/>
      <c r="G399" s="20"/>
      <c r="H399" s="20"/>
      <c r="I399" s="21"/>
      <c r="J399" s="20"/>
      <c r="K399" s="14" t="str">
        <f aca="false">IF(AND(I399&lt;&gt;"",H399&lt;&gt;"",J399&lt;&gt;""),IF(J399="W",I399*H399,IF(J399="L",-I399,IF(J399="P",I399*H399*0.5,""))),"")</f>
        <v/>
      </c>
      <c r="L399" s="15" t="str">
        <f aca="false">IF(AND(K399&lt;&gt;"",P398&lt;&gt;""),K399/P398,IF(K399&lt;&gt;"",K399/$D$2,""))</f>
        <v/>
      </c>
      <c r="M399" s="20"/>
      <c r="N399" s="20"/>
      <c r="O399" s="20"/>
      <c r="P399" s="16" t="str">
        <f aca="false">IF(K399&lt;&gt;"",P398+K399,IF(B399&lt;&gt;"",P398,""))</f>
        <v/>
      </c>
      <c r="Q399" s="17" t="str">
        <f aca="false">IF(P399&lt;&gt;"",MIN(0,P399-MAX($P$4:P399)),"")</f>
        <v/>
      </c>
    </row>
    <row r="400" customFormat="false" ht="15" hidden="false" customHeight="true" outlineLevel="0" collapsed="false">
      <c r="A400" s="11" t="str">
        <f aca="false">IF(B400&lt;&gt;"",COUNTA($B$4:B400),"")</f>
        <v/>
      </c>
      <c r="B400" s="12"/>
      <c r="C400" s="12"/>
      <c r="D400" s="12"/>
      <c r="E400" s="12"/>
      <c r="F400" s="12"/>
      <c r="G400" s="12"/>
      <c r="H400" s="12"/>
      <c r="I400" s="13"/>
      <c r="J400" s="12"/>
      <c r="K400" s="14" t="str">
        <f aca="false">IF(AND(I400&lt;&gt;"",H400&lt;&gt;"",J400&lt;&gt;""),IF(J400="W",I400*H400,IF(J400="L",-I400,IF(J400="P",I400*H400*0.5,""))),"")</f>
        <v/>
      </c>
      <c r="L400" s="15" t="str">
        <f aca="false">IF(AND(K400&lt;&gt;"",P399&lt;&gt;""),K400/P399,IF(K400&lt;&gt;"",K400/$D$2,""))</f>
        <v/>
      </c>
      <c r="M400" s="12"/>
      <c r="N400" s="12"/>
      <c r="O400" s="12"/>
      <c r="P400" s="16" t="str">
        <f aca="false">IF(K400&lt;&gt;"",P399+K400,IF(B400&lt;&gt;"",P399,""))</f>
        <v/>
      </c>
      <c r="Q400" s="17" t="str">
        <f aca="false">IF(P400&lt;&gt;"",MIN(0,P400-MAX($P$4:P400)),"")</f>
        <v/>
      </c>
    </row>
    <row r="401" customFormat="false" ht="15" hidden="false" customHeight="true" outlineLevel="0" collapsed="false">
      <c r="A401" s="11" t="str">
        <f aca="false">IF(B401&lt;&gt;"",COUNTA($B$4:B401),"")</f>
        <v/>
      </c>
      <c r="B401" s="20"/>
      <c r="C401" s="20"/>
      <c r="D401" s="20"/>
      <c r="E401" s="20"/>
      <c r="F401" s="20"/>
      <c r="G401" s="20"/>
      <c r="H401" s="20"/>
      <c r="I401" s="21"/>
      <c r="J401" s="20"/>
      <c r="K401" s="14" t="str">
        <f aca="false">IF(AND(I401&lt;&gt;"",H401&lt;&gt;"",J401&lt;&gt;""),IF(J401="W",I401*H401,IF(J401="L",-I401,IF(J401="P",I401*H401*0.5,""))),"")</f>
        <v/>
      </c>
      <c r="L401" s="15" t="str">
        <f aca="false">IF(AND(K401&lt;&gt;"",P400&lt;&gt;""),K401/P400,IF(K401&lt;&gt;"",K401/$D$2,""))</f>
        <v/>
      </c>
      <c r="M401" s="20"/>
      <c r="N401" s="20"/>
      <c r="O401" s="20"/>
      <c r="P401" s="16" t="str">
        <f aca="false">IF(K401&lt;&gt;"",P400+K401,IF(B401&lt;&gt;"",P400,""))</f>
        <v/>
      </c>
      <c r="Q401" s="17" t="str">
        <f aca="false">IF(P401&lt;&gt;"",MIN(0,P401-MAX($P$4:P401)),"")</f>
        <v/>
      </c>
    </row>
    <row r="402" customFormat="false" ht="15" hidden="false" customHeight="true" outlineLevel="0" collapsed="false">
      <c r="A402" s="11" t="str">
        <f aca="false">IF(B402&lt;&gt;"",COUNTA($B$4:B402),"")</f>
        <v/>
      </c>
      <c r="B402" s="12"/>
      <c r="C402" s="12"/>
      <c r="D402" s="12"/>
      <c r="E402" s="12"/>
      <c r="F402" s="12"/>
      <c r="G402" s="12"/>
      <c r="H402" s="12"/>
      <c r="I402" s="13"/>
      <c r="J402" s="12"/>
      <c r="K402" s="14" t="str">
        <f aca="false">IF(AND(I402&lt;&gt;"",H402&lt;&gt;"",J402&lt;&gt;""),IF(J402="W",I402*H402,IF(J402="L",-I402,IF(J402="P",I402*H402*0.5,""))),"")</f>
        <v/>
      </c>
      <c r="L402" s="15" t="str">
        <f aca="false">IF(AND(K402&lt;&gt;"",P401&lt;&gt;""),K402/P401,IF(K402&lt;&gt;"",K402/$D$2,""))</f>
        <v/>
      </c>
      <c r="M402" s="12"/>
      <c r="N402" s="12"/>
      <c r="O402" s="12"/>
      <c r="P402" s="16" t="str">
        <f aca="false">IF(K402&lt;&gt;"",P401+K402,IF(B402&lt;&gt;"",P401,""))</f>
        <v/>
      </c>
      <c r="Q402" s="17" t="str">
        <f aca="false">IF(P402&lt;&gt;"",MIN(0,P402-MAX($P$4:P402)),"")</f>
        <v/>
      </c>
    </row>
    <row r="403" customFormat="false" ht="15" hidden="false" customHeight="true" outlineLevel="0" collapsed="false">
      <c r="A403" s="11" t="str">
        <f aca="false">IF(B403&lt;&gt;"",COUNTA($B$4:B403),"")</f>
        <v/>
      </c>
      <c r="B403" s="20"/>
      <c r="C403" s="20"/>
      <c r="D403" s="20"/>
      <c r="E403" s="20"/>
      <c r="F403" s="20"/>
      <c r="G403" s="20"/>
      <c r="H403" s="20"/>
      <c r="I403" s="21"/>
      <c r="J403" s="20"/>
      <c r="K403" s="14" t="str">
        <f aca="false">IF(AND(I403&lt;&gt;"",H403&lt;&gt;"",J403&lt;&gt;""),IF(J403="W",I403*H403,IF(J403="L",-I403,IF(J403="P",I403*H403*0.5,""))),"")</f>
        <v/>
      </c>
      <c r="L403" s="15" t="str">
        <f aca="false">IF(AND(K403&lt;&gt;"",P402&lt;&gt;""),K403/P402,IF(K403&lt;&gt;"",K403/$D$2,""))</f>
        <v/>
      </c>
      <c r="M403" s="20"/>
      <c r="N403" s="20"/>
      <c r="O403" s="20"/>
      <c r="P403" s="16" t="str">
        <f aca="false">IF(K403&lt;&gt;"",P402+K403,IF(B403&lt;&gt;"",P402,""))</f>
        <v/>
      </c>
      <c r="Q403" s="17" t="str">
        <f aca="false">IF(P403&lt;&gt;"",MIN(0,P403-MAX($P$4:P403)),"")</f>
        <v/>
      </c>
    </row>
    <row r="404" customFormat="false" ht="15" hidden="false" customHeight="true" outlineLevel="0" collapsed="false">
      <c r="A404" s="11" t="str">
        <f aca="false">IF(B404&lt;&gt;"",COUNTA($B$4:B404),"")</f>
        <v/>
      </c>
      <c r="B404" s="12"/>
      <c r="C404" s="12"/>
      <c r="D404" s="12"/>
      <c r="E404" s="12"/>
      <c r="F404" s="12"/>
      <c r="G404" s="12"/>
      <c r="H404" s="12"/>
      <c r="I404" s="13"/>
      <c r="J404" s="12"/>
      <c r="K404" s="14" t="str">
        <f aca="false">IF(AND(I404&lt;&gt;"",H404&lt;&gt;"",J404&lt;&gt;""),IF(J404="W",I404*H404,IF(J404="L",-I404,IF(J404="P",I404*H404*0.5,""))),"")</f>
        <v/>
      </c>
      <c r="L404" s="15" t="str">
        <f aca="false">IF(AND(K404&lt;&gt;"",P403&lt;&gt;""),K404/P403,IF(K404&lt;&gt;"",K404/$D$2,""))</f>
        <v/>
      </c>
      <c r="M404" s="12"/>
      <c r="N404" s="12"/>
      <c r="O404" s="12"/>
      <c r="P404" s="16" t="str">
        <f aca="false">IF(K404&lt;&gt;"",P403+K404,IF(B404&lt;&gt;"",P403,""))</f>
        <v/>
      </c>
      <c r="Q404" s="17" t="str">
        <f aca="false">IF(P404&lt;&gt;"",MIN(0,P404-MAX($P$4:P404)),"")</f>
        <v/>
      </c>
    </row>
    <row r="405" customFormat="false" ht="15" hidden="false" customHeight="true" outlineLevel="0" collapsed="false">
      <c r="A405" s="11" t="str">
        <f aca="false">IF(B405&lt;&gt;"",COUNTA($B$4:B405),"")</f>
        <v/>
      </c>
      <c r="B405" s="20"/>
      <c r="C405" s="20"/>
      <c r="D405" s="20"/>
      <c r="E405" s="20"/>
      <c r="F405" s="20"/>
      <c r="G405" s="20"/>
      <c r="H405" s="20"/>
      <c r="I405" s="21"/>
      <c r="J405" s="20"/>
      <c r="K405" s="14" t="str">
        <f aca="false">IF(AND(I405&lt;&gt;"",H405&lt;&gt;"",J405&lt;&gt;""),IF(J405="W",I405*H405,IF(J405="L",-I405,IF(J405="P",I405*H405*0.5,""))),"")</f>
        <v/>
      </c>
      <c r="L405" s="15" t="str">
        <f aca="false">IF(AND(K405&lt;&gt;"",P404&lt;&gt;""),K405/P404,IF(K405&lt;&gt;"",K405/$D$2,""))</f>
        <v/>
      </c>
      <c r="M405" s="20"/>
      <c r="N405" s="20"/>
      <c r="O405" s="20"/>
      <c r="P405" s="16" t="str">
        <f aca="false">IF(K405&lt;&gt;"",P404+K405,IF(B405&lt;&gt;"",P404,""))</f>
        <v/>
      </c>
      <c r="Q405" s="17" t="str">
        <f aca="false">IF(P405&lt;&gt;"",MIN(0,P405-MAX($P$4:P405)),"")</f>
        <v/>
      </c>
    </row>
    <row r="406" customFormat="false" ht="15" hidden="false" customHeight="true" outlineLevel="0" collapsed="false">
      <c r="A406" s="11" t="str">
        <f aca="false">IF(B406&lt;&gt;"",COUNTA($B$4:B406),"")</f>
        <v/>
      </c>
      <c r="B406" s="12"/>
      <c r="C406" s="12"/>
      <c r="D406" s="12"/>
      <c r="E406" s="12"/>
      <c r="F406" s="12"/>
      <c r="G406" s="12"/>
      <c r="H406" s="12"/>
      <c r="I406" s="13"/>
      <c r="J406" s="12"/>
      <c r="K406" s="14" t="str">
        <f aca="false">IF(AND(I406&lt;&gt;"",H406&lt;&gt;"",J406&lt;&gt;""),IF(J406="W",I406*H406,IF(J406="L",-I406,IF(J406="P",I406*H406*0.5,""))),"")</f>
        <v/>
      </c>
      <c r="L406" s="15" t="str">
        <f aca="false">IF(AND(K406&lt;&gt;"",P405&lt;&gt;""),K406/P405,IF(K406&lt;&gt;"",K406/$D$2,""))</f>
        <v/>
      </c>
      <c r="M406" s="12"/>
      <c r="N406" s="12"/>
      <c r="O406" s="12"/>
      <c r="P406" s="16" t="str">
        <f aca="false">IF(K406&lt;&gt;"",P405+K406,IF(B406&lt;&gt;"",P405,""))</f>
        <v/>
      </c>
      <c r="Q406" s="17" t="str">
        <f aca="false">IF(P406&lt;&gt;"",MIN(0,P406-MAX($P$4:P406)),"")</f>
        <v/>
      </c>
    </row>
    <row r="407" customFormat="false" ht="15" hidden="false" customHeight="true" outlineLevel="0" collapsed="false">
      <c r="A407" s="11" t="str">
        <f aca="false">IF(B407&lt;&gt;"",COUNTA($B$4:B407),"")</f>
        <v/>
      </c>
      <c r="B407" s="20"/>
      <c r="C407" s="20"/>
      <c r="D407" s="20"/>
      <c r="E407" s="20"/>
      <c r="F407" s="20"/>
      <c r="G407" s="20"/>
      <c r="H407" s="20"/>
      <c r="I407" s="21"/>
      <c r="J407" s="20"/>
      <c r="K407" s="14" t="str">
        <f aca="false">IF(AND(I407&lt;&gt;"",H407&lt;&gt;"",J407&lt;&gt;""),IF(J407="W",I407*H407,IF(J407="L",-I407,IF(J407="P",I407*H407*0.5,""))),"")</f>
        <v/>
      </c>
      <c r="L407" s="15" t="str">
        <f aca="false">IF(AND(K407&lt;&gt;"",P406&lt;&gt;""),K407/P406,IF(K407&lt;&gt;"",K407/$D$2,""))</f>
        <v/>
      </c>
      <c r="M407" s="20"/>
      <c r="N407" s="20"/>
      <c r="O407" s="20"/>
      <c r="P407" s="16" t="str">
        <f aca="false">IF(K407&lt;&gt;"",P406+K407,IF(B407&lt;&gt;"",P406,""))</f>
        <v/>
      </c>
      <c r="Q407" s="17" t="str">
        <f aca="false">IF(P407&lt;&gt;"",MIN(0,P407-MAX($P$4:P407)),"")</f>
        <v/>
      </c>
    </row>
    <row r="408" customFormat="false" ht="15" hidden="false" customHeight="true" outlineLevel="0" collapsed="false">
      <c r="A408" s="11" t="str">
        <f aca="false">IF(B408&lt;&gt;"",COUNTA($B$4:B408),"")</f>
        <v/>
      </c>
      <c r="B408" s="12"/>
      <c r="C408" s="12"/>
      <c r="D408" s="12"/>
      <c r="E408" s="12"/>
      <c r="F408" s="12"/>
      <c r="G408" s="12"/>
      <c r="H408" s="12"/>
      <c r="I408" s="13"/>
      <c r="J408" s="12"/>
      <c r="K408" s="14" t="str">
        <f aca="false">IF(AND(I408&lt;&gt;"",H408&lt;&gt;"",J408&lt;&gt;""),IF(J408="W",I408*H408,IF(J408="L",-I408,IF(J408="P",I408*H408*0.5,""))),"")</f>
        <v/>
      </c>
      <c r="L408" s="15" t="str">
        <f aca="false">IF(AND(K408&lt;&gt;"",P407&lt;&gt;""),K408/P407,IF(K408&lt;&gt;"",K408/$D$2,""))</f>
        <v/>
      </c>
      <c r="M408" s="12"/>
      <c r="N408" s="12"/>
      <c r="O408" s="12"/>
      <c r="P408" s="16" t="str">
        <f aca="false">IF(K408&lt;&gt;"",P407+K408,IF(B408&lt;&gt;"",P407,""))</f>
        <v/>
      </c>
      <c r="Q408" s="17" t="str">
        <f aca="false">IF(P408&lt;&gt;"",MIN(0,P408-MAX($P$4:P408)),"")</f>
        <v/>
      </c>
    </row>
    <row r="409" customFormat="false" ht="15" hidden="false" customHeight="true" outlineLevel="0" collapsed="false">
      <c r="A409" s="11" t="str">
        <f aca="false">IF(B409&lt;&gt;"",COUNTA($B$4:B409),"")</f>
        <v/>
      </c>
      <c r="B409" s="20"/>
      <c r="C409" s="20"/>
      <c r="D409" s="20"/>
      <c r="E409" s="20"/>
      <c r="F409" s="20"/>
      <c r="G409" s="20"/>
      <c r="H409" s="20"/>
      <c r="I409" s="21"/>
      <c r="J409" s="20"/>
      <c r="K409" s="14" t="str">
        <f aca="false">IF(AND(I409&lt;&gt;"",H409&lt;&gt;"",J409&lt;&gt;""),IF(J409="W",I409*H409,IF(J409="L",-I409,IF(J409="P",I409*H409*0.5,""))),"")</f>
        <v/>
      </c>
      <c r="L409" s="15" t="str">
        <f aca="false">IF(AND(K409&lt;&gt;"",P408&lt;&gt;""),K409/P408,IF(K409&lt;&gt;"",K409/$D$2,""))</f>
        <v/>
      </c>
      <c r="M409" s="20"/>
      <c r="N409" s="20"/>
      <c r="O409" s="20"/>
      <c r="P409" s="16" t="str">
        <f aca="false">IF(K409&lt;&gt;"",P408+K409,IF(B409&lt;&gt;"",P408,""))</f>
        <v/>
      </c>
      <c r="Q409" s="17" t="str">
        <f aca="false">IF(P409&lt;&gt;"",MIN(0,P409-MAX($P$4:P409)),"")</f>
        <v/>
      </c>
    </row>
    <row r="410" customFormat="false" ht="15" hidden="false" customHeight="true" outlineLevel="0" collapsed="false">
      <c r="A410" s="11" t="str">
        <f aca="false">IF(B410&lt;&gt;"",COUNTA($B$4:B410),"")</f>
        <v/>
      </c>
      <c r="B410" s="12"/>
      <c r="C410" s="12"/>
      <c r="D410" s="12"/>
      <c r="E410" s="12"/>
      <c r="F410" s="12"/>
      <c r="G410" s="12"/>
      <c r="H410" s="12"/>
      <c r="I410" s="13"/>
      <c r="J410" s="12"/>
      <c r="K410" s="14" t="str">
        <f aca="false">IF(AND(I410&lt;&gt;"",H410&lt;&gt;"",J410&lt;&gt;""),IF(J410="W",I410*H410,IF(J410="L",-I410,IF(J410="P",I410*H410*0.5,""))),"")</f>
        <v/>
      </c>
      <c r="L410" s="15" t="str">
        <f aca="false">IF(AND(K410&lt;&gt;"",P409&lt;&gt;""),K410/P409,IF(K410&lt;&gt;"",K410/$D$2,""))</f>
        <v/>
      </c>
      <c r="M410" s="12"/>
      <c r="N410" s="12"/>
      <c r="O410" s="12"/>
      <c r="P410" s="16" t="str">
        <f aca="false">IF(K410&lt;&gt;"",P409+K410,IF(B410&lt;&gt;"",P409,""))</f>
        <v/>
      </c>
      <c r="Q410" s="17" t="str">
        <f aca="false">IF(P410&lt;&gt;"",MIN(0,P410-MAX($P$4:P410)),"")</f>
        <v/>
      </c>
    </row>
    <row r="411" customFormat="false" ht="15" hidden="false" customHeight="true" outlineLevel="0" collapsed="false">
      <c r="A411" s="11" t="str">
        <f aca="false">IF(B411&lt;&gt;"",COUNTA($B$4:B411),"")</f>
        <v/>
      </c>
      <c r="B411" s="20"/>
      <c r="C411" s="20"/>
      <c r="D411" s="20"/>
      <c r="E411" s="20"/>
      <c r="F411" s="20"/>
      <c r="G411" s="20"/>
      <c r="H411" s="20"/>
      <c r="I411" s="21"/>
      <c r="J411" s="20"/>
      <c r="K411" s="14" t="str">
        <f aca="false">IF(AND(I411&lt;&gt;"",H411&lt;&gt;"",J411&lt;&gt;""),IF(J411="W",I411*H411,IF(J411="L",-I411,IF(J411="P",I411*H411*0.5,""))),"")</f>
        <v/>
      </c>
      <c r="L411" s="15" t="str">
        <f aca="false">IF(AND(K411&lt;&gt;"",P410&lt;&gt;""),K411/P410,IF(K411&lt;&gt;"",K411/$D$2,""))</f>
        <v/>
      </c>
      <c r="M411" s="20"/>
      <c r="N411" s="20"/>
      <c r="O411" s="20"/>
      <c r="P411" s="16" t="str">
        <f aca="false">IF(K411&lt;&gt;"",P410+K411,IF(B411&lt;&gt;"",P410,""))</f>
        <v/>
      </c>
      <c r="Q411" s="17" t="str">
        <f aca="false">IF(P411&lt;&gt;"",MIN(0,P411-MAX($P$4:P411)),"")</f>
        <v/>
      </c>
    </row>
    <row r="412" customFormat="false" ht="15" hidden="false" customHeight="true" outlineLevel="0" collapsed="false">
      <c r="A412" s="11" t="str">
        <f aca="false">IF(B412&lt;&gt;"",COUNTA($B$4:B412),"")</f>
        <v/>
      </c>
      <c r="B412" s="12"/>
      <c r="C412" s="12"/>
      <c r="D412" s="12"/>
      <c r="E412" s="12"/>
      <c r="F412" s="12"/>
      <c r="G412" s="12"/>
      <c r="H412" s="12"/>
      <c r="I412" s="13"/>
      <c r="J412" s="12"/>
      <c r="K412" s="14" t="str">
        <f aca="false">IF(AND(I412&lt;&gt;"",H412&lt;&gt;"",J412&lt;&gt;""),IF(J412="W",I412*H412,IF(J412="L",-I412,IF(J412="P",I412*H412*0.5,""))),"")</f>
        <v/>
      </c>
      <c r="L412" s="15" t="str">
        <f aca="false">IF(AND(K412&lt;&gt;"",P411&lt;&gt;""),K412/P411,IF(K412&lt;&gt;"",K412/$D$2,""))</f>
        <v/>
      </c>
      <c r="M412" s="12"/>
      <c r="N412" s="12"/>
      <c r="O412" s="12"/>
      <c r="P412" s="16" t="str">
        <f aca="false">IF(K412&lt;&gt;"",P411+K412,IF(B412&lt;&gt;"",P411,""))</f>
        <v/>
      </c>
      <c r="Q412" s="17" t="str">
        <f aca="false">IF(P412&lt;&gt;"",MIN(0,P412-MAX($P$4:P412)),"")</f>
        <v/>
      </c>
    </row>
    <row r="413" customFormat="false" ht="15" hidden="false" customHeight="true" outlineLevel="0" collapsed="false">
      <c r="A413" s="11" t="str">
        <f aca="false">IF(B413&lt;&gt;"",COUNTA($B$4:B413),"")</f>
        <v/>
      </c>
      <c r="B413" s="20"/>
      <c r="C413" s="20"/>
      <c r="D413" s="20"/>
      <c r="E413" s="20"/>
      <c r="F413" s="20"/>
      <c r="G413" s="20"/>
      <c r="H413" s="20"/>
      <c r="I413" s="21"/>
      <c r="J413" s="20"/>
      <c r="K413" s="14" t="str">
        <f aca="false">IF(AND(I413&lt;&gt;"",H413&lt;&gt;"",J413&lt;&gt;""),IF(J413="W",I413*H413,IF(J413="L",-I413,IF(J413="P",I413*H413*0.5,""))),"")</f>
        <v/>
      </c>
      <c r="L413" s="15" t="str">
        <f aca="false">IF(AND(K413&lt;&gt;"",P412&lt;&gt;""),K413/P412,IF(K413&lt;&gt;"",K413/$D$2,""))</f>
        <v/>
      </c>
      <c r="M413" s="20"/>
      <c r="N413" s="20"/>
      <c r="O413" s="20"/>
      <c r="P413" s="16" t="str">
        <f aca="false">IF(K413&lt;&gt;"",P412+K413,IF(B413&lt;&gt;"",P412,""))</f>
        <v/>
      </c>
      <c r="Q413" s="17" t="str">
        <f aca="false">IF(P413&lt;&gt;"",MIN(0,P413-MAX($P$4:P413)),"")</f>
        <v/>
      </c>
    </row>
    <row r="414" customFormat="false" ht="15" hidden="false" customHeight="true" outlineLevel="0" collapsed="false">
      <c r="A414" s="11" t="str">
        <f aca="false">IF(B414&lt;&gt;"",COUNTA($B$4:B414),"")</f>
        <v/>
      </c>
      <c r="B414" s="12"/>
      <c r="C414" s="12"/>
      <c r="D414" s="12"/>
      <c r="E414" s="12"/>
      <c r="F414" s="12"/>
      <c r="G414" s="12"/>
      <c r="H414" s="12"/>
      <c r="I414" s="13"/>
      <c r="J414" s="12"/>
      <c r="K414" s="14" t="str">
        <f aca="false">IF(AND(I414&lt;&gt;"",H414&lt;&gt;"",J414&lt;&gt;""),IF(J414="W",I414*H414,IF(J414="L",-I414,IF(J414="P",I414*H414*0.5,""))),"")</f>
        <v/>
      </c>
      <c r="L414" s="15" t="str">
        <f aca="false">IF(AND(K414&lt;&gt;"",P413&lt;&gt;""),K414/P413,IF(K414&lt;&gt;"",K414/$D$2,""))</f>
        <v/>
      </c>
      <c r="M414" s="12"/>
      <c r="N414" s="12"/>
      <c r="O414" s="12"/>
      <c r="P414" s="16" t="str">
        <f aca="false">IF(K414&lt;&gt;"",P413+K414,IF(B414&lt;&gt;"",P413,""))</f>
        <v/>
      </c>
      <c r="Q414" s="17" t="str">
        <f aca="false">IF(P414&lt;&gt;"",MIN(0,P414-MAX($P$4:P414)),"")</f>
        <v/>
      </c>
    </row>
    <row r="415" customFormat="false" ht="15" hidden="false" customHeight="true" outlineLevel="0" collapsed="false">
      <c r="A415" s="11" t="str">
        <f aca="false">IF(B415&lt;&gt;"",COUNTA($B$4:B415),"")</f>
        <v/>
      </c>
      <c r="B415" s="20"/>
      <c r="C415" s="20"/>
      <c r="D415" s="20"/>
      <c r="E415" s="20"/>
      <c r="F415" s="20"/>
      <c r="G415" s="20"/>
      <c r="H415" s="20"/>
      <c r="I415" s="21"/>
      <c r="J415" s="20"/>
      <c r="K415" s="14" t="str">
        <f aca="false">IF(AND(I415&lt;&gt;"",H415&lt;&gt;"",J415&lt;&gt;""),IF(J415="W",I415*H415,IF(J415="L",-I415,IF(J415="P",I415*H415*0.5,""))),"")</f>
        <v/>
      </c>
      <c r="L415" s="15" t="str">
        <f aca="false">IF(AND(K415&lt;&gt;"",P414&lt;&gt;""),K415/P414,IF(K415&lt;&gt;"",K415/$D$2,""))</f>
        <v/>
      </c>
      <c r="M415" s="20"/>
      <c r="N415" s="20"/>
      <c r="O415" s="20"/>
      <c r="P415" s="16" t="str">
        <f aca="false">IF(K415&lt;&gt;"",P414+K415,IF(B415&lt;&gt;"",P414,""))</f>
        <v/>
      </c>
      <c r="Q415" s="17" t="str">
        <f aca="false">IF(P415&lt;&gt;"",MIN(0,P415-MAX($P$4:P415)),"")</f>
        <v/>
      </c>
    </row>
    <row r="416" customFormat="false" ht="15" hidden="false" customHeight="true" outlineLevel="0" collapsed="false">
      <c r="A416" s="11" t="str">
        <f aca="false">IF(B416&lt;&gt;"",COUNTA($B$4:B416),"")</f>
        <v/>
      </c>
      <c r="B416" s="12"/>
      <c r="C416" s="12"/>
      <c r="D416" s="12"/>
      <c r="E416" s="12"/>
      <c r="F416" s="12"/>
      <c r="G416" s="12"/>
      <c r="H416" s="12"/>
      <c r="I416" s="13"/>
      <c r="J416" s="12"/>
      <c r="K416" s="14" t="str">
        <f aca="false">IF(AND(I416&lt;&gt;"",H416&lt;&gt;"",J416&lt;&gt;""),IF(J416="W",I416*H416,IF(J416="L",-I416,IF(J416="P",I416*H416*0.5,""))),"")</f>
        <v/>
      </c>
      <c r="L416" s="15" t="str">
        <f aca="false">IF(AND(K416&lt;&gt;"",P415&lt;&gt;""),K416/P415,IF(K416&lt;&gt;"",K416/$D$2,""))</f>
        <v/>
      </c>
      <c r="M416" s="12"/>
      <c r="N416" s="12"/>
      <c r="O416" s="12"/>
      <c r="P416" s="16" t="str">
        <f aca="false">IF(K416&lt;&gt;"",P415+K416,IF(B416&lt;&gt;"",P415,""))</f>
        <v/>
      </c>
      <c r="Q416" s="17" t="str">
        <f aca="false">IF(P416&lt;&gt;"",MIN(0,P416-MAX($P$4:P416)),"")</f>
        <v/>
      </c>
    </row>
    <row r="417" customFormat="false" ht="15" hidden="false" customHeight="true" outlineLevel="0" collapsed="false">
      <c r="A417" s="11" t="str">
        <f aca="false">IF(B417&lt;&gt;"",COUNTA($B$4:B417),"")</f>
        <v/>
      </c>
      <c r="B417" s="20"/>
      <c r="C417" s="20"/>
      <c r="D417" s="20"/>
      <c r="E417" s="20"/>
      <c r="F417" s="20"/>
      <c r="G417" s="20"/>
      <c r="H417" s="20"/>
      <c r="I417" s="21"/>
      <c r="J417" s="20"/>
      <c r="K417" s="14" t="str">
        <f aca="false">IF(AND(I417&lt;&gt;"",H417&lt;&gt;"",J417&lt;&gt;""),IF(J417="W",I417*H417,IF(J417="L",-I417,IF(J417="P",I417*H417*0.5,""))),"")</f>
        <v/>
      </c>
      <c r="L417" s="15" t="str">
        <f aca="false">IF(AND(K417&lt;&gt;"",P416&lt;&gt;""),K417/P416,IF(K417&lt;&gt;"",K417/$D$2,""))</f>
        <v/>
      </c>
      <c r="M417" s="20"/>
      <c r="N417" s="20"/>
      <c r="O417" s="20"/>
      <c r="P417" s="16" t="str">
        <f aca="false">IF(K417&lt;&gt;"",P416+K417,IF(B417&lt;&gt;"",P416,""))</f>
        <v/>
      </c>
      <c r="Q417" s="17" t="str">
        <f aca="false">IF(P417&lt;&gt;"",MIN(0,P417-MAX($P$4:P417)),"")</f>
        <v/>
      </c>
    </row>
    <row r="418" customFormat="false" ht="15" hidden="false" customHeight="true" outlineLevel="0" collapsed="false">
      <c r="A418" s="11" t="str">
        <f aca="false">IF(B418&lt;&gt;"",COUNTA($B$4:B418),"")</f>
        <v/>
      </c>
      <c r="B418" s="12"/>
      <c r="C418" s="12"/>
      <c r="D418" s="12"/>
      <c r="E418" s="12"/>
      <c r="F418" s="12"/>
      <c r="G418" s="12"/>
      <c r="H418" s="12"/>
      <c r="I418" s="13"/>
      <c r="J418" s="12"/>
      <c r="K418" s="14" t="str">
        <f aca="false">IF(AND(I418&lt;&gt;"",H418&lt;&gt;"",J418&lt;&gt;""),IF(J418="W",I418*H418,IF(J418="L",-I418,IF(J418="P",I418*H418*0.5,""))),"")</f>
        <v/>
      </c>
      <c r="L418" s="15" t="str">
        <f aca="false">IF(AND(K418&lt;&gt;"",P417&lt;&gt;""),K418/P417,IF(K418&lt;&gt;"",K418/$D$2,""))</f>
        <v/>
      </c>
      <c r="M418" s="12"/>
      <c r="N418" s="12"/>
      <c r="O418" s="12"/>
      <c r="P418" s="16" t="str">
        <f aca="false">IF(K418&lt;&gt;"",P417+K418,IF(B418&lt;&gt;"",P417,""))</f>
        <v/>
      </c>
      <c r="Q418" s="17" t="str">
        <f aca="false">IF(P418&lt;&gt;"",MIN(0,P418-MAX($P$4:P418)),"")</f>
        <v/>
      </c>
    </row>
    <row r="419" customFormat="false" ht="15" hidden="false" customHeight="true" outlineLevel="0" collapsed="false">
      <c r="A419" s="11" t="str">
        <f aca="false">IF(B419&lt;&gt;"",COUNTA($B$4:B419),"")</f>
        <v/>
      </c>
      <c r="B419" s="20"/>
      <c r="C419" s="20"/>
      <c r="D419" s="20"/>
      <c r="E419" s="20"/>
      <c r="F419" s="20"/>
      <c r="G419" s="20"/>
      <c r="H419" s="20"/>
      <c r="I419" s="21"/>
      <c r="J419" s="20"/>
      <c r="K419" s="14" t="str">
        <f aca="false">IF(AND(I419&lt;&gt;"",H419&lt;&gt;"",J419&lt;&gt;""),IF(J419="W",I419*H419,IF(J419="L",-I419,IF(J419="P",I419*H419*0.5,""))),"")</f>
        <v/>
      </c>
      <c r="L419" s="15" t="str">
        <f aca="false">IF(AND(K419&lt;&gt;"",P418&lt;&gt;""),K419/P418,IF(K419&lt;&gt;"",K419/$D$2,""))</f>
        <v/>
      </c>
      <c r="M419" s="20"/>
      <c r="N419" s="20"/>
      <c r="O419" s="20"/>
      <c r="P419" s="16" t="str">
        <f aca="false">IF(K419&lt;&gt;"",P418+K419,IF(B419&lt;&gt;"",P418,""))</f>
        <v/>
      </c>
      <c r="Q419" s="17" t="str">
        <f aca="false">IF(P419&lt;&gt;"",MIN(0,P419-MAX($P$4:P419)),"")</f>
        <v/>
      </c>
    </row>
    <row r="420" customFormat="false" ht="15" hidden="false" customHeight="true" outlineLevel="0" collapsed="false">
      <c r="A420" s="11" t="str">
        <f aca="false">IF(B420&lt;&gt;"",COUNTA($B$4:B420),"")</f>
        <v/>
      </c>
      <c r="B420" s="12"/>
      <c r="C420" s="12"/>
      <c r="D420" s="12"/>
      <c r="E420" s="12"/>
      <c r="F420" s="12"/>
      <c r="G420" s="12"/>
      <c r="H420" s="12"/>
      <c r="I420" s="13"/>
      <c r="J420" s="12"/>
      <c r="K420" s="14" t="str">
        <f aca="false">IF(AND(I420&lt;&gt;"",H420&lt;&gt;"",J420&lt;&gt;""),IF(J420="W",I420*H420,IF(J420="L",-I420,IF(J420="P",I420*H420*0.5,""))),"")</f>
        <v/>
      </c>
      <c r="L420" s="15" t="str">
        <f aca="false">IF(AND(K420&lt;&gt;"",P419&lt;&gt;""),K420/P419,IF(K420&lt;&gt;"",K420/$D$2,""))</f>
        <v/>
      </c>
      <c r="M420" s="12"/>
      <c r="N420" s="12"/>
      <c r="O420" s="12"/>
      <c r="P420" s="16" t="str">
        <f aca="false">IF(K420&lt;&gt;"",P419+K420,IF(B420&lt;&gt;"",P419,""))</f>
        <v/>
      </c>
      <c r="Q420" s="17" t="str">
        <f aca="false">IF(P420&lt;&gt;"",MIN(0,P420-MAX($P$4:P420)),"")</f>
        <v/>
      </c>
    </row>
    <row r="421" customFormat="false" ht="15" hidden="false" customHeight="true" outlineLevel="0" collapsed="false">
      <c r="A421" s="11" t="str">
        <f aca="false">IF(B421&lt;&gt;"",COUNTA($B$4:B421),"")</f>
        <v/>
      </c>
      <c r="B421" s="20"/>
      <c r="C421" s="20"/>
      <c r="D421" s="20"/>
      <c r="E421" s="20"/>
      <c r="F421" s="20"/>
      <c r="G421" s="20"/>
      <c r="H421" s="20"/>
      <c r="I421" s="21"/>
      <c r="J421" s="20"/>
      <c r="K421" s="14" t="str">
        <f aca="false">IF(AND(I421&lt;&gt;"",H421&lt;&gt;"",J421&lt;&gt;""),IF(J421="W",I421*H421,IF(J421="L",-I421,IF(J421="P",I421*H421*0.5,""))),"")</f>
        <v/>
      </c>
      <c r="L421" s="15" t="str">
        <f aca="false">IF(AND(K421&lt;&gt;"",P420&lt;&gt;""),K421/P420,IF(K421&lt;&gt;"",K421/$D$2,""))</f>
        <v/>
      </c>
      <c r="M421" s="20"/>
      <c r="N421" s="20"/>
      <c r="O421" s="20"/>
      <c r="P421" s="16" t="str">
        <f aca="false">IF(K421&lt;&gt;"",P420+K421,IF(B421&lt;&gt;"",P420,""))</f>
        <v/>
      </c>
      <c r="Q421" s="17" t="str">
        <f aca="false">IF(P421&lt;&gt;"",MIN(0,P421-MAX($P$4:P421)),"")</f>
        <v/>
      </c>
    </row>
    <row r="422" customFormat="false" ht="15" hidden="false" customHeight="true" outlineLevel="0" collapsed="false">
      <c r="A422" s="11" t="str">
        <f aca="false">IF(B422&lt;&gt;"",COUNTA($B$4:B422),"")</f>
        <v/>
      </c>
      <c r="B422" s="12"/>
      <c r="C422" s="12"/>
      <c r="D422" s="12"/>
      <c r="E422" s="12"/>
      <c r="F422" s="12"/>
      <c r="G422" s="12"/>
      <c r="H422" s="12"/>
      <c r="I422" s="13"/>
      <c r="J422" s="12"/>
      <c r="K422" s="14" t="str">
        <f aca="false">IF(AND(I422&lt;&gt;"",H422&lt;&gt;"",J422&lt;&gt;""),IF(J422="W",I422*H422,IF(J422="L",-I422,IF(J422="P",I422*H422*0.5,""))),"")</f>
        <v/>
      </c>
      <c r="L422" s="15" t="str">
        <f aca="false">IF(AND(K422&lt;&gt;"",P421&lt;&gt;""),K422/P421,IF(K422&lt;&gt;"",K422/$D$2,""))</f>
        <v/>
      </c>
      <c r="M422" s="12"/>
      <c r="N422" s="12"/>
      <c r="O422" s="12"/>
      <c r="P422" s="16" t="str">
        <f aca="false">IF(K422&lt;&gt;"",P421+K422,IF(B422&lt;&gt;"",P421,""))</f>
        <v/>
      </c>
      <c r="Q422" s="17" t="str">
        <f aca="false">IF(P422&lt;&gt;"",MIN(0,P422-MAX($P$4:P422)),"")</f>
        <v/>
      </c>
    </row>
    <row r="423" customFormat="false" ht="15" hidden="false" customHeight="true" outlineLevel="0" collapsed="false">
      <c r="A423" s="11" t="str">
        <f aca="false">IF(B423&lt;&gt;"",COUNTA($B$4:B423),"")</f>
        <v/>
      </c>
      <c r="B423" s="20"/>
      <c r="C423" s="20"/>
      <c r="D423" s="20"/>
      <c r="E423" s="20"/>
      <c r="F423" s="20"/>
      <c r="G423" s="20"/>
      <c r="H423" s="20"/>
      <c r="I423" s="21"/>
      <c r="J423" s="20"/>
      <c r="K423" s="14" t="str">
        <f aca="false">IF(AND(I423&lt;&gt;"",H423&lt;&gt;"",J423&lt;&gt;""),IF(J423="W",I423*H423,IF(J423="L",-I423,IF(J423="P",I423*H423*0.5,""))),"")</f>
        <v/>
      </c>
      <c r="L423" s="15" t="str">
        <f aca="false">IF(AND(K423&lt;&gt;"",P422&lt;&gt;""),K423/P422,IF(K423&lt;&gt;"",K423/$D$2,""))</f>
        <v/>
      </c>
      <c r="M423" s="20"/>
      <c r="N423" s="20"/>
      <c r="O423" s="20"/>
      <c r="P423" s="16" t="str">
        <f aca="false">IF(K423&lt;&gt;"",P422+K423,IF(B423&lt;&gt;"",P422,""))</f>
        <v/>
      </c>
      <c r="Q423" s="17" t="str">
        <f aca="false">IF(P423&lt;&gt;"",MIN(0,P423-MAX($P$4:P423)),"")</f>
        <v/>
      </c>
    </row>
    <row r="424" customFormat="false" ht="15" hidden="false" customHeight="true" outlineLevel="0" collapsed="false">
      <c r="A424" s="11" t="str">
        <f aca="false">IF(B424&lt;&gt;"",COUNTA($B$4:B424),"")</f>
        <v/>
      </c>
      <c r="B424" s="12"/>
      <c r="C424" s="12"/>
      <c r="D424" s="12"/>
      <c r="E424" s="12"/>
      <c r="F424" s="12"/>
      <c r="G424" s="12"/>
      <c r="H424" s="12"/>
      <c r="I424" s="13"/>
      <c r="J424" s="12"/>
      <c r="K424" s="14" t="str">
        <f aca="false">IF(AND(I424&lt;&gt;"",H424&lt;&gt;"",J424&lt;&gt;""),IF(J424="W",I424*H424,IF(J424="L",-I424,IF(J424="P",I424*H424*0.5,""))),"")</f>
        <v/>
      </c>
      <c r="L424" s="15" t="str">
        <f aca="false">IF(AND(K424&lt;&gt;"",P423&lt;&gt;""),K424/P423,IF(K424&lt;&gt;"",K424/$D$2,""))</f>
        <v/>
      </c>
      <c r="M424" s="12"/>
      <c r="N424" s="12"/>
      <c r="O424" s="12"/>
      <c r="P424" s="16" t="str">
        <f aca="false">IF(K424&lt;&gt;"",P423+K424,IF(B424&lt;&gt;"",P423,""))</f>
        <v/>
      </c>
      <c r="Q424" s="17" t="str">
        <f aca="false">IF(P424&lt;&gt;"",MIN(0,P424-MAX($P$4:P424)),"")</f>
        <v/>
      </c>
    </row>
    <row r="425" customFormat="false" ht="15" hidden="false" customHeight="true" outlineLevel="0" collapsed="false">
      <c r="A425" s="11" t="str">
        <f aca="false">IF(B425&lt;&gt;"",COUNTA($B$4:B425),"")</f>
        <v/>
      </c>
      <c r="B425" s="20"/>
      <c r="C425" s="20"/>
      <c r="D425" s="20"/>
      <c r="E425" s="20"/>
      <c r="F425" s="20"/>
      <c r="G425" s="20"/>
      <c r="H425" s="20"/>
      <c r="I425" s="21"/>
      <c r="J425" s="20"/>
      <c r="K425" s="14" t="str">
        <f aca="false">IF(AND(I425&lt;&gt;"",H425&lt;&gt;"",J425&lt;&gt;""),IF(J425="W",I425*H425,IF(J425="L",-I425,IF(J425="P",I425*H425*0.5,""))),"")</f>
        <v/>
      </c>
      <c r="L425" s="15" t="str">
        <f aca="false">IF(AND(K425&lt;&gt;"",P424&lt;&gt;""),K425/P424,IF(K425&lt;&gt;"",K425/$D$2,""))</f>
        <v/>
      </c>
      <c r="M425" s="20"/>
      <c r="N425" s="20"/>
      <c r="O425" s="20"/>
      <c r="P425" s="16" t="str">
        <f aca="false">IF(K425&lt;&gt;"",P424+K425,IF(B425&lt;&gt;"",P424,""))</f>
        <v/>
      </c>
      <c r="Q425" s="17" t="str">
        <f aca="false">IF(P425&lt;&gt;"",MIN(0,P425-MAX($P$4:P425)),"")</f>
        <v/>
      </c>
    </row>
    <row r="426" customFormat="false" ht="15" hidden="false" customHeight="true" outlineLevel="0" collapsed="false">
      <c r="A426" s="11" t="str">
        <f aca="false">IF(B426&lt;&gt;"",COUNTA($B$4:B426),"")</f>
        <v/>
      </c>
      <c r="B426" s="12"/>
      <c r="C426" s="12"/>
      <c r="D426" s="12"/>
      <c r="E426" s="12"/>
      <c r="F426" s="12"/>
      <c r="G426" s="12"/>
      <c r="H426" s="12"/>
      <c r="I426" s="13"/>
      <c r="J426" s="12"/>
      <c r="K426" s="14" t="str">
        <f aca="false">IF(AND(I426&lt;&gt;"",H426&lt;&gt;"",J426&lt;&gt;""),IF(J426="W",I426*H426,IF(J426="L",-I426,IF(J426="P",I426*H426*0.5,""))),"")</f>
        <v/>
      </c>
      <c r="L426" s="15" t="str">
        <f aca="false">IF(AND(K426&lt;&gt;"",P425&lt;&gt;""),K426/P425,IF(K426&lt;&gt;"",K426/$D$2,""))</f>
        <v/>
      </c>
      <c r="M426" s="12"/>
      <c r="N426" s="12"/>
      <c r="O426" s="12"/>
      <c r="P426" s="16" t="str">
        <f aca="false">IF(K426&lt;&gt;"",P425+K426,IF(B426&lt;&gt;"",P425,""))</f>
        <v/>
      </c>
      <c r="Q426" s="17" t="str">
        <f aca="false">IF(P426&lt;&gt;"",MIN(0,P426-MAX($P$4:P426)),"")</f>
        <v/>
      </c>
    </row>
    <row r="427" customFormat="false" ht="15" hidden="false" customHeight="true" outlineLevel="0" collapsed="false">
      <c r="A427" s="11" t="str">
        <f aca="false">IF(B427&lt;&gt;"",COUNTA($B$4:B427),"")</f>
        <v/>
      </c>
      <c r="B427" s="20"/>
      <c r="C427" s="20"/>
      <c r="D427" s="20"/>
      <c r="E427" s="20"/>
      <c r="F427" s="20"/>
      <c r="G427" s="20"/>
      <c r="H427" s="20"/>
      <c r="I427" s="21"/>
      <c r="J427" s="20"/>
      <c r="K427" s="14" t="str">
        <f aca="false">IF(AND(I427&lt;&gt;"",H427&lt;&gt;"",J427&lt;&gt;""),IF(J427="W",I427*H427,IF(J427="L",-I427,IF(J427="P",I427*H427*0.5,""))),"")</f>
        <v/>
      </c>
      <c r="L427" s="15" t="str">
        <f aca="false">IF(AND(K427&lt;&gt;"",P426&lt;&gt;""),K427/P426,IF(K427&lt;&gt;"",K427/$D$2,""))</f>
        <v/>
      </c>
      <c r="M427" s="20"/>
      <c r="N427" s="20"/>
      <c r="O427" s="20"/>
      <c r="P427" s="16" t="str">
        <f aca="false">IF(K427&lt;&gt;"",P426+K427,IF(B427&lt;&gt;"",P426,""))</f>
        <v/>
      </c>
      <c r="Q427" s="17" t="str">
        <f aca="false">IF(P427&lt;&gt;"",MIN(0,P427-MAX($P$4:P427)),"")</f>
        <v/>
      </c>
    </row>
    <row r="428" customFormat="false" ht="15" hidden="false" customHeight="true" outlineLevel="0" collapsed="false">
      <c r="A428" s="11" t="str">
        <f aca="false">IF(B428&lt;&gt;"",COUNTA($B$4:B428),"")</f>
        <v/>
      </c>
      <c r="B428" s="12"/>
      <c r="C428" s="12"/>
      <c r="D428" s="12"/>
      <c r="E428" s="12"/>
      <c r="F428" s="12"/>
      <c r="G428" s="12"/>
      <c r="H428" s="12"/>
      <c r="I428" s="13"/>
      <c r="J428" s="12"/>
      <c r="K428" s="14" t="str">
        <f aca="false">IF(AND(I428&lt;&gt;"",H428&lt;&gt;"",J428&lt;&gt;""),IF(J428="W",I428*H428,IF(J428="L",-I428,IF(J428="P",I428*H428*0.5,""))),"")</f>
        <v/>
      </c>
      <c r="L428" s="15" t="str">
        <f aca="false">IF(AND(K428&lt;&gt;"",P427&lt;&gt;""),K428/P427,IF(K428&lt;&gt;"",K428/$D$2,""))</f>
        <v/>
      </c>
      <c r="M428" s="12"/>
      <c r="N428" s="12"/>
      <c r="O428" s="12"/>
      <c r="P428" s="16" t="str">
        <f aca="false">IF(K428&lt;&gt;"",P427+K428,IF(B428&lt;&gt;"",P427,""))</f>
        <v/>
      </c>
      <c r="Q428" s="17" t="str">
        <f aca="false">IF(P428&lt;&gt;"",MIN(0,P428-MAX($P$4:P428)),"")</f>
        <v/>
      </c>
    </row>
    <row r="429" customFormat="false" ht="15" hidden="false" customHeight="true" outlineLevel="0" collapsed="false">
      <c r="A429" s="11" t="str">
        <f aca="false">IF(B429&lt;&gt;"",COUNTA($B$4:B429),"")</f>
        <v/>
      </c>
      <c r="B429" s="20"/>
      <c r="C429" s="20"/>
      <c r="D429" s="20"/>
      <c r="E429" s="20"/>
      <c r="F429" s="20"/>
      <c r="G429" s="20"/>
      <c r="H429" s="20"/>
      <c r="I429" s="21"/>
      <c r="J429" s="20"/>
      <c r="K429" s="14" t="str">
        <f aca="false">IF(AND(I429&lt;&gt;"",H429&lt;&gt;"",J429&lt;&gt;""),IF(J429="W",I429*H429,IF(J429="L",-I429,IF(J429="P",I429*H429*0.5,""))),"")</f>
        <v/>
      </c>
      <c r="L429" s="15" t="str">
        <f aca="false">IF(AND(K429&lt;&gt;"",P428&lt;&gt;""),K429/P428,IF(K429&lt;&gt;"",K429/$D$2,""))</f>
        <v/>
      </c>
      <c r="M429" s="20"/>
      <c r="N429" s="20"/>
      <c r="O429" s="20"/>
      <c r="P429" s="16" t="str">
        <f aca="false">IF(K429&lt;&gt;"",P428+K429,IF(B429&lt;&gt;"",P428,""))</f>
        <v/>
      </c>
      <c r="Q429" s="17" t="str">
        <f aca="false">IF(P429&lt;&gt;"",MIN(0,P429-MAX($P$4:P429)),"")</f>
        <v/>
      </c>
    </row>
    <row r="430" customFormat="false" ht="15" hidden="false" customHeight="true" outlineLevel="0" collapsed="false">
      <c r="A430" s="11" t="str">
        <f aca="false">IF(B430&lt;&gt;"",COUNTA($B$4:B430),"")</f>
        <v/>
      </c>
      <c r="B430" s="12"/>
      <c r="C430" s="12"/>
      <c r="D430" s="12"/>
      <c r="E430" s="12"/>
      <c r="F430" s="12"/>
      <c r="G430" s="12"/>
      <c r="H430" s="12"/>
      <c r="I430" s="13"/>
      <c r="J430" s="12"/>
      <c r="K430" s="14" t="str">
        <f aca="false">IF(AND(I430&lt;&gt;"",H430&lt;&gt;"",J430&lt;&gt;""),IF(J430="W",I430*H430,IF(J430="L",-I430,IF(J430="P",I430*H430*0.5,""))),"")</f>
        <v/>
      </c>
      <c r="L430" s="15" t="str">
        <f aca="false">IF(AND(K430&lt;&gt;"",P429&lt;&gt;""),K430/P429,IF(K430&lt;&gt;"",K430/$D$2,""))</f>
        <v/>
      </c>
      <c r="M430" s="12"/>
      <c r="N430" s="12"/>
      <c r="O430" s="12"/>
      <c r="P430" s="16" t="str">
        <f aca="false">IF(K430&lt;&gt;"",P429+K430,IF(B430&lt;&gt;"",P429,""))</f>
        <v/>
      </c>
      <c r="Q430" s="17" t="str">
        <f aca="false">IF(P430&lt;&gt;"",MIN(0,P430-MAX($P$4:P430)),"")</f>
        <v/>
      </c>
    </row>
    <row r="431" customFormat="false" ht="15" hidden="false" customHeight="true" outlineLevel="0" collapsed="false">
      <c r="A431" s="11" t="str">
        <f aca="false">IF(B431&lt;&gt;"",COUNTA($B$4:B431),"")</f>
        <v/>
      </c>
      <c r="B431" s="20"/>
      <c r="C431" s="20"/>
      <c r="D431" s="20"/>
      <c r="E431" s="20"/>
      <c r="F431" s="20"/>
      <c r="G431" s="20"/>
      <c r="H431" s="20"/>
      <c r="I431" s="21"/>
      <c r="J431" s="20"/>
      <c r="K431" s="14" t="str">
        <f aca="false">IF(AND(I431&lt;&gt;"",H431&lt;&gt;"",J431&lt;&gt;""),IF(J431="W",I431*H431,IF(J431="L",-I431,IF(J431="P",I431*H431*0.5,""))),"")</f>
        <v/>
      </c>
      <c r="L431" s="15" t="str">
        <f aca="false">IF(AND(K431&lt;&gt;"",P430&lt;&gt;""),K431/P430,IF(K431&lt;&gt;"",K431/$D$2,""))</f>
        <v/>
      </c>
      <c r="M431" s="20"/>
      <c r="N431" s="20"/>
      <c r="O431" s="20"/>
      <c r="P431" s="16" t="str">
        <f aca="false">IF(K431&lt;&gt;"",P430+K431,IF(B431&lt;&gt;"",P430,""))</f>
        <v/>
      </c>
      <c r="Q431" s="17" t="str">
        <f aca="false">IF(P431&lt;&gt;"",MIN(0,P431-MAX($P$4:P431)),"")</f>
        <v/>
      </c>
    </row>
    <row r="432" customFormat="false" ht="15" hidden="false" customHeight="true" outlineLevel="0" collapsed="false">
      <c r="A432" s="11" t="str">
        <f aca="false">IF(B432&lt;&gt;"",COUNTA($B$4:B432),"")</f>
        <v/>
      </c>
      <c r="B432" s="12"/>
      <c r="C432" s="12"/>
      <c r="D432" s="12"/>
      <c r="E432" s="12"/>
      <c r="F432" s="12"/>
      <c r="G432" s="12"/>
      <c r="H432" s="12"/>
      <c r="I432" s="13"/>
      <c r="J432" s="12"/>
      <c r="K432" s="14" t="str">
        <f aca="false">IF(AND(I432&lt;&gt;"",H432&lt;&gt;"",J432&lt;&gt;""),IF(J432="W",I432*H432,IF(J432="L",-I432,IF(J432="P",I432*H432*0.5,""))),"")</f>
        <v/>
      </c>
      <c r="L432" s="15" t="str">
        <f aca="false">IF(AND(K432&lt;&gt;"",P431&lt;&gt;""),K432/P431,IF(K432&lt;&gt;"",K432/$D$2,""))</f>
        <v/>
      </c>
      <c r="M432" s="12"/>
      <c r="N432" s="12"/>
      <c r="O432" s="12"/>
      <c r="P432" s="16" t="str">
        <f aca="false">IF(K432&lt;&gt;"",P431+K432,IF(B432&lt;&gt;"",P431,""))</f>
        <v/>
      </c>
      <c r="Q432" s="17" t="str">
        <f aca="false">IF(P432&lt;&gt;"",MIN(0,P432-MAX($P$4:P432)),"")</f>
        <v/>
      </c>
    </row>
    <row r="433" customFormat="false" ht="15" hidden="false" customHeight="true" outlineLevel="0" collapsed="false">
      <c r="A433" s="11" t="str">
        <f aca="false">IF(B433&lt;&gt;"",COUNTA($B$4:B433),"")</f>
        <v/>
      </c>
      <c r="B433" s="20"/>
      <c r="C433" s="20"/>
      <c r="D433" s="20"/>
      <c r="E433" s="20"/>
      <c r="F433" s="20"/>
      <c r="G433" s="20"/>
      <c r="H433" s="20"/>
      <c r="I433" s="21"/>
      <c r="J433" s="20"/>
      <c r="K433" s="14" t="str">
        <f aca="false">IF(AND(I433&lt;&gt;"",H433&lt;&gt;"",J433&lt;&gt;""),IF(J433="W",I433*H433,IF(J433="L",-I433,IF(J433="P",I433*H433*0.5,""))),"")</f>
        <v/>
      </c>
      <c r="L433" s="15" t="str">
        <f aca="false">IF(AND(K433&lt;&gt;"",P432&lt;&gt;""),K433/P432,IF(K433&lt;&gt;"",K433/$D$2,""))</f>
        <v/>
      </c>
      <c r="M433" s="20"/>
      <c r="N433" s="20"/>
      <c r="O433" s="20"/>
      <c r="P433" s="16" t="str">
        <f aca="false">IF(K433&lt;&gt;"",P432+K433,IF(B433&lt;&gt;"",P432,""))</f>
        <v/>
      </c>
      <c r="Q433" s="17" t="str">
        <f aca="false">IF(P433&lt;&gt;"",MIN(0,P433-MAX($P$4:P433)),"")</f>
        <v/>
      </c>
    </row>
    <row r="434" customFormat="false" ht="15" hidden="false" customHeight="true" outlineLevel="0" collapsed="false">
      <c r="A434" s="11" t="str">
        <f aca="false">IF(B434&lt;&gt;"",COUNTA($B$4:B434),"")</f>
        <v/>
      </c>
      <c r="B434" s="12"/>
      <c r="C434" s="12"/>
      <c r="D434" s="12"/>
      <c r="E434" s="12"/>
      <c r="F434" s="12"/>
      <c r="G434" s="12"/>
      <c r="H434" s="12"/>
      <c r="I434" s="13"/>
      <c r="J434" s="12"/>
      <c r="K434" s="14" t="str">
        <f aca="false">IF(AND(I434&lt;&gt;"",H434&lt;&gt;"",J434&lt;&gt;""),IF(J434="W",I434*H434,IF(J434="L",-I434,IF(J434="P",I434*H434*0.5,""))),"")</f>
        <v/>
      </c>
      <c r="L434" s="15" t="str">
        <f aca="false">IF(AND(K434&lt;&gt;"",P433&lt;&gt;""),K434/P433,IF(K434&lt;&gt;"",K434/$D$2,""))</f>
        <v/>
      </c>
      <c r="M434" s="12"/>
      <c r="N434" s="12"/>
      <c r="O434" s="12"/>
      <c r="P434" s="16" t="str">
        <f aca="false">IF(K434&lt;&gt;"",P433+K434,IF(B434&lt;&gt;"",P433,""))</f>
        <v/>
      </c>
      <c r="Q434" s="17" t="str">
        <f aca="false">IF(P434&lt;&gt;"",MIN(0,P434-MAX($P$4:P434)),"")</f>
        <v/>
      </c>
    </row>
    <row r="435" customFormat="false" ht="15" hidden="false" customHeight="true" outlineLevel="0" collapsed="false">
      <c r="A435" s="11" t="str">
        <f aca="false">IF(B435&lt;&gt;"",COUNTA($B$4:B435),"")</f>
        <v/>
      </c>
      <c r="B435" s="20"/>
      <c r="C435" s="20"/>
      <c r="D435" s="20"/>
      <c r="E435" s="20"/>
      <c r="F435" s="20"/>
      <c r="G435" s="20"/>
      <c r="H435" s="20"/>
      <c r="I435" s="21"/>
      <c r="J435" s="20"/>
      <c r="K435" s="14" t="str">
        <f aca="false">IF(AND(I435&lt;&gt;"",H435&lt;&gt;"",J435&lt;&gt;""),IF(J435="W",I435*H435,IF(J435="L",-I435,IF(J435="P",I435*H435*0.5,""))),"")</f>
        <v/>
      </c>
      <c r="L435" s="15" t="str">
        <f aca="false">IF(AND(K435&lt;&gt;"",P434&lt;&gt;""),K435/P434,IF(K435&lt;&gt;"",K435/$D$2,""))</f>
        <v/>
      </c>
      <c r="M435" s="20"/>
      <c r="N435" s="20"/>
      <c r="O435" s="20"/>
      <c r="P435" s="16" t="str">
        <f aca="false">IF(K435&lt;&gt;"",P434+K435,IF(B435&lt;&gt;"",P434,""))</f>
        <v/>
      </c>
      <c r="Q435" s="17" t="str">
        <f aca="false">IF(P435&lt;&gt;"",MIN(0,P435-MAX($P$4:P435)),"")</f>
        <v/>
      </c>
    </row>
    <row r="436" customFormat="false" ht="15" hidden="false" customHeight="true" outlineLevel="0" collapsed="false">
      <c r="A436" s="11" t="str">
        <f aca="false">IF(B436&lt;&gt;"",COUNTA($B$4:B436),"")</f>
        <v/>
      </c>
      <c r="B436" s="12"/>
      <c r="C436" s="12"/>
      <c r="D436" s="12"/>
      <c r="E436" s="12"/>
      <c r="F436" s="12"/>
      <c r="G436" s="12"/>
      <c r="H436" s="12"/>
      <c r="I436" s="13"/>
      <c r="J436" s="12"/>
      <c r="K436" s="14" t="str">
        <f aca="false">IF(AND(I436&lt;&gt;"",H436&lt;&gt;"",J436&lt;&gt;""),IF(J436="W",I436*H436,IF(J436="L",-I436,IF(J436="P",I436*H436*0.5,""))),"")</f>
        <v/>
      </c>
      <c r="L436" s="15" t="str">
        <f aca="false">IF(AND(K436&lt;&gt;"",P435&lt;&gt;""),K436/P435,IF(K436&lt;&gt;"",K436/$D$2,""))</f>
        <v/>
      </c>
      <c r="M436" s="12"/>
      <c r="N436" s="12"/>
      <c r="O436" s="12"/>
      <c r="P436" s="16" t="str">
        <f aca="false">IF(K436&lt;&gt;"",P435+K436,IF(B436&lt;&gt;"",P435,""))</f>
        <v/>
      </c>
      <c r="Q436" s="17" t="str">
        <f aca="false">IF(P436&lt;&gt;"",MIN(0,P436-MAX($P$4:P436)),"")</f>
        <v/>
      </c>
    </row>
    <row r="437" customFormat="false" ht="15" hidden="false" customHeight="true" outlineLevel="0" collapsed="false">
      <c r="A437" s="11" t="str">
        <f aca="false">IF(B437&lt;&gt;"",COUNTA($B$4:B437),"")</f>
        <v/>
      </c>
      <c r="B437" s="20"/>
      <c r="C437" s="20"/>
      <c r="D437" s="20"/>
      <c r="E437" s="20"/>
      <c r="F437" s="20"/>
      <c r="G437" s="20"/>
      <c r="H437" s="20"/>
      <c r="I437" s="21"/>
      <c r="J437" s="20"/>
      <c r="K437" s="14" t="str">
        <f aca="false">IF(AND(I437&lt;&gt;"",H437&lt;&gt;"",J437&lt;&gt;""),IF(J437="W",I437*H437,IF(J437="L",-I437,IF(J437="P",I437*H437*0.5,""))),"")</f>
        <v/>
      </c>
      <c r="L437" s="15" t="str">
        <f aca="false">IF(AND(K437&lt;&gt;"",P436&lt;&gt;""),K437/P436,IF(K437&lt;&gt;"",K437/$D$2,""))</f>
        <v/>
      </c>
      <c r="M437" s="20"/>
      <c r="N437" s="20"/>
      <c r="O437" s="20"/>
      <c r="P437" s="16" t="str">
        <f aca="false">IF(K437&lt;&gt;"",P436+K437,IF(B437&lt;&gt;"",P436,""))</f>
        <v/>
      </c>
      <c r="Q437" s="17" t="str">
        <f aca="false">IF(P437&lt;&gt;"",MIN(0,P437-MAX($P$4:P437)),"")</f>
        <v/>
      </c>
    </row>
    <row r="438" customFormat="false" ht="15" hidden="false" customHeight="true" outlineLevel="0" collapsed="false">
      <c r="A438" s="11" t="str">
        <f aca="false">IF(B438&lt;&gt;"",COUNTA($B$4:B438),"")</f>
        <v/>
      </c>
      <c r="B438" s="12"/>
      <c r="C438" s="12"/>
      <c r="D438" s="12"/>
      <c r="E438" s="12"/>
      <c r="F438" s="12"/>
      <c r="G438" s="12"/>
      <c r="H438" s="12"/>
      <c r="I438" s="13"/>
      <c r="J438" s="12"/>
      <c r="K438" s="14" t="str">
        <f aca="false">IF(AND(I438&lt;&gt;"",H438&lt;&gt;"",J438&lt;&gt;""),IF(J438="W",I438*H438,IF(J438="L",-I438,IF(J438="P",I438*H438*0.5,""))),"")</f>
        <v/>
      </c>
      <c r="L438" s="15" t="str">
        <f aca="false">IF(AND(K438&lt;&gt;"",P437&lt;&gt;""),K438/P437,IF(K438&lt;&gt;"",K438/$D$2,""))</f>
        <v/>
      </c>
      <c r="M438" s="12"/>
      <c r="N438" s="12"/>
      <c r="O438" s="12"/>
      <c r="P438" s="16" t="str">
        <f aca="false">IF(K438&lt;&gt;"",P437+K438,IF(B438&lt;&gt;"",P437,""))</f>
        <v/>
      </c>
      <c r="Q438" s="17" t="str">
        <f aca="false">IF(P438&lt;&gt;"",MIN(0,P438-MAX($P$4:P438)),"")</f>
        <v/>
      </c>
    </row>
    <row r="439" customFormat="false" ht="15" hidden="false" customHeight="true" outlineLevel="0" collapsed="false">
      <c r="A439" s="11" t="str">
        <f aca="false">IF(B439&lt;&gt;"",COUNTA($B$4:B439),"")</f>
        <v/>
      </c>
      <c r="B439" s="20"/>
      <c r="C439" s="20"/>
      <c r="D439" s="20"/>
      <c r="E439" s="20"/>
      <c r="F439" s="20"/>
      <c r="G439" s="20"/>
      <c r="H439" s="20"/>
      <c r="I439" s="21"/>
      <c r="J439" s="20"/>
      <c r="K439" s="14" t="str">
        <f aca="false">IF(AND(I439&lt;&gt;"",H439&lt;&gt;"",J439&lt;&gt;""),IF(J439="W",I439*H439,IF(J439="L",-I439,IF(J439="P",I439*H439*0.5,""))),"")</f>
        <v/>
      </c>
      <c r="L439" s="15" t="str">
        <f aca="false">IF(AND(K439&lt;&gt;"",P438&lt;&gt;""),K439/P438,IF(K439&lt;&gt;"",K439/$D$2,""))</f>
        <v/>
      </c>
      <c r="M439" s="20"/>
      <c r="N439" s="20"/>
      <c r="O439" s="20"/>
      <c r="P439" s="16" t="str">
        <f aca="false">IF(K439&lt;&gt;"",P438+K439,IF(B439&lt;&gt;"",P438,""))</f>
        <v/>
      </c>
      <c r="Q439" s="17" t="str">
        <f aca="false">IF(P439&lt;&gt;"",MIN(0,P439-MAX($P$4:P439)),"")</f>
        <v/>
      </c>
    </row>
    <row r="440" customFormat="false" ht="15" hidden="false" customHeight="true" outlineLevel="0" collapsed="false">
      <c r="A440" s="11" t="str">
        <f aca="false">IF(B440&lt;&gt;"",COUNTA($B$4:B440),"")</f>
        <v/>
      </c>
      <c r="B440" s="12"/>
      <c r="C440" s="12"/>
      <c r="D440" s="12"/>
      <c r="E440" s="12"/>
      <c r="F440" s="12"/>
      <c r="G440" s="12"/>
      <c r="H440" s="12"/>
      <c r="I440" s="13"/>
      <c r="J440" s="12"/>
      <c r="K440" s="14" t="str">
        <f aca="false">IF(AND(I440&lt;&gt;"",H440&lt;&gt;"",J440&lt;&gt;""),IF(J440="W",I440*H440,IF(J440="L",-I440,IF(J440="P",I440*H440*0.5,""))),"")</f>
        <v/>
      </c>
      <c r="L440" s="15" t="str">
        <f aca="false">IF(AND(K440&lt;&gt;"",P439&lt;&gt;""),K440/P439,IF(K440&lt;&gt;"",K440/$D$2,""))</f>
        <v/>
      </c>
      <c r="M440" s="12"/>
      <c r="N440" s="12"/>
      <c r="O440" s="12"/>
      <c r="P440" s="16" t="str">
        <f aca="false">IF(K440&lt;&gt;"",P439+K440,IF(B440&lt;&gt;"",P439,""))</f>
        <v/>
      </c>
      <c r="Q440" s="17" t="str">
        <f aca="false">IF(P440&lt;&gt;"",MIN(0,P440-MAX($P$4:P440)),"")</f>
        <v/>
      </c>
    </row>
    <row r="441" customFormat="false" ht="15" hidden="false" customHeight="true" outlineLevel="0" collapsed="false">
      <c r="A441" s="11" t="str">
        <f aca="false">IF(B441&lt;&gt;"",COUNTA($B$4:B441),"")</f>
        <v/>
      </c>
      <c r="B441" s="20"/>
      <c r="C441" s="20"/>
      <c r="D441" s="20"/>
      <c r="E441" s="20"/>
      <c r="F441" s="20"/>
      <c r="G441" s="20"/>
      <c r="H441" s="20"/>
      <c r="I441" s="21"/>
      <c r="J441" s="20"/>
      <c r="K441" s="14" t="str">
        <f aca="false">IF(AND(I441&lt;&gt;"",H441&lt;&gt;"",J441&lt;&gt;""),IF(J441="W",I441*H441,IF(J441="L",-I441,IF(J441="P",I441*H441*0.5,""))),"")</f>
        <v/>
      </c>
      <c r="L441" s="15" t="str">
        <f aca="false">IF(AND(K441&lt;&gt;"",P440&lt;&gt;""),K441/P440,IF(K441&lt;&gt;"",K441/$D$2,""))</f>
        <v/>
      </c>
      <c r="M441" s="20"/>
      <c r="N441" s="20"/>
      <c r="O441" s="20"/>
      <c r="P441" s="16" t="str">
        <f aca="false">IF(K441&lt;&gt;"",P440+K441,IF(B441&lt;&gt;"",P440,""))</f>
        <v/>
      </c>
      <c r="Q441" s="17" t="str">
        <f aca="false">IF(P441&lt;&gt;"",MIN(0,P441-MAX($P$4:P441)),"")</f>
        <v/>
      </c>
    </row>
    <row r="442" customFormat="false" ht="15" hidden="false" customHeight="true" outlineLevel="0" collapsed="false">
      <c r="A442" s="11" t="str">
        <f aca="false">IF(B442&lt;&gt;"",COUNTA($B$4:B442),"")</f>
        <v/>
      </c>
      <c r="B442" s="12"/>
      <c r="C442" s="12"/>
      <c r="D442" s="12"/>
      <c r="E442" s="12"/>
      <c r="F442" s="12"/>
      <c r="G442" s="12"/>
      <c r="H442" s="12"/>
      <c r="I442" s="13"/>
      <c r="J442" s="12"/>
      <c r="K442" s="14" t="str">
        <f aca="false">IF(AND(I442&lt;&gt;"",H442&lt;&gt;"",J442&lt;&gt;""),IF(J442="W",I442*H442,IF(J442="L",-I442,IF(J442="P",I442*H442*0.5,""))),"")</f>
        <v/>
      </c>
      <c r="L442" s="15" t="str">
        <f aca="false">IF(AND(K442&lt;&gt;"",P441&lt;&gt;""),K442/P441,IF(K442&lt;&gt;"",K442/$D$2,""))</f>
        <v/>
      </c>
      <c r="M442" s="12"/>
      <c r="N442" s="12"/>
      <c r="O442" s="12"/>
      <c r="P442" s="16" t="str">
        <f aca="false">IF(K442&lt;&gt;"",P441+K442,IF(B442&lt;&gt;"",P441,""))</f>
        <v/>
      </c>
      <c r="Q442" s="17" t="str">
        <f aca="false">IF(P442&lt;&gt;"",MIN(0,P442-MAX($P$4:P442)),"")</f>
        <v/>
      </c>
    </row>
    <row r="443" customFormat="false" ht="15" hidden="false" customHeight="true" outlineLevel="0" collapsed="false">
      <c r="A443" s="11" t="str">
        <f aca="false">IF(B443&lt;&gt;"",COUNTA($B$4:B443),"")</f>
        <v/>
      </c>
      <c r="B443" s="20"/>
      <c r="C443" s="20"/>
      <c r="D443" s="20"/>
      <c r="E443" s="20"/>
      <c r="F443" s="20"/>
      <c r="G443" s="20"/>
      <c r="H443" s="20"/>
      <c r="I443" s="21"/>
      <c r="J443" s="20"/>
      <c r="K443" s="14" t="str">
        <f aca="false">IF(AND(I443&lt;&gt;"",H443&lt;&gt;"",J443&lt;&gt;""),IF(J443="W",I443*H443,IF(J443="L",-I443,IF(J443="P",I443*H443*0.5,""))),"")</f>
        <v/>
      </c>
      <c r="L443" s="15" t="str">
        <f aca="false">IF(AND(K443&lt;&gt;"",P442&lt;&gt;""),K443/P442,IF(K443&lt;&gt;"",K443/$D$2,""))</f>
        <v/>
      </c>
      <c r="M443" s="20"/>
      <c r="N443" s="20"/>
      <c r="O443" s="20"/>
      <c r="P443" s="16" t="str">
        <f aca="false">IF(K443&lt;&gt;"",P442+K443,IF(B443&lt;&gt;"",P442,""))</f>
        <v/>
      </c>
      <c r="Q443" s="17" t="str">
        <f aca="false">IF(P443&lt;&gt;"",MIN(0,P443-MAX($P$4:P443)),"")</f>
        <v/>
      </c>
    </row>
    <row r="444" customFormat="false" ht="15" hidden="false" customHeight="true" outlineLevel="0" collapsed="false">
      <c r="A444" s="11" t="str">
        <f aca="false">IF(B444&lt;&gt;"",COUNTA($B$4:B444),"")</f>
        <v/>
      </c>
      <c r="B444" s="12"/>
      <c r="C444" s="12"/>
      <c r="D444" s="12"/>
      <c r="E444" s="12"/>
      <c r="F444" s="12"/>
      <c r="G444" s="12"/>
      <c r="H444" s="12"/>
      <c r="I444" s="13"/>
      <c r="J444" s="12"/>
      <c r="K444" s="14" t="str">
        <f aca="false">IF(AND(I444&lt;&gt;"",H444&lt;&gt;"",J444&lt;&gt;""),IF(J444="W",I444*H444,IF(J444="L",-I444,IF(J444="P",I444*H444*0.5,""))),"")</f>
        <v/>
      </c>
      <c r="L444" s="15" t="str">
        <f aca="false">IF(AND(K444&lt;&gt;"",P443&lt;&gt;""),K444/P443,IF(K444&lt;&gt;"",K444/$D$2,""))</f>
        <v/>
      </c>
      <c r="M444" s="12"/>
      <c r="N444" s="12"/>
      <c r="O444" s="12"/>
      <c r="P444" s="16" t="str">
        <f aca="false">IF(K444&lt;&gt;"",P443+K444,IF(B444&lt;&gt;"",P443,""))</f>
        <v/>
      </c>
      <c r="Q444" s="17" t="str">
        <f aca="false">IF(P444&lt;&gt;"",MIN(0,P444-MAX($P$4:P444)),"")</f>
        <v/>
      </c>
    </row>
    <row r="445" customFormat="false" ht="15" hidden="false" customHeight="true" outlineLevel="0" collapsed="false">
      <c r="A445" s="11" t="str">
        <f aca="false">IF(B445&lt;&gt;"",COUNTA($B$4:B445),"")</f>
        <v/>
      </c>
      <c r="B445" s="20"/>
      <c r="C445" s="20"/>
      <c r="D445" s="20"/>
      <c r="E445" s="20"/>
      <c r="F445" s="20"/>
      <c r="G445" s="20"/>
      <c r="H445" s="20"/>
      <c r="I445" s="21"/>
      <c r="J445" s="20"/>
      <c r="K445" s="14" t="str">
        <f aca="false">IF(AND(I445&lt;&gt;"",H445&lt;&gt;"",J445&lt;&gt;""),IF(J445="W",I445*H445,IF(J445="L",-I445,IF(J445="P",I445*H445*0.5,""))),"")</f>
        <v/>
      </c>
      <c r="L445" s="15" t="str">
        <f aca="false">IF(AND(K445&lt;&gt;"",P444&lt;&gt;""),K445/P444,IF(K445&lt;&gt;"",K445/$D$2,""))</f>
        <v/>
      </c>
      <c r="M445" s="20"/>
      <c r="N445" s="20"/>
      <c r="O445" s="20"/>
      <c r="P445" s="16" t="str">
        <f aca="false">IF(K445&lt;&gt;"",P444+K445,IF(B445&lt;&gt;"",P444,""))</f>
        <v/>
      </c>
      <c r="Q445" s="17" t="str">
        <f aca="false">IF(P445&lt;&gt;"",MIN(0,P445-MAX($P$4:P445)),"")</f>
        <v/>
      </c>
    </row>
    <row r="446" customFormat="false" ht="15" hidden="false" customHeight="true" outlineLevel="0" collapsed="false">
      <c r="A446" s="11" t="str">
        <f aca="false">IF(B446&lt;&gt;"",COUNTA($B$4:B446),"")</f>
        <v/>
      </c>
      <c r="B446" s="12"/>
      <c r="C446" s="12"/>
      <c r="D446" s="12"/>
      <c r="E446" s="12"/>
      <c r="F446" s="12"/>
      <c r="G446" s="12"/>
      <c r="H446" s="12"/>
      <c r="I446" s="13"/>
      <c r="J446" s="12"/>
      <c r="K446" s="14" t="str">
        <f aca="false">IF(AND(I446&lt;&gt;"",H446&lt;&gt;"",J446&lt;&gt;""),IF(J446="W",I446*H446,IF(J446="L",-I446,IF(J446="P",I446*H446*0.5,""))),"")</f>
        <v/>
      </c>
      <c r="L446" s="15" t="str">
        <f aca="false">IF(AND(K446&lt;&gt;"",P445&lt;&gt;""),K446/P445,IF(K446&lt;&gt;"",K446/$D$2,""))</f>
        <v/>
      </c>
      <c r="M446" s="12"/>
      <c r="N446" s="12"/>
      <c r="O446" s="12"/>
      <c r="P446" s="16" t="str">
        <f aca="false">IF(K446&lt;&gt;"",P445+K446,IF(B446&lt;&gt;"",P445,""))</f>
        <v/>
      </c>
      <c r="Q446" s="17" t="str">
        <f aca="false">IF(P446&lt;&gt;"",MIN(0,P446-MAX($P$4:P446)),"")</f>
        <v/>
      </c>
    </row>
    <row r="447" customFormat="false" ht="15" hidden="false" customHeight="true" outlineLevel="0" collapsed="false">
      <c r="A447" s="11" t="str">
        <f aca="false">IF(B447&lt;&gt;"",COUNTA($B$4:B447),"")</f>
        <v/>
      </c>
      <c r="B447" s="20"/>
      <c r="C447" s="20"/>
      <c r="D447" s="20"/>
      <c r="E447" s="20"/>
      <c r="F447" s="20"/>
      <c r="G447" s="20"/>
      <c r="H447" s="20"/>
      <c r="I447" s="21"/>
      <c r="J447" s="20"/>
      <c r="K447" s="14" t="str">
        <f aca="false">IF(AND(I447&lt;&gt;"",H447&lt;&gt;"",J447&lt;&gt;""),IF(J447="W",I447*H447,IF(J447="L",-I447,IF(J447="P",I447*H447*0.5,""))),"")</f>
        <v/>
      </c>
      <c r="L447" s="15" t="str">
        <f aca="false">IF(AND(K447&lt;&gt;"",P446&lt;&gt;""),K447/P446,IF(K447&lt;&gt;"",K447/$D$2,""))</f>
        <v/>
      </c>
      <c r="M447" s="20"/>
      <c r="N447" s="20"/>
      <c r="O447" s="20"/>
      <c r="P447" s="16" t="str">
        <f aca="false">IF(K447&lt;&gt;"",P446+K447,IF(B447&lt;&gt;"",P446,""))</f>
        <v/>
      </c>
      <c r="Q447" s="17" t="str">
        <f aca="false">IF(P447&lt;&gt;"",MIN(0,P447-MAX($P$4:P447)),"")</f>
        <v/>
      </c>
    </row>
    <row r="448" customFormat="false" ht="15" hidden="false" customHeight="true" outlineLevel="0" collapsed="false">
      <c r="A448" s="11" t="str">
        <f aca="false">IF(B448&lt;&gt;"",COUNTA($B$4:B448),"")</f>
        <v/>
      </c>
      <c r="B448" s="12"/>
      <c r="C448" s="12"/>
      <c r="D448" s="12"/>
      <c r="E448" s="12"/>
      <c r="F448" s="12"/>
      <c r="G448" s="12"/>
      <c r="H448" s="12"/>
      <c r="I448" s="13"/>
      <c r="J448" s="12"/>
      <c r="K448" s="14" t="str">
        <f aca="false">IF(AND(I448&lt;&gt;"",H448&lt;&gt;"",J448&lt;&gt;""),IF(J448="W",I448*H448,IF(J448="L",-I448,IF(J448="P",I448*H448*0.5,""))),"")</f>
        <v/>
      </c>
      <c r="L448" s="15" t="str">
        <f aca="false">IF(AND(K448&lt;&gt;"",P447&lt;&gt;""),K448/P447,IF(K448&lt;&gt;"",K448/$D$2,""))</f>
        <v/>
      </c>
      <c r="M448" s="12"/>
      <c r="N448" s="12"/>
      <c r="O448" s="12"/>
      <c r="P448" s="16" t="str">
        <f aca="false">IF(K448&lt;&gt;"",P447+K448,IF(B448&lt;&gt;"",P447,""))</f>
        <v/>
      </c>
      <c r="Q448" s="17" t="str">
        <f aca="false">IF(P448&lt;&gt;"",MIN(0,P448-MAX($P$4:P448)),"")</f>
        <v/>
      </c>
    </row>
    <row r="449" customFormat="false" ht="15" hidden="false" customHeight="true" outlineLevel="0" collapsed="false">
      <c r="A449" s="11" t="str">
        <f aca="false">IF(B449&lt;&gt;"",COUNTA($B$4:B449),"")</f>
        <v/>
      </c>
      <c r="B449" s="20"/>
      <c r="C449" s="20"/>
      <c r="D449" s="20"/>
      <c r="E449" s="20"/>
      <c r="F449" s="20"/>
      <c r="G449" s="20"/>
      <c r="H449" s="20"/>
      <c r="I449" s="21"/>
      <c r="J449" s="20"/>
      <c r="K449" s="14" t="str">
        <f aca="false">IF(AND(I449&lt;&gt;"",H449&lt;&gt;"",J449&lt;&gt;""),IF(J449="W",I449*H449,IF(J449="L",-I449,IF(J449="P",I449*H449*0.5,""))),"")</f>
        <v/>
      </c>
      <c r="L449" s="15" t="str">
        <f aca="false">IF(AND(K449&lt;&gt;"",P448&lt;&gt;""),K449/P448,IF(K449&lt;&gt;"",K449/$D$2,""))</f>
        <v/>
      </c>
      <c r="M449" s="20"/>
      <c r="N449" s="20"/>
      <c r="O449" s="20"/>
      <c r="P449" s="16" t="str">
        <f aca="false">IF(K449&lt;&gt;"",P448+K449,IF(B449&lt;&gt;"",P448,""))</f>
        <v/>
      </c>
      <c r="Q449" s="17" t="str">
        <f aca="false">IF(P449&lt;&gt;"",MIN(0,P449-MAX($P$4:P449)),"")</f>
        <v/>
      </c>
    </row>
    <row r="450" customFormat="false" ht="15" hidden="false" customHeight="true" outlineLevel="0" collapsed="false">
      <c r="A450" s="11" t="str">
        <f aca="false">IF(B450&lt;&gt;"",COUNTA($B$4:B450),"")</f>
        <v/>
      </c>
      <c r="B450" s="12"/>
      <c r="C450" s="12"/>
      <c r="D450" s="12"/>
      <c r="E450" s="12"/>
      <c r="F450" s="12"/>
      <c r="G450" s="12"/>
      <c r="H450" s="12"/>
      <c r="I450" s="13"/>
      <c r="J450" s="12"/>
      <c r="K450" s="14" t="str">
        <f aca="false">IF(AND(I450&lt;&gt;"",H450&lt;&gt;"",J450&lt;&gt;""),IF(J450="W",I450*H450,IF(J450="L",-I450,IF(J450="P",I450*H450*0.5,""))),"")</f>
        <v/>
      </c>
      <c r="L450" s="15" t="str">
        <f aca="false">IF(AND(K450&lt;&gt;"",P449&lt;&gt;""),K450/P449,IF(K450&lt;&gt;"",K450/$D$2,""))</f>
        <v/>
      </c>
      <c r="M450" s="12"/>
      <c r="N450" s="12"/>
      <c r="O450" s="12"/>
      <c r="P450" s="16" t="str">
        <f aca="false">IF(K450&lt;&gt;"",P449+K450,IF(B450&lt;&gt;"",P449,""))</f>
        <v/>
      </c>
      <c r="Q450" s="17" t="str">
        <f aca="false">IF(P450&lt;&gt;"",MIN(0,P450-MAX($P$4:P450)),"")</f>
        <v/>
      </c>
    </row>
    <row r="451" customFormat="false" ht="15" hidden="false" customHeight="true" outlineLevel="0" collapsed="false">
      <c r="A451" s="11" t="str">
        <f aca="false">IF(B451&lt;&gt;"",COUNTA($B$4:B451),"")</f>
        <v/>
      </c>
      <c r="B451" s="20"/>
      <c r="C451" s="20"/>
      <c r="D451" s="20"/>
      <c r="E451" s="20"/>
      <c r="F451" s="20"/>
      <c r="G451" s="20"/>
      <c r="H451" s="20"/>
      <c r="I451" s="21"/>
      <c r="J451" s="20"/>
      <c r="K451" s="14" t="str">
        <f aca="false">IF(AND(I451&lt;&gt;"",H451&lt;&gt;"",J451&lt;&gt;""),IF(J451="W",I451*H451,IF(J451="L",-I451,IF(J451="P",I451*H451*0.5,""))),"")</f>
        <v/>
      </c>
      <c r="L451" s="15" t="str">
        <f aca="false">IF(AND(K451&lt;&gt;"",P450&lt;&gt;""),K451/P450,IF(K451&lt;&gt;"",K451/$D$2,""))</f>
        <v/>
      </c>
      <c r="M451" s="20"/>
      <c r="N451" s="20"/>
      <c r="O451" s="20"/>
      <c r="P451" s="16" t="str">
        <f aca="false">IF(K451&lt;&gt;"",P450+K451,IF(B451&lt;&gt;"",P450,""))</f>
        <v/>
      </c>
      <c r="Q451" s="17" t="str">
        <f aca="false">IF(P451&lt;&gt;"",MIN(0,P451-MAX($P$4:P451)),"")</f>
        <v/>
      </c>
    </row>
    <row r="452" customFormat="false" ht="15" hidden="false" customHeight="true" outlineLevel="0" collapsed="false">
      <c r="A452" s="11" t="str">
        <f aca="false">IF(B452&lt;&gt;"",COUNTA($B$4:B452),"")</f>
        <v/>
      </c>
      <c r="B452" s="12"/>
      <c r="C452" s="12"/>
      <c r="D452" s="12"/>
      <c r="E452" s="12"/>
      <c r="F452" s="12"/>
      <c r="G452" s="12"/>
      <c r="H452" s="12"/>
      <c r="I452" s="13"/>
      <c r="J452" s="12"/>
      <c r="K452" s="14" t="str">
        <f aca="false">IF(AND(I452&lt;&gt;"",H452&lt;&gt;"",J452&lt;&gt;""),IF(J452="W",I452*H452,IF(J452="L",-I452,IF(J452="P",I452*H452*0.5,""))),"")</f>
        <v/>
      </c>
      <c r="L452" s="15" t="str">
        <f aca="false">IF(AND(K452&lt;&gt;"",P451&lt;&gt;""),K452/P451,IF(K452&lt;&gt;"",K452/$D$2,""))</f>
        <v/>
      </c>
      <c r="M452" s="12"/>
      <c r="N452" s="12"/>
      <c r="O452" s="12"/>
      <c r="P452" s="16" t="str">
        <f aca="false">IF(K452&lt;&gt;"",P451+K452,IF(B452&lt;&gt;"",P451,""))</f>
        <v/>
      </c>
      <c r="Q452" s="17" t="str">
        <f aca="false">IF(P452&lt;&gt;"",MIN(0,P452-MAX($P$4:P452)),"")</f>
        <v/>
      </c>
    </row>
    <row r="453" customFormat="false" ht="15" hidden="false" customHeight="true" outlineLevel="0" collapsed="false">
      <c r="A453" s="11" t="str">
        <f aca="false">IF(B453&lt;&gt;"",COUNTA($B$4:B453),"")</f>
        <v/>
      </c>
      <c r="B453" s="20"/>
      <c r="C453" s="20"/>
      <c r="D453" s="20"/>
      <c r="E453" s="20"/>
      <c r="F453" s="20"/>
      <c r="G453" s="20"/>
      <c r="H453" s="20"/>
      <c r="I453" s="21"/>
      <c r="J453" s="20"/>
      <c r="K453" s="14" t="str">
        <f aca="false">IF(AND(I453&lt;&gt;"",H453&lt;&gt;"",J453&lt;&gt;""),IF(J453="W",I453*H453,IF(J453="L",-I453,IF(J453="P",I453*H453*0.5,""))),"")</f>
        <v/>
      </c>
      <c r="L453" s="15" t="str">
        <f aca="false">IF(AND(K453&lt;&gt;"",P452&lt;&gt;""),K453/P452,IF(K453&lt;&gt;"",K453/$D$2,""))</f>
        <v/>
      </c>
      <c r="M453" s="20"/>
      <c r="N453" s="20"/>
      <c r="O453" s="20"/>
      <c r="P453" s="16" t="str">
        <f aca="false">IF(K453&lt;&gt;"",P452+K453,IF(B453&lt;&gt;"",P452,""))</f>
        <v/>
      </c>
      <c r="Q453" s="17" t="str">
        <f aca="false">IF(P453&lt;&gt;"",MIN(0,P453-MAX($P$4:P453)),"")</f>
        <v/>
      </c>
    </row>
    <row r="454" customFormat="false" ht="15" hidden="false" customHeight="true" outlineLevel="0" collapsed="false">
      <c r="A454" s="11" t="str">
        <f aca="false">IF(B454&lt;&gt;"",COUNTA($B$4:B454),"")</f>
        <v/>
      </c>
      <c r="B454" s="12"/>
      <c r="C454" s="12"/>
      <c r="D454" s="12"/>
      <c r="E454" s="12"/>
      <c r="F454" s="12"/>
      <c r="G454" s="12"/>
      <c r="H454" s="12"/>
      <c r="I454" s="13"/>
      <c r="J454" s="12"/>
      <c r="K454" s="14" t="str">
        <f aca="false">IF(AND(I454&lt;&gt;"",H454&lt;&gt;"",J454&lt;&gt;""),IF(J454="W",I454*H454,IF(J454="L",-I454,IF(J454="P",I454*H454*0.5,""))),"")</f>
        <v/>
      </c>
      <c r="L454" s="15" t="str">
        <f aca="false">IF(AND(K454&lt;&gt;"",P453&lt;&gt;""),K454/P453,IF(K454&lt;&gt;"",K454/$D$2,""))</f>
        <v/>
      </c>
      <c r="M454" s="12"/>
      <c r="N454" s="12"/>
      <c r="O454" s="12"/>
      <c r="P454" s="16" t="str">
        <f aca="false">IF(K454&lt;&gt;"",P453+K454,IF(B454&lt;&gt;"",P453,""))</f>
        <v/>
      </c>
      <c r="Q454" s="17" t="str">
        <f aca="false">IF(P454&lt;&gt;"",MIN(0,P454-MAX($P$4:P454)),"")</f>
        <v/>
      </c>
    </row>
    <row r="455" customFormat="false" ht="15" hidden="false" customHeight="true" outlineLevel="0" collapsed="false">
      <c r="A455" s="11" t="str">
        <f aca="false">IF(B455&lt;&gt;"",COUNTA($B$4:B455),"")</f>
        <v/>
      </c>
      <c r="B455" s="20"/>
      <c r="C455" s="20"/>
      <c r="D455" s="20"/>
      <c r="E455" s="20"/>
      <c r="F455" s="20"/>
      <c r="G455" s="20"/>
      <c r="H455" s="20"/>
      <c r="I455" s="21"/>
      <c r="J455" s="20"/>
      <c r="K455" s="14" t="str">
        <f aca="false">IF(AND(I455&lt;&gt;"",H455&lt;&gt;"",J455&lt;&gt;""),IF(J455="W",I455*H455,IF(J455="L",-I455,IF(J455="P",I455*H455*0.5,""))),"")</f>
        <v/>
      </c>
      <c r="L455" s="15" t="str">
        <f aca="false">IF(AND(K455&lt;&gt;"",P454&lt;&gt;""),K455/P454,IF(K455&lt;&gt;"",K455/$D$2,""))</f>
        <v/>
      </c>
      <c r="M455" s="20"/>
      <c r="N455" s="20"/>
      <c r="O455" s="20"/>
      <c r="P455" s="16" t="str">
        <f aca="false">IF(K455&lt;&gt;"",P454+K455,IF(B455&lt;&gt;"",P454,""))</f>
        <v/>
      </c>
      <c r="Q455" s="17" t="str">
        <f aca="false">IF(P455&lt;&gt;"",MIN(0,P455-MAX($P$4:P455)),"")</f>
        <v/>
      </c>
    </row>
    <row r="456" customFormat="false" ht="15" hidden="false" customHeight="true" outlineLevel="0" collapsed="false">
      <c r="A456" s="11" t="str">
        <f aca="false">IF(B456&lt;&gt;"",COUNTA($B$4:B456),"")</f>
        <v/>
      </c>
      <c r="B456" s="12"/>
      <c r="C456" s="12"/>
      <c r="D456" s="12"/>
      <c r="E456" s="12"/>
      <c r="F456" s="12"/>
      <c r="G456" s="12"/>
      <c r="H456" s="12"/>
      <c r="I456" s="13"/>
      <c r="J456" s="12"/>
      <c r="K456" s="14" t="str">
        <f aca="false">IF(AND(I456&lt;&gt;"",H456&lt;&gt;"",J456&lt;&gt;""),IF(J456="W",I456*H456,IF(J456="L",-I456,IF(J456="P",I456*H456*0.5,""))),"")</f>
        <v/>
      </c>
      <c r="L456" s="15" t="str">
        <f aca="false">IF(AND(K456&lt;&gt;"",P455&lt;&gt;""),K456/P455,IF(K456&lt;&gt;"",K456/$D$2,""))</f>
        <v/>
      </c>
      <c r="M456" s="12"/>
      <c r="N456" s="12"/>
      <c r="O456" s="12"/>
      <c r="P456" s="16" t="str">
        <f aca="false">IF(K456&lt;&gt;"",P455+K456,IF(B456&lt;&gt;"",P455,""))</f>
        <v/>
      </c>
      <c r="Q456" s="17" t="str">
        <f aca="false">IF(P456&lt;&gt;"",MIN(0,P456-MAX($P$4:P456)),"")</f>
        <v/>
      </c>
    </row>
    <row r="457" customFormat="false" ht="15" hidden="false" customHeight="true" outlineLevel="0" collapsed="false">
      <c r="A457" s="11" t="str">
        <f aca="false">IF(B457&lt;&gt;"",COUNTA($B$4:B457),"")</f>
        <v/>
      </c>
      <c r="B457" s="20"/>
      <c r="C457" s="20"/>
      <c r="D457" s="20"/>
      <c r="E457" s="20"/>
      <c r="F457" s="20"/>
      <c r="G457" s="20"/>
      <c r="H457" s="20"/>
      <c r="I457" s="21"/>
      <c r="J457" s="20"/>
      <c r="K457" s="14" t="str">
        <f aca="false">IF(AND(I457&lt;&gt;"",H457&lt;&gt;"",J457&lt;&gt;""),IF(J457="W",I457*H457,IF(J457="L",-I457,IF(J457="P",I457*H457*0.5,""))),"")</f>
        <v/>
      </c>
      <c r="L457" s="15" t="str">
        <f aca="false">IF(AND(K457&lt;&gt;"",P456&lt;&gt;""),K457/P456,IF(K457&lt;&gt;"",K457/$D$2,""))</f>
        <v/>
      </c>
      <c r="M457" s="20"/>
      <c r="N457" s="20"/>
      <c r="O457" s="20"/>
      <c r="P457" s="16" t="str">
        <f aca="false">IF(K457&lt;&gt;"",P456+K457,IF(B457&lt;&gt;"",P456,""))</f>
        <v/>
      </c>
      <c r="Q457" s="17" t="str">
        <f aca="false">IF(P457&lt;&gt;"",MIN(0,P457-MAX($P$4:P457)),"")</f>
        <v/>
      </c>
    </row>
    <row r="458" customFormat="false" ht="15" hidden="false" customHeight="true" outlineLevel="0" collapsed="false">
      <c r="A458" s="11" t="str">
        <f aca="false">IF(B458&lt;&gt;"",COUNTA($B$4:B458),"")</f>
        <v/>
      </c>
      <c r="B458" s="12"/>
      <c r="C458" s="12"/>
      <c r="D458" s="12"/>
      <c r="E458" s="12"/>
      <c r="F458" s="12"/>
      <c r="G458" s="12"/>
      <c r="H458" s="12"/>
      <c r="I458" s="13"/>
      <c r="J458" s="12"/>
      <c r="K458" s="14" t="str">
        <f aca="false">IF(AND(I458&lt;&gt;"",H458&lt;&gt;"",J458&lt;&gt;""),IF(J458="W",I458*H458,IF(J458="L",-I458,IF(J458="P",I458*H458*0.5,""))),"")</f>
        <v/>
      </c>
      <c r="L458" s="15" t="str">
        <f aca="false">IF(AND(K458&lt;&gt;"",P457&lt;&gt;""),K458/P457,IF(K458&lt;&gt;"",K458/$D$2,""))</f>
        <v/>
      </c>
      <c r="M458" s="12"/>
      <c r="N458" s="12"/>
      <c r="O458" s="12"/>
      <c r="P458" s="16" t="str">
        <f aca="false">IF(K458&lt;&gt;"",P457+K458,IF(B458&lt;&gt;"",P457,""))</f>
        <v/>
      </c>
      <c r="Q458" s="17" t="str">
        <f aca="false">IF(P458&lt;&gt;"",MIN(0,P458-MAX($P$4:P458)),"")</f>
        <v/>
      </c>
    </row>
    <row r="459" customFormat="false" ht="15" hidden="false" customHeight="true" outlineLevel="0" collapsed="false">
      <c r="A459" s="11" t="str">
        <f aca="false">IF(B459&lt;&gt;"",COUNTA($B$4:B459),"")</f>
        <v/>
      </c>
      <c r="B459" s="20"/>
      <c r="C459" s="20"/>
      <c r="D459" s="20"/>
      <c r="E459" s="20"/>
      <c r="F459" s="20"/>
      <c r="G459" s="20"/>
      <c r="H459" s="20"/>
      <c r="I459" s="21"/>
      <c r="J459" s="20"/>
      <c r="K459" s="14" t="str">
        <f aca="false">IF(AND(I459&lt;&gt;"",H459&lt;&gt;"",J459&lt;&gt;""),IF(J459="W",I459*H459,IF(J459="L",-I459,IF(J459="P",I459*H459*0.5,""))),"")</f>
        <v/>
      </c>
      <c r="L459" s="15" t="str">
        <f aca="false">IF(AND(K459&lt;&gt;"",P458&lt;&gt;""),K459/P458,IF(K459&lt;&gt;"",K459/$D$2,""))</f>
        <v/>
      </c>
      <c r="M459" s="20"/>
      <c r="N459" s="20"/>
      <c r="O459" s="20"/>
      <c r="P459" s="16" t="str">
        <f aca="false">IF(K459&lt;&gt;"",P458+K459,IF(B459&lt;&gt;"",P458,""))</f>
        <v/>
      </c>
      <c r="Q459" s="17" t="str">
        <f aca="false">IF(P459&lt;&gt;"",MIN(0,P459-MAX($P$4:P459)),"")</f>
        <v/>
      </c>
    </row>
    <row r="460" customFormat="false" ht="15" hidden="false" customHeight="true" outlineLevel="0" collapsed="false">
      <c r="A460" s="11" t="str">
        <f aca="false">IF(B460&lt;&gt;"",COUNTA($B$4:B460),"")</f>
        <v/>
      </c>
      <c r="B460" s="12"/>
      <c r="C460" s="12"/>
      <c r="D460" s="12"/>
      <c r="E460" s="12"/>
      <c r="F460" s="12"/>
      <c r="G460" s="12"/>
      <c r="H460" s="12"/>
      <c r="I460" s="13"/>
      <c r="J460" s="12"/>
      <c r="K460" s="14" t="str">
        <f aca="false">IF(AND(I460&lt;&gt;"",H460&lt;&gt;"",J460&lt;&gt;""),IF(J460="W",I460*H460,IF(J460="L",-I460,IF(J460="P",I460*H460*0.5,""))),"")</f>
        <v/>
      </c>
      <c r="L460" s="15" t="str">
        <f aca="false">IF(AND(K460&lt;&gt;"",P459&lt;&gt;""),K460/P459,IF(K460&lt;&gt;"",K460/$D$2,""))</f>
        <v/>
      </c>
      <c r="M460" s="12"/>
      <c r="N460" s="12"/>
      <c r="O460" s="12"/>
      <c r="P460" s="16" t="str">
        <f aca="false">IF(K460&lt;&gt;"",P459+K460,IF(B460&lt;&gt;"",P459,""))</f>
        <v/>
      </c>
      <c r="Q460" s="17" t="str">
        <f aca="false">IF(P460&lt;&gt;"",MIN(0,P460-MAX($P$4:P460)),"")</f>
        <v/>
      </c>
    </row>
    <row r="461" customFormat="false" ht="15" hidden="false" customHeight="true" outlineLevel="0" collapsed="false">
      <c r="A461" s="11" t="str">
        <f aca="false">IF(B461&lt;&gt;"",COUNTA($B$4:B461),"")</f>
        <v/>
      </c>
      <c r="B461" s="20"/>
      <c r="C461" s="20"/>
      <c r="D461" s="20"/>
      <c r="E461" s="20"/>
      <c r="F461" s="20"/>
      <c r="G461" s="20"/>
      <c r="H461" s="20"/>
      <c r="I461" s="21"/>
      <c r="J461" s="20"/>
      <c r="K461" s="14" t="str">
        <f aca="false">IF(AND(I461&lt;&gt;"",H461&lt;&gt;"",J461&lt;&gt;""),IF(J461="W",I461*H461,IF(J461="L",-I461,IF(J461="P",I461*H461*0.5,""))),"")</f>
        <v/>
      </c>
      <c r="L461" s="15" t="str">
        <f aca="false">IF(AND(K461&lt;&gt;"",P460&lt;&gt;""),K461/P460,IF(K461&lt;&gt;"",K461/$D$2,""))</f>
        <v/>
      </c>
      <c r="M461" s="20"/>
      <c r="N461" s="20"/>
      <c r="O461" s="20"/>
      <c r="P461" s="16" t="str">
        <f aca="false">IF(K461&lt;&gt;"",P460+K461,IF(B461&lt;&gt;"",P460,""))</f>
        <v/>
      </c>
      <c r="Q461" s="17" t="str">
        <f aca="false">IF(P461&lt;&gt;"",MIN(0,P461-MAX($P$4:P461)),"")</f>
        <v/>
      </c>
    </row>
    <row r="462" customFormat="false" ht="15" hidden="false" customHeight="true" outlineLevel="0" collapsed="false">
      <c r="A462" s="11" t="str">
        <f aca="false">IF(B462&lt;&gt;"",COUNTA($B$4:B462),"")</f>
        <v/>
      </c>
      <c r="B462" s="12"/>
      <c r="C462" s="12"/>
      <c r="D462" s="12"/>
      <c r="E462" s="12"/>
      <c r="F462" s="12"/>
      <c r="G462" s="12"/>
      <c r="H462" s="12"/>
      <c r="I462" s="13"/>
      <c r="J462" s="12"/>
      <c r="K462" s="14" t="str">
        <f aca="false">IF(AND(I462&lt;&gt;"",H462&lt;&gt;"",J462&lt;&gt;""),IF(J462="W",I462*H462,IF(J462="L",-I462,IF(J462="P",I462*H462*0.5,""))),"")</f>
        <v/>
      </c>
      <c r="L462" s="15" t="str">
        <f aca="false">IF(AND(K462&lt;&gt;"",P461&lt;&gt;""),K462/P461,IF(K462&lt;&gt;"",K462/$D$2,""))</f>
        <v/>
      </c>
      <c r="M462" s="12"/>
      <c r="N462" s="12"/>
      <c r="O462" s="12"/>
      <c r="P462" s="16" t="str">
        <f aca="false">IF(K462&lt;&gt;"",P461+K462,IF(B462&lt;&gt;"",P461,""))</f>
        <v/>
      </c>
      <c r="Q462" s="17" t="str">
        <f aca="false">IF(P462&lt;&gt;"",MIN(0,P462-MAX($P$4:P462)),"")</f>
        <v/>
      </c>
    </row>
    <row r="463" customFormat="false" ht="15" hidden="false" customHeight="true" outlineLevel="0" collapsed="false">
      <c r="A463" s="11" t="str">
        <f aca="false">IF(B463&lt;&gt;"",COUNTA($B$4:B463),"")</f>
        <v/>
      </c>
      <c r="B463" s="20"/>
      <c r="C463" s="20"/>
      <c r="D463" s="20"/>
      <c r="E463" s="20"/>
      <c r="F463" s="20"/>
      <c r="G463" s="20"/>
      <c r="H463" s="20"/>
      <c r="I463" s="21"/>
      <c r="J463" s="20"/>
      <c r="K463" s="14" t="str">
        <f aca="false">IF(AND(I463&lt;&gt;"",H463&lt;&gt;"",J463&lt;&gt;""),IF(J463="W",I463*H463,IF(J463="L",-I463,IF(J463="P",I463*H463*0.5,""))),"")</f>
        <v/>
      </c>
      <c r="L463" s="15" t="str">
        <f aca="false">IF(AND(K463&lt;&gt;"",P462&lt;&gt;""),K463/P462,IF(K463&lt;&gt;"",K463/$D$2,""))</f>
        <v/>
      </c>
      <c r="M463" s="20"/>
      <c r="N463" s="20"/>
      <c r="O463" s="20"/>
      <c r="P463" s="16" t="str">
        <f aca="false">IF(K463&lt;&gt;"",P462+K463,IF(B463&lt;&gt;"",P462,""))</f>
        <v/>
      </c>
      <c r="Q463" s="17" t="str">
        <f aca="false">IF(P463&lt;&gt;"",MIN(0,P463-MAX($P$4:P463)),"")</f>
        <v/>
      </c>
    </row>
    <row r="464" customFormat="false" ht="15" hidden="false" customHeight="true" outlineLevel="0" collapsed="false">
      <c r="A464" s="11" t="str">
        <f aca="false">IF(B464&lt;&gt;"",COUNTA($B$4:B464),"")</f>
        <v/>
      </c>
      <c r="B464" s="12"/>
      <c r="C464" s="12"/>
      <c r="D464" s="12"/>
      <c r="E464" s="12"/>
      <c r="F464" s="12"/>
      <c r="G464" s="12"/>
      <c r="H464" s="12"/>
      <c r="I464" s="13"/>
      <c r="J464" s="12"/>
      <c r="K464" s="14" t="str">
        <f aca="false">IF(AND(I464&lt;&gt;"",H464&lt;&gt;"",J464&lt;&gt;""),IF(J464="W",I464*H464,IF(J464="L",-I464,IF(J464="P",I464*H464*0.5,""))),"")</f>
        <v/>
      </c>
      <c r="L464" s="15" t="str">
        <f aca="false">IF(AND(K464&lt;&gt;"",P463&lt;&gt;""),K464/P463,IF(K464&lt;&gt;"",K464/$D$2,""))</f>
        <v/>
      </c>
      <c r="M464" s="12"/>
      <c r="N464" s="12"/>
      <c r="O464" s="12"/>
      <c r="P464" s="16" t="str">
        <f aca="false">IF(K464&lt;&gt;"",P463+K464,IF(B464&lt;&gt;"",P463,""))</f>
        <v/>
      </c>
      <c r="Q464" s="17" t="str">
        <f aca="false">IF(P464&lt;&gt;"",MIN(0,P464-MAX($P$4:P464)),"")</f>
        <v/>
      </c>
    </row>
    <row r="465" customFormat="false" ht="15" hidden="false" customHeight="true" outlineLevel="0" collapsed="false">
      <c r="A465" s="11" t="str">
        <f aca="false">IF(B465&lt;&gt;"",COUNTA($B$4:B465),"")</f>
        <v/>
      </c>
      <c r="B465" s="20"/>
      <c r="C465" s="20"/>
      <c r="D465" s="20"/>
      <c r="E465" s="20"/>
      <c r="F465" s="20"/>
      <c r="G465" s="20"/>
      <c r="H465" s="20"/>
      <c r="I465" s="21"/>
      <c r="J465" s="20"/>
      <c r="K465" s="14" t="str">
        <f aca="false">IF(AND(I465&lt;&gt;"",H465&lt;&gt;"",J465&lt;&gt;""),IF(J465="W",I465*H465,IF(J465="L",-I465,IF(J465="P",I465*H465*0.5,""))),"")</f>
        <v/>
      </c>
      <c r="L465" s="15" t="str">
        <f aca="false">IF(AND(K465&lt;&gt;"",P464&lt;&gt;""),K465/P464,IF(K465&lt;&gt;"",K465/$D$2,""))</f>
        <v/>
      </c>
      <c r="M465" s="20"/>
      <c r="N465" s="20"/>
      <c r="O465" s="20"/>
      <c r="P465" s="16" t="str">
        <f aca="false">IF(K465&lt;&gt;"",P464+K465,IF(B465&lt;&gt;"",P464,""))</f>
        <v/>
      </c>
      <c r="Q465" s="17" t="str">
        <f aca="false">IF(P465&lt;&gt;"",MIN(0,P465-MAX($P$4:P465)),"")</f>
        <v/>
      </c>
    </row>
    <row r="466" customFormat="false" ht="15" hidden="false" customHeight="true" outlineLevel="0" collapsed="false">
      <c r="A466" s="11" t="str">
        <f aca="false">IF(B466&lt;&gt;"",COUNTA($B$4:B466),"")</f>
        <v/>
      </c>
      <c r="B466" s="12"/>
      <c r="C466" s="12"/>
      <c r="D466" s="12"/>
      <c r="E466" s="12"/>
      <c r="F466" s="12"/>
      <c r="G466" s="12"/>
      <c r="H466" s="12"/>
      <c r="I466" s="13"/>
      <c r="J466" s="12"/>
      <c r="K466" s="14" t="str">
        <f aca="false">IF(AND(I466&lt;&gt;"",H466&lt;&gt;"",J466&lt;&gt;""),IF(J466="W",I466*H466,IF(J466="L",-I466,IF(J466="P",I466*H466*0.5,""))),"")</f>
        <v/>
      </c>
      <c r="L466" s="15" t="str">
        <f aca="false">IF(AND(K466&lt;&gt;"",P465&lt;&gt;""),K466/P465,IF(K466&lt;&gt;"",K466/$D$2,""))</f>
        <v/>
      </c>
      <c r="M466" s="12"/>
      <c r="N466" s="12"/>
      <c r="O466" s="12"/>
      <c r="P466" s="16" t="str">
        <f aca="false">IF(K466&lt;&gt;"",P465+K466,IF(B466&lt;&gt;"",P465,""))</f>
        <v/>
      </c>
      <c r="Q466" s="17" t="str">
        <f aca="false">IF(P466&lt;&gt;"",MIN(0,P466-MAX($P$4:P466)),"")</f>
        <v/>
      </c>
    </row>
    <row r="467" customFormat="false" ht="15" hidden="false" customHeight="true" outlineLevel="0" collapsed="false">
      <c r="A467" s="11" t="str">
        <f aca="false">IF(B467&lt;&gt;"",COUNTA($B$4:B467),"")</f>
        <v/>
      </c>
      <c r="B467" s="20"/>
      <c r="C467" s="20"/>
      <c r="D467" s="20"/>
      <c r="E467" s="20"/>
      <c r="F467" s="20"/>
      <c r="G467" s="20"/>
      <c r="H467" s="20"/>
      <c r="I467" s="21"/>
      <c r="J467" s="20"/>
      <c r="K467" s="14" t="str">
        <f aca="false">IF(AND(I467&lt;&gt;"",H467&lt;&gt;"",J467&lt;&gt;""),IF(J467="W",I467*H467,IF(J467="L",-I467,IF(J467="P",I467*H467*0.5,""))),"")</f>
        <v/>
      </c>
      <c r="L467" s="15" t="str">
        <f aca="false">IF(AND(K467&lt;&gt;"",P466&lt;&gt;""),K467/P466,IF(K467&lt;&gt;"",K467/$D$2,""))</f>
        <v/>
      </c>
      <c r="M467" s="20"/>
      <c r="N467" s="20"/>
      <c r="O467" s="20"/>
      <c r="P467" s="16" t="str">
        <f aca="false">IF(K467&lt;&gt;"",P466+K467,IF(B467&lt;&gt;"",P466,""))</f>
        <v/>
      </c>
      <c r="Q467" s="17" t="str">
        <f aca="false">IF(P467&lt;&gt;"",MIN(0,P467-MAX($P$4:P467)),"")</f>
        <v/>
      </c>
    </row>
    <row r="468" customFormat="false" ht="15" hidden="false" customHeight="true" outlineLevel="0" collapsed="false">
      <c r="A468" s="11" t="str">
        <f aca="false">IF(B468&lt;&gt;"",COUNTA($B$4:B468),"")</f>
        <v/>
      </c>
      <c r="B468" s="12"/>
      <c r="C468" s="12"/>
      <c r="D468" s="12"/>
      <c r="E468" s="12"/>
      <c r="F468" s="12"/>
      <c r="G468" s="12"/>
      <c r="H468" s="12"/>
      <c r="I468" s="13"/>
      <c r="J468" s="12"/>
      <c r="K468" s="14" t="str">
        <f aca="false">IF(AND(I468&lt;&gt;"",H468&lt;&gt;"",J468&lt;&gt;""),IF(J468="W",I468*H468,IF(J468="L",-I468,IF(J468="P",I468*H468*0.5,""))),"")</f>
        <v/>
      </c>
      <c r="L468" s="15" t="str">
        <f aca="false">IF(AND(K468&lt;&gt;"",P467&lt;&gt;""),K468/P467,IF(K468&lt;&gt;"",K468/$D$2,""))</f>
        <v/>
      </c>
      <c r="M468" s="12"/>
      <c r="N468" s="12"/>
      <c r="O468" s="12"/>
      <c r="P468" s="16" t="str">
        <f aca="false">IF(K468&lt;&gt;"",P467+K468,IF(B468&lt;&gt;"",P467,""))</f>
        <v/>
      </c>
      <c r="Q468" s="17" t="str">
        <f aca="false">IF(P468&lt;&gt;"",MIN(0,P468-MAX($P$4:P468)),"")</f>
        <v/>
      </c>
    </row>
    <row r="469" customFormat="false" ht="15" hidden="false" customHeight="true" outlineLevel="0" collapsed="false">
      <c r="A469" s="11" t="str">
        <f aca="false">IF(B469&lt;&gt;"",COUNTA($B$4:B469),"")</f>
        <v/>
      </c>
      <c r="B469" s="20"/>
      <c r="C469" s="20"/>
      <c r="D469" s="20"/>
      <c r="E469" s="20"/>
      <c r="F469" s="20"/>
      <c r="G469" s="20"/>
      <c r="H469" s="20"/>
      <c r="I469" s="21"/>
      <c r="J469" s="20"/>
      <c r="K469" s="14" t="str">
        <f aca="false">IF(AND(I469&lt;&gt;"",H469&lt;&gt;"",J469&lt;&gt;""),IF(J469="W",I469*H469,IF(J469="L",-I469,IF(J469="P",I469*H469*0.5,""))),"")</f>
        <v/>
      </c>
      <c r="L469" s="15" t="str">
        <f aca="false">IF(AND(K469&lt;&gt;"",P468&lt;&gt;""),K469/P468,IF(K469&lt;&gt;"",K469/$D$2,""))</f>
        <v/>
      </c>
      <c r="M469" s="20"/>
      <c r="N469" s="20"/>
      <c r="O469" s="20"/>
      <c r="P469" s="16" t="str">
        <f aca="false">IF(K469&lt;&gt;"",P468+K469,IF(B469&lt;&gt;"",P468,""))</f>
        <v/>
      </c>
      <c r="Q469" s="17" t="str">
        <f aca="false">IF(P469&lt;&gt;"",MIN(0,P469-MAX($P$4:P469)),"")</f>
        <v/>
      </c>
    </row>
    <row r="470" customFormat="false" ht="15" hidden="false" customHeight="true" outlineLevel="0" collapsed="false">
      <c r="A470" s="11" t="str">
        <f aca="false">IF(B470&lt;&gt;"",COUNTA($B$4:B470),"")</f>
        <v/>
      </c>
      <c r="B470" s="12"/>
      <c r="C470" s="12"/>
      <c r="D470" s="12"/>
      <c r="E470" s="12"/>
      <c r="F470" s="12"/>
      <c r="G470" s="12"/>
      <c r="H470" s="12"/>
      <c r="I470" s="13"/>
      <c r="J470" s="12"/>
      <c r="K470" s="14" t="str">
        <f aca="false">IF(AND(I470&lt;&gt;"",H470&lt;&gt;"",J470&lt;&gt;""),IF(J470="W",I470*H470,IF(J470="L",-I470,IF(J470="P",I470*H470*0.5,""))),"")</f>
        <v/>
      </c>
      <c r="L470" s="15" t="str">
        <f aca="false">IF(AND(K470&lt;&gt;"",P469&lt;&gt;""),K470/P469,IF(K470&lt;&gt;"",K470/$D$2,""))</f>
        <v/>
      </c>
      <c r="M470" s="12"/>
      <c r="N470" s="12"/>
      <c r="O470" s="12"/>
      <c r="P470" s="16" t="str">
        <f aca="false">IF(K470&lt;&gt;"",P469+K470,IF(B470&lt;&gt;"",P469,""))</f>
        <v/>
      </c>
      <c r="Q470" s="17" t="str">
        <f aca="false">IF(P470&lt;&gt;"",MIN(0,P470-MAX($P$4:P470)),"")</f>
        <v/>
      </c>
    </row>
    <row r="471" customFormat="false" ht="15" hidden="false" customHeight="true" outlineLevel="0" collapsed="false">
      <c r="A471" s="11" t="str">
        <f aca="false">IF(B471&lt;&gt;"",COUNTA($B$4:B471),"")</f>
        <v/>
      </c>
      <c r="B471" s="20"/>
      <c r="C471" s="20"/>
      <c r="D471" s="20"/>
      <c r="E471" s="20"/>
      <c r="F471" s="20"/>
      <c r="G471" s="20"/>
      <c r="H471" s="20"/>
      <c r="I471" s="21"/>
      <c r="J471" s="20"/>
      <c r="K471" s="14" t="str">
        <f aca="false">IF(AND(I471&lt;&gt;"",H471&lt;&gt;"",J471&lt;&gt;""),IF(J471="W",I471*H471,IF(J471="L",-I471,IF(J471="P",I471*H471*0.5,""))),"")</f>
        <v/>
      </c>
      <c r="L471" s="15" t="str">
        <f aca="false">IF(AND(K471&lt;&gt;"",P470&lt;&gt;""),K471/P470,IF(K471&lt;&gt;"",K471/$D$2,""))</f>
        <v/>
      </c>
      <c r="M471" s="20"/>
      <c r="N471" s="20"/>
      <c r="O471" s="20"/>
      <c r="P471" s="16" t="str">
        <f aca="false">IF(K471&lt;&gt;"",P470+K471,IF(B471&lt;&gt;"",P470,""))</f>
        <v/>
      </c>
      <c r="Q471" s="17" t="str">
        <f aca="false">IF(P471&lt;&gt;"",MIN(0,P471-MAX($P$4:P471)),"")</f>
        <v/>
      </c>
    </row>
    <row r="472" customFormat="false" ht="15" hidden="false" customHeight="true" outlineLevel="0" collapsed="false">
      <c r="A472" s="11" t="str">
        <f aca="false">IF(B472&lt;&gt;"",COUNTA($B$4:B472),"")</f>
        <v/>
      </c>
      <c r="B472" s="12"/>
      <c r="C472" s="12"/>
      <c r="D472" s="12"/>
      <c r="E472" s="12"/>
      <c r="F472" s="12"/>
      <c r="G472" s="12"/>
      <c r="H472" s="12"/>
      <c r="I472" s="13"/>
      <c r="J472" s="12"/>
      <c r="K472" s="14" t="str">
        <f aca="false">IF(AND(I472&lt;&gt;"",H472&lt;&gt;"",J472&lt;&gt;""),IF(J472="W",I472*H472,IF(J472="L",-I472,IF(J472="P",I472*H472*0.5,""))),"")</f>
        <v/>
      </c>
      <c r="L472" s="15" t="str">
        <f aca="false">IF(AND(K472&lt;&gt;"",P471&lt;&gt;""),K472/P471,IF(K472&lt;&gt;"",K472/$D$2,""))</f>
        <v/>
      </c>
      <c r="M472" s="12"/>
      <c r="N472" s="12"/>
      <c r="O472" s="12"/>
      <c r="P472" s="16" t="str">
        <f aca="false">IF(K472&lt;&gt;"",P471+K472,IF(B472&lt;&gt;"",P471,""))</f>
        <v/>
      </c>
      <c r="Q472" s="17" t="str">
        <f aca="false">IF(P472&lt;&gt;"",MIN(0,P472-MAX($P$4:P472)),"")</f>
        <v/>
      </c>
    </row>
    <row r="473" customFormat="false" ht="15" hidden="false" customHeight="true" outlineLevel="0" collapsed="false">
      <c r="A473" s="11" t="str">
        <f aca="false">IF(B473&lt;&gt;"",COUNTA($B$4:B473),"")</f>
        <v/>
      </c>
      <c r="B473" s="20"/>
      <c r="C473" s="20"/>
      <c r="D473" s="20"/>
      <c r="E473" s="20"/>
      <c r="F473" s="20"/>
      <c r="G473" s="20"/>
      <c r="H473" s="20"/>
      <c r="I473" s="21"/>
      <c r="J473" s="20"/>
      <c r="K473" s="14" t="str">
        <f aca="false">IF(AND(I473&lt;&gt;"",H473&lt;&gt;"",J473&lt;&gt;""),IF(J473="W",I473*H473,IF(J473="L",-I473,IF(J473="P",I473*H473*0.5,""))),"")</f>
        <v/>
      </c>
      <c r="L473" s="15" t="str">
        <f aca="false">IF(AND(K473&lt;&gt;"",P472&lt;&gt;""),K473/P472,IF(K473&lt;&gt;"",K473/$D$2,""))</f>
        <v/>
      </c>
      <c r="M473" s="20"/>
      <c r="N473" s="20"/>
      <c r="O473" s="20"/>
      <c r="P473" s="16" t="str">
        <f aca="false">IF(K473&lt;&gt;"",P472+K473,IF(B473&lt;&gt;"",P472,""))</f>
        <v/>
      </c>
      <c r="Q473" s="17" t="str">
        <f aca="false">IF(P473&lt;&gt;"",MIN(0,P473-MAX($P$4:P473)),"")</f>
        <v/>
      </c>
    </row>
    <row r="474" customFormat="false" ht="15" hidden="false" customHeight="true" outlineLevel="0" collapsed="false">
      <c r="A474" s="11" t="str">
        <f aca="false">IF(B474&lt;&gt;"",COUNTA($B$4:B474),"")</f>
        <v/>
      </c>
      <c r="B474" s="12"/>
      <c r="C474" s="12"/>
      <c r="D474" s="12"/>
      <c r="E474" s="12"/>
      <c r="F474" s="12"/>
      <c r="G474" s="12"/>
      <c r="H474" s="12"/>
      <c r="I474" s="13"/>
      <c r="J474" s="12"/>
      <c r="K474" s="14" t="str">
        <f aca="false">IF(AND(I474&lt;&gt;"",H474&lt;&gt;"",J474&lt;&gt;""),IF(J474="W",I474*H474,IF(J474="L",-I474,IF(J474="P",I474*H474*0.5,""))),"")</f>
        <v/>
      </c>
      <c r="L474" s="15" t="str">
        <f aca="false">IF(AND(K474&lt;&gt;"",P473&lt;&gt;""),K474/P473,IF(K474&lt;&gt;"",K474/$D$2,""))</f>
        <v/>
      </c>
      <c r="M474" s="12"/>
      <c r="N474" s="12"/>
      <c r="O474" s="12"/>
      <c r="P474" s="16" t="str">
        <f aca="false">IF(K474&lt;&gt;"",P473+K474,IF(B474&lt;&gt;"",P473,""))</f>
        <v/>
      </c>
      <c r="Q474" s="17" t="str">
        <f aca="false">IF(P474&lt;&gt;"",MIN(0,P474-MAX($P$4:P474)),"")</f>
        <v/>
      </c>
    </row>
    <row r="475" customFormat="false" ht="15" hidden="false" customHeight="true" outlineLevel="0" collapsed="false">
      <c r="A475" s="11" t="str">
        <f aca="false">IF(B475&lt;&gt;"",COUNTA($B$4:B475),"")</f>
        <v/>
      </c>
      <c r="B475" s="20"/>
      <c r="C475" s="20"/>
      <c r="D475" s="20"/>
      <c r="E475" s="20"/>
      <c r="F475" s="20"/>
      <c r="G475" s="20"/>
      <c r="H475" s="20"/>
      <c r="I475" s="21"/>
      <c r="J475" s="20"/>
      <c r="K475" s="14" t="str">
        <f aca="false">IF(AND(I475&lt;&gt;"",H475&lt;&gt;"",J475&lt;&gt;""),IF(J475="W",I475*H475,IF(J475="L",-I475,IF(J475="P",I475*H475*0.5,""))),"")</f>
        <v/>
      </c>
      <c r="L475" s="15" t="str">
        <f aca="false">IF(AND(K475&lt;&gt;"",P474&lt;&gt;""),K475/P474,IF(K475&lt;&gt;"",K475/$D$2,""))</f>
        <v/>
      </c>
      <c r="M475" s="20"/>
      <c r="N475" s="20"/>
      <c r="O475" s="20"/>
      <c r="P475" s="16" t="str">
        <f aca="false">IF(K475&lt;&gt;"",P474+K475,IF(B475&lt;&gt;"",P474,""))</f>
        <v/>
      </c>
      <c r="Q475" s="17" t="str">
        <f aca="false">IF(P475&lt;&gt;"",MIN(0,P475-MAX($P$4:P475)),"")</f>
        <v/>
      </c>
    </row>
    <row r="476" customFormat="false" ht="15" hidden="false" customHeight="true" outlineLevel="0" collapsed="false">
      <c r="A476" s="11" t="str">
        <f aca="false">IF(B476&lt;&gt;"",COUNTA($B$4:B476),"")</f>
        <v/>
      </c>
      <c r="B476" s="12"/>
      <c r="C476" s="12"/>
      <c r="D476" s="12"/>
      <c r="E476" s="12"/>
      <c r="F476" s="12"/>
      <c r="G476" s="12"/>
      <c r="H476" s="12"/>
      <c r="I476" s="13"/>
      <c r="J476" s="12"/>
      <c r="K476" s="14" t="str">
        <f aca="false">IF(AND(I476&lt;&gt;"",H476&lt;&gt;"",J476&lt;&gt;""),IF(J476="W",I476*H476,IF(J476="L",-I476,IF(J476="P",I476*H476*0.5,""))),"")</f>
        <v/>
      </c>
      <c r="L476" s="15" t="str">
        <f aca="false">IF(AND(K476&lt;&gt;"",P475&lt;&gt;""),K476/P475,IF(K476&lt;&gt;"",K476/$D$2,""))</f>
        <v/>
      </c>
      <c r="M476" s="12"/>
      <c r="N476" s="12"/>
      <c r="O476" s="12"/>
      <c r="P476" s="16" t="str">
        <f aca="false">IF(K476&lt;&gt;"",P475+K476,IF(B476&lt;&gt;"",P475,""))</f>
        <v/>
      </c>
      <c r="Q476" s="17" t="str">
        <f aca="false">IF(P476&lt;&gt;"",MIN(0,P476-MAX($P$4:P476)),"")</f>
        <v/>
      </c>
    </row>
    <row r="477" customFormat="false" ht="15" hidden="false" customHeight="true" outlineLevel="0" collapsed="false">
      <c r="A477" s="11" t="str">
        <f aca="false">IF(B477&lt;&gt;"",COUNTA($B$4:B477),"")</f>
        <v/>
      </c>
      <c r="B477" s="20"/>
      <c r="C477" s="20"/>
      <c r="D477" s="20"/>
      <c r="E477" s="20"/>
      <c r="F477" s="20"/>
      <c r="G477" s="20"/>
      <c r="H477" s="20"/>
      <c r="I477" s="21"/>
      <c r="J477" s="20"/>
      <c r="K477" s="14" t="str">
        <f aca="false">IF(AND(I477&lt;&gt;"",H477&lt;&gt;"",J477&lt;&gt;""),IF(J477="W",I477*H477,IF(J477="L",-I477,IF(J477="P",I477*H477*0.5,""))),"")</f>
        <v/>
      </c>
      <c r="L477" s="15" t="str">
        <f aca="false">IF(AND(K477&lt;&gt;"",P476&lt;&gt;""),K477/P476,IF(K477&lt;&gt;"",K477/$D$2,""))</f>
        <v/>
      </c>
      <c r="M477" s="20"/>
      <c r="N477" s="20"/>
      <c r="O477" s="20"/>
      <c r="P477" s="16" t="str">
        <f aca="false">IF(K477&lt;&gt;"",P476+K477,IF(B477&lt;&gt;"",P476,""))</f>
        <v/>
      </c>
      <c r="Q477" s="17" t="str">
        <f aca="false">IF(P477&lt;&gt;"",MIN(0,P477-MAX($P$4:P477)),"")</f>
        <v/>
      </c>
    </row>
    <row r="478" customFormat="false" ht="15" hidden="false" customHeight="true" outlineLevel="0" collapsed="false">
      <c r="A478" s="11" t="str">
        <f aca="false">IF(B478&lt;&gt;"",COUNTA($B$4:B478),"")</f>
        <v/>
      </c>
      <c r="B478" s="12"/>
      <c r="C478" s="12"/>
      <c r="D478" s="12"/>
      <c r="E478" s="12"/>
      <c r="F478" s="12"/>
      <c r="G478" s="12"/>
      <c r="H478" s="12"/>
      <c r="I478" s="13"/>
      <c r="J478" s="12"/>
      <c r="K478" s="14" t="str">
        <f aca="false">IF(AND(I478&lt;&gt;"",H478&lt;&gt;"",J478&lt;&gt;""),IF(J478="W",I478*H478,IF(J478="L",-I478,IF(J478="P",I478*H478*0.5,""))),"")</f>
        <v/>
      </c>
      <c r="L478" s="15" t="str">
        <f aca="false">IF(AND(K478&lt;&gt;"",P477&lt;&gt;""),K478/P477,IF(K478&lt;&gt;"",K478/$D$2,""))</f>
        <v/>
      </c>
      <c r="M478" s="12"/>
      <c r="N478" s="12"/>
      <c r="O478" s="12"/>
      <c r="P478" s="16" t="str">
        <f aca="false">IF(K478&lt;&gt;"",P477+K478,IF(B478&lt;&gt;"",P477,""))</f>
        <v/>
      </c>
      <c r="Q478" s="17" t="str">
        <f aca="false">IF(P478&lt;&gt;"",MIN(0,P478-MAX($P$4:P478)),"")</f>
        <v/>
      </c>
    </row>
    <row r="479" customFormat="false" ht="15" hidden="false" customHeight="true" outlineLevel="0" collapsed="false">
      <c r="A479" s="11" t="str">
        <f aca="false">IF(B479&lt;&gt;"",COUNTA($B$4:B479),"")</f>
        <v/>
      </c>
      <c r="B479" s="20"/>
      <c r="C479" s="20"/>
      <c r="D479" s="20"/>
      <c r="E479" s="20"/>
      <c r="F479" s="20"/>
      <c r="G479" s="20"/>
      <c r="H479" s="20"/>
      <c r="I479" s="21"/>
      <c r="J479" s="20"/>
      <c r="K479" s="14" t="str">
        <f aca="false">IF(AND(I479&lt;&gt;"",H479&lt;&gt;"",J479&lt;&gt;""),IF(J479="W",I479*H479,IF(J479="L",-I479,IF(J479="P",I479*H479*0.5,""))),"")</f>
        <v/>
      </c>
      <c r="L479" s="15" t="str">
        <f aca="false">IF(AND(K479&lt;&gt;"",P478&lt;&gt;""),K479/P478,IF(K479&lt;&gt;"",K479/$D$2,""))</f>
        <v/>
      </c>
      <c r="M479" s="20"/>
      <c r="N479" s="20"/>
      <c r="O479" s="20"/>
      <c r="P479" s="16" t="str">
        <f aca="false">IF(K479&lt;&gt;"",P478+K479,IF(B479&lt;&gt;"",P478,""))</f>
        <v/>
      </c>
      <c r="Q479" s="17" t="str">
        <f aca="false">IF(P479&lt;&gt;"",MIN(0,P479-MAX($P$4:P479)),"")</f>
        <v/>
      </c>
    </row>
    <row r="480" customFormat="false" ht="15" hidden="false" customHeight="true" outlineLevel="0" collapsed="false">
      <c r="A480" s="11" t="str">
        <f aca="false">IF(B480&lt;&gt;"",COUNTA($B$4:B480),"")</f>
        <v/>
      </c>
      <c r="B480" s="12"/>
      <c r="C480" s="12"/>
      <c r="D480" s="12"/>
      <c r="E480" s="12"/>
      <c r="F480" s="12"/>
      <c r="G480" s="12"/>
      <c r="H480" s="12"/>
      <c r="I480" s="13"/>
      <c r="J480" s="12"/>
      <c r="K480" s="14" t="str">
        <f aca="false">IF(AND(I480&lt;&gt;"",H480&lt;&gt;"",J480&lt;&gt;""),IF(J480="W",I480*H480,IF(J480="L",-I480,IF(J480="P",I480*H480*0.5,""))),"")</f>
        <v/>
      </c>
      <c r="L480" s="15" t="str">
        <f aca="false">IF(AND(K480&lt;&gt;"",P479&lt;&gt;""),K480/P479,IF(K480&lt;&gt;"",K480/$D$2,""))</f>
        <v/>
      </c>
      <c r="M480" s="12"/>
      <c r="N480" s="12"/>
      <c r="O480" s="12"/>
      <c r="P480" s="16" t="str">
        <f aca="false">IF(K480&lt;&gt;"",P479+K480,IF(B480&lt;&gt;"",P479,""))</f>
        <v/>
      </c>
      <c r="Q480" s="17" t="str">
        <f aca="false">IF(P480&lt;&gt;"",MIN(0,P480-MAX($P$4:P480)),"")</f>
        <v/>
      </c>
    </row>
    <row r="481" customFormat="false" ht="15" hidden="false" customHeight="true" outlineLevel="0" collapsed="false">
      <c r="A481" s="11" t="str">
        <f aca="false">IF(B481&lt;&gt;"",COUNTA($B$4:B481),"")</f>
        <v/>
      </c>
      <c r="B481" s="20"/>
      <c r="C481" s="20"/>
      <c r="D481" s="20"/>
      <c r="E481" s="20"/>
      <c r="F481" s="20"/>
      <c r="G481" s="20"/>
      <c r="H481" s="20"/>
      <c r="I481" s="21"/>
      <c r="J481" s="20"/>
      <c r="K481" s="14" t="str">
        <f aca="false">IF(AND(I481&lt;&gt;"",H481&lt;&gt;"",J481&lt;&gt;""),IF(J481="W",I481*H481,IF(J481="L",-I481,IF(J481="P",I481*H481*0.5,""))),"")</f>
        <v/>
      </c>
      <c r="L481" s="15" t="str">
        <f aca="false">IF(AND(K481&lt;&gt;"",P480&lt;&gt;""),K481/P480,IF(K481&lt;&gt;"",K481/$D$2,""))</f>
        <v/>
      </c>
      <c r="M481" s="20"/>
      <c r="N481" s="20"/>
      <c r="O481" s="20"/>
      <c r="P481" s="16" t="str">
        <f aca="false">IF(K481&lt;&gt;"",P480+K481,IF(B481&lt;&gt;"",P480,""))</f>
        <v/>
      </c>
      <c r="Q481" s="17" t="str">
        <f aca="false">IF(P481&lt;&gt;"",MIN(0,P481-MAX($P$4:P481)),"")</f>
        <v/>
      </c>
    </row>
    <row r="482" customFormat="false" ht="15" hidden="false" customHeight="true" outlineLevel="0" collapsed="false">
      <c r="A482" s="11" t="str">
        <f aca="false">IF(B482&lt;&gt;"",COUNTA($B$4:B482),"")</f>
        <v/>
      </c>
      <c r="B482" s="12"/>
      <c r="C482" s="12"/>
      <c r="D482" s="12"/>
      <c r="E482" s="12"/>
      <c r="F482" s="12"/>
      <c r="G482" s="12"/>
      <c r="H482" s="12"/>
      <c r="I482" s="13"/>
      <c r="J482" s="12"/>
      <c r="K482" s="14" t="str">
        <f aca="false">IF(AND(I482&lt;&gt;"",H482&lt;&gt;"",J482&lt;&gt;""),IF(J482="W",I482*H482,IF(J482="L",-I482,IF(J482="P",I482*H482*0.5,""))),"")</f>
        <v/>
      </c>
      <c r="L482" s="15" t="str">
        <f aca="false">IF(AND(K482&lt;&gt;"",P481&lt;&gt;""),K482/P481,IF(K482&lt;&gt;"",K482/$D$2,""))</f>
        <v/>
      </c>
      <c r="M482" s="12"/>
      <c r="N482" s="12"/>
      <c r="O482" s="12"/>
      <c r="P482" s="16" t="str">
        <f aca="false">IF(K482&lt;&gt;"",P481+K482,IF(B482&lt;&gt;"",P481,""))</f>
        <v/>
      </c>
      <c r="Q482" s="17" t="str">
        <f aca="false">IF(P482&lt;&gt;"",MIN(0,P482-MAX($P$4:P482)),"")</f>
        <v/>
      </c>
    </row>
    <row r="483" customFormat="false" ht="15" hidden="false" customHeight="true" outlineLevel="0" collapsed="false">
      <c r="A483" s="11" t="str">
        <f aca="false">IF(B483&lt;&gt;"",COUNTA($B$4:B483),"")</f>
        <v/>
      </c>
      <c r="B483" s="20"/>
      <c r="C483" s="20"/>
      <c r="D483" s="20"/>
      <c r="E483" s="20"/>
      <c r="F483" s="20"/>
      <c r="G483" s="20"/>
      <c r="H483" s="20"/>
      <c r="I483" s="21"/>
      <c r="J483" s="20"/>
      <c r="K483" s="14" t="str">
        <f aca="false">IF(AND(I483&lt;&gt;"",H483&lt;&gt;"",J483&lt;&gt;""),IF(J483="W",I483*H483,IF(J483="L",-I483,IF(J483="P",I483*H483*0.5,""))),"")</f>
        <v/>
      </c>
      <c r="L483" s="15" t="str">
        <f aca="false">IF(AND(K483&lt;&gt;"",P482&lt;&gt;""),K483/P482,IF(K483&lt;&gt;"",K483/$D$2,""))</f>
        <v/>
      </c>
      <c r="M483" s="20"/>
      <c r="N483" s="20"/>
      <c r="O483" s="20"/>
      <c r="P483" s="16" t="str">
        <f aca="false">IF(K483&lt;&gt;"",P482+K483,IF(B483&lt;&gt;"",P482,""))</f>
        <v/>
      </c>
      <c r="Q483" s="17" t="str">
        <f aca="false">IF(P483&lt;&gt;"",MIN(0,P483-MAX($P$4:P483)),"")</f>
        <v/>
      </c>
    </row>
    <row r="484" customFormat="false" ht="15" hidden="false" customHeight="true" outlineLevel="0" collapsed="false">
      <c r="A484" s="11" t="str">
        <f aca="false">IF(B484&lt;&gt;"",COUNTA($B$4:B484),"")</f>
        <v/>
      </c>
      <c r="B484" s="12"/>
      <c r="C484" s="12"/>
      <c r="D484" s="12"/>
      <c r="E484" s="12"/>
      <c r="F484" s="12"/>
      <c r="G484" s="12"/>
      <c r="H484" s="12"/>
      <c r="I484" s="13"/>
      <c r="J484" s="12"/>
      <c r="K484" s="14" t="str">
        <f aca="false">IF(AND(I484&lt;&gt;"",H484&lt;&gt;"",J484&lt;&gt;""),IF(J484="W",I484*H484,IF(J484="L",-I484,IF(J484="P",I484*H484*0.5,""))),"")</f>
        <v/>
      </c>
      <c r="L484" s="15" t="str">
        <f aca="false">IF(AND(K484&lt;&gt;"",P483&lt;&gt;""),K484/P483,IF(K484&lt;&gt;"",K484/$D$2,""))</f>
        <v/>
      </c>
      <c r="M484" s="12"/>
      <c r="N484" s="12"/>
      <c r="O484" s="12"/>
      <c r="P484" s="16" t="str">
        <f aca="false">IF(K484&lt;&gt;"",P483+K484,IF(B484&lt;&gt;"",P483,""))</f>
        <v/>
      </c>
      <c r="Q484" s="17" t="str">
        <f aca="false">IF(P484&lt;&gt;"",MIN(0,P484-MAX($P$4:P484)),"")</f>
        <v/>
      </c>
    </row>
    <row r="485" customFormat="false" ht="15" hidden="false" customHeight="true" outlineLevel="0" collapsed="false">
      <c r="A485" s="11" t="str">
        <f aca="false">IF(B485&lt;&gt;"",COUNTA($B$4:B485),"")</f>
        <v/>
      </c>
      <c r="B485" s="20"/>
      <c r="C485" s="20"/>
      <c r="D485" s="20"/>
      <c r="E485" s="20"/>
      <c r="F485" s="20"/>
      <c r="G485" s="20"/>
      <c r="H485" s="20"/>
      <c r="I485" s="21"/>
      <c r="J485" s="20"/>
      <c r="K485" s="14" t="str">
        <f aca="false">IF(AND(I485&lt;&gt;"",H485&lt;&gt;"",J485&lt;&gt;""),IF(J485="W",I485*H485,IF(J485="L",-I485,IF(J485="P",I485*H485*0.5,""))),"")</f>
        <v/>
      </c>
      <c r="L485" s="15" t="str">
        <f aca="false">IF(AND(K485&lt;&gt;"",P484&lt;&gt;""),K485/P484,IF(K485&lt;&gt;"",K485/$D$2,""))</f>
        <v/>
      </c>
      <c r="M485" s="20"/>
      <c r="N485" s="20"/>
      <c r="O485" s="20"/>
      <c r="P485" s="16" t="str">
        <f aca="false">IF(K485&lt;&gt;"",P484+K485,IF(B485&lt;&gt;"",P484,""))</f>
        <v/>
      </c>
      <c r="Q485" s="17" t="str">
        <f aca="false">IF(P485&lt;&gt;"",MIN(0,P485-MAX($P$4:P485)),"")</f>
        <v/>
      </c>
    </row>
    <row r="486" customFormat="false" ht="15" hidden="false" customHeight="true" outlineLevel="0" collapsed="false">
      <c r="A486" s="11" t="str">
        <f aca="false">IF(B486&lt;&gt;"",COUNTA($B$4:B486),"")</f>
        <v/>
      </c>
      <c r="B486" s="12"/>
      <c r="C486" s="12"/>
      <c r="D486" s="12"/>
      <c r="E486" s="12"/>
      <c r="F486" s="12"/>
      <c r="G486" s="12"/>
      <c r="H486" s="12"/>
      <c r="I486" s="13"/>
      <c r="J486" s="12"/>
      <c r="K486" s="14" t="str">
        <f aca="false">IF(AND(I486&lt;&gt;"",H486&lt;&gt;"",J486&lt;&gt;""),IF(J486="W",I486*H486,IF(J486="L",-I486,IF(J486="P",I486*H486*0.5,""))),"")</f>
        <v/>
      </c>
      <c r="L486" s="15" t="str">
        <f aca="false">IF(AND(K486&lt;&gt;"",P485&lt;&gt;""),K486/P485,IF(K486&lt;&gt;"",K486/$D$2,""))</f>
        <v/>
      </c>
      <c r="M486" s="12"/>
      <c r="N486" s="12"/>
      <c r="O486" s="12"/>
      <c r="P486" s="16" t="str">
        <f aca="false">IF(K486&lt;&gt;"",P485+K486,IF(B486&lt;&gt;"",P485,""))</f>
        <v/>
      </c>
      <c r="Q486" s="17" t="str">
        <f aca="false">IF(P486&lt;&gt;"",MIN(0,P486-MAX($P$4:P486)),"")</f>
        <v/>
      </c>
    </row>
    <row r="487" customFormat="false" ht="15" hidden="false" customHeight="true" outlineLevel="0" collapsed="false">
      <c r="A487" s="11" t="str">
        <f aca="false">IF(B487&lt;&gt;"",COUNTA($B$4:B487),"")</f>
        <v/>
      </c>
      <c r="B487" s="20"/>
      <c r="C487" s="20"/>
      <c r="D487" s="20"/>
      <c r="E487" s="20"/>
      <c r="F487" s="20"/>
      <c r="G487" s="20"/>
      <c r="H487" s="20"/>
      <c r="I487" s="21"/>
      <c r="J487" s="20"/>
      <c r="K487" s="14" t="str">
        <f aca="false">IF(AND(I487&lt;&gt;"",H487&lt;&gt;"",J487&lt;&gt;""),IF(J487="W",I487*H487,IF(J487="L",-I487,IF(J487="P",I487*H487*0.5,""))),"")</f>
        <v/>
      </c>
      <c r="L487" s="15" t="str">
        <f aca="false">IF(AND(K487&lt;&gt;"",P486&lt;&gt;""),K487/P486,IF(K487&lt;&gt;"",K487/$D$2,""))</f>
        <v/>
      </c>
      <c r="M487" s="20"/>
      <c r="N487" s="20"/>
      <c r="O487" s="20"/>
      <c r="P487" s="16" t="str">
        <f aca="false">IF(K487&lt;&gt;"",P486+K487,IF(B487&lt;&gt;"",P486,""))</f>
        <v/>
      </c>
      <c r="Q487" s="17" t="str">
        <f aca="false">IF(P487&lt;&gt;"",MIN(0,P487-MAX($P$4:P487)),"")</f>
        <v/>
      </c>
    </row>
    <row r="488" customFormat="false" ht="15" hidden="false" customHeight="true" outlineLevel="0" collapsed="false">
      <c r="A488" s="11" t="str">
        <f aca="false">IF(B488&lt;&gt;"",COUNTA($B$4:B488),"")</f>
        <v/>
      </c>
      <c r="B488" s="12"/>
      <c r="C488" s="12"/>
      <c r="D488" s="12"/>
      <c r="E488" s="12"/>
      <c r="F488" s="12"/>
      <c r="G488" s="12"/>
      <c r="H488" s="12"/>
      <c r="I488" s="13"/>
      <c r="J488" s="12"/>
      <c r="K488" s="14" t="str">
        <f aca="false">IF(AND(I488&lt;&gt;"",H488&lt;&gt;"",J488&lt;&gt;""),IF(J488="W",I488*H488,IF(J488="L",-I488,IF(J488="P",I488*H488*0.5,""))),"")</f>
        <v/>
      </c>
      <c r="L488" s="15" t="str">
        <f aca="false">IF(AND(K488&lt;&gt;"",P487&lt;&gt;""),K488/P487,IF(K488&lt;&gt;"",K488/$D$2,""))</f>
        <v/>
      </c>
      <c r="M488" s="12"/>
      <c r="N488" s="12"/>
      <c r="O488" s="12"/>
      <c r="P488" s="16" t="str">
        <f aca="false">IF(K488&lt;&gt;"",P487+K488,IF(B488&lt;&gt;"",P487,""))</f>
        <v/>
      </c>
      <c r="Q488" s="17" t="str">
        <f aca="false">IF(P488&lt;&gt;"",MIN(0,P488-MAX($P$4:P488)),"")</f>
        <v/>
      </c>
    </row>
    <row r="489" customFormat="false" ht="15" hidden="false" customHeight="true" outlineLevel="0" collapsed="false">
      <c r="A489" s="11" t="str">
        <f aca="false">IF(B489&lt;&gt;"",COUNTA($B$4:B489),"")</f>
        <v/>
      </c>
      <c r="B489" s="20"/>
      <c r="C489" s="20"/>
      <c r="D489" s="20"/>
      <c r="E489" s="20"/>
      <c r="F489" s="20"/>
      <c r="G489" s="20"/>
      <c r="H489" s="20"/>
      <c r="I489" s="21"/>
      <c r="J489" s="20"/>
      <c r="K489" s="14" t="str">
        <f aca="false">IF(AND(I489&lt;&gt;"",H489&lt;&gt;"",J489&lt;&gt;""),IF(J489="W",I489*H489,IF(J489="L",-I489,IF(J489="P",I489*H489*0.5,""))),"")</f>
        <v/>
      </c>
      <c r="L489" s="15" t="str">
        <f aca="false">IF(AND(K489&lt;&gt;"",P488&lt;&gt;""),K489/P488,IF(K489&lt;&gt;"",K489/$D$2,""))</f>
        <v/>
      </c>
      <c r="M489" s="20"/>
      <c r="N489" s="20"/>
      <c r="O489" s="20"/>
      <c r="P489" s="16" t="str">
        <f aca="false">IF(K489&lt;&gt;"",P488+K489,IF(B489&lt;&gt;"",P488,""))</f>
        <v/>
      </c>
      <c r="Q489" s="17" t="str">
        <f aca="false">IF(P489&lt;&gt;"",MIN(0,P489-MAX($P$4:P489)),"")</f>
        <v/>
      </c>
    </row>
    <row r="490" customFormat="false" ht="15" hidden="false" customHeight="true" outlineLevel="0" collapsed="false">
      <c r="A490" s="11" t="str">
        <f aca="false">IF(B490&lt;&gt;"",COUNTA($B$4:B490),"")</f>
        <v/>
      </c>
      <c r="B490" s="12"/>
      <c r="C490" s="12"/>
      <c r="D490" s="12"/>
      <c r="E490" s="12"/>
      <c r="F490" s="12"/>
      <c r="G490" s="12"/>
      <c r="H490" s="12"/>
      <c r="I490" s="13"/>
      <c r="J490" s="12"/>
      <c r="K490" s="14" t="str">
        <f aca="false">IF(AND(I490&lt;&gt;"",H490&lt;&gt;"",J490&lt;&gt;""),IF(J490="W",I490*H490,IF(J490="L",-I490,IF(J490="P",I490*H490*0.5,""))),"")</f>
        <v/>
      </c>
      <c r="L490" s="15" t="str">
        <f aca="false">IF(AND(K490&lt;&gt;"",P489&lt;&gt;""),K490/P489,IF(K490&lt;&gt;"",K490/$D$2,""))</f>
        <v/>
      </c>
      <c r="M490" s="12"/>
      <c r="N490" s="12"/>
      <c r="O490" s="12"/>
      <c r="P490" s="16" t="str">
        <f aca="false">IF(K490&lt;&gt;"",P489+K490,IF(B490&lt;&gt;"",P489,""))</f>
        <v/>
      </c>
      <c r="Q490" s="17" t="str">
        <f aca="false">IF(P490&lt;&gt;"",MIN(0,P490-MAX($P$4:P490)),"")</f>
        <v/>
      </c>
    </row>
    <row r="491" customFormat="false" ht="15" hidden="false" customHeight="true" outlineLevel="0" collapsed="false">
      <c r="A491" s="11" t="str">
        <f aca="false">IF(B491&lt;&gt;"",COUNTA($B$4:B491),"")</f>
        <v/>
      </c>
      <c r="B491" s="20"/>
      <c r="C491" s="20"/>
      <c r="D491" s="20"/>
      <c r="E491" s="20"/>
      <c r="F491" s="20"/>
      <c r="G491" s="20"/>
      <c r="H491" s="20"/>
      <c r="I491" s="21"/>
      <c r="J491" s="20"/>
      <c r="K491" s="14" t="str">
        <f aca="false">IF(AND(I491&lt;&gt;"",H491&lt;&gt;"",J491&lt;&gt;""),IF(J491="W",I491*H491,IF(J491="L",-I491,IF(J491="P",I491*H491*0.5,""))),"")</f>
        <v/>
      </c>
      <c r="L491" s="15" t="str">
        <f aca="false">IF(AND(K491&lt;&gt;"",P490&lt;&gt;""),K491/P490,IF(K491&lt;&gt;"",K491/$D$2,""))</f>
        <v/>
      </c>
      <c r="M491" s="20"/>
      <c r="N491" s="20"/>
      <c r="O491" s="20"/>
      <c r="P491" s="16" t="str">
        <f aca="false">IF(K491&lt;&gt;"",P490+K491,IF(B491&lt;&gt;"",P490,""))</f>
        <v/>
      </c>
      <c r="Q491" s="17" t="str">
        <f aca="false">IF(P491&lt;&gt;"",MIN(0,P491-MAX($P$4:P491)),"")</f>
        <v/>
      </c>
    </row>
    <row r="492" customFormat="false" ht="15" hidden="false" customHeight="true" outlineLevel="0" collapsed="false">
      <c r="A492" s="11" t="str">
        <f aca="false">IF(B492&lt;&gt;"",COUNTA($B$4:B492),"")</f>
        <v/>
      </c>
      <c r="B492" s="12"/>
      <c r="C492" s="12"/>
      <c r="D492" s="12"/>
      <c r="E492" s="12"/>
      <c r="F492" s="12"/>
      <c r="G492" s="12"/>
      <c r="H492" s="12"/>
      <c r="I492" s="13"/>
      <c r="J492" s="12"/>
      <c r="K492" s="14" t="str">
        <f aca="false">IF(AND(I492&lt;&gt;"",H492&lt;&gt;"",J492&lt;&gt;""),IF(J492="W",I492*H492,IF(J492="L",-I492,IF(J492="P",I492*H492*0.5,""))),"")</f>
        <v/>
      </c>
      <c r="L492" s="15" t="str">
        <f aca="false">IF(AND(K492&lt;&gt;"",P491&lt;&gt;""),K492/P491,IF(K492&lt;&gt;"",K492/$D$2,""))</f>
        <v/>
      </c>
      <c r="M492" s="12"/>
      <c r="N492" s="12"/>
      <c r="O492" s="12"/>
      <c r="P492" s="16" t="str">
        <f aca="false">IF(K492&lt;&gt;"",P491+K492,IF(B492&lt;&gt;"",P491,""))</f>
        <v/>
      </c>
      <c r="Q492" s="17" t="str">
        <f aca="false">IF(P492&lt;&gt;"",MIN(0,P492-MAX($P$4:P492)),"")</f>
        <v/>
      </c>
    </row>
    <row r="493" customFormat="false" ht="15" hidden="false" customHeight="true" outlineLevel="0" collapsed="false">
      <c r="A493" s="11" t="str">
        <f aca="false">IF(B493&lt;&gt;"",COUNTA($B$4:B493),"")</f>
        <v/>
      </c>
      <c r="B493" s="20"/>
      <c r="C493" s="20"/>
      <c r="D493" s="20"/>
      <c r="E493" s="20"/>
      <c r="F493" s="20"/>
      <c r="G493" s="20"/>
      <c r="H493" s="20"/>
      <c r="I493" s="21"/>
      <c r="J493" s="20"/>
      <c r="K493" s="14" t="str">
        <f aca="false">IF(AND(I493&lt;&gt;"",H493&lt;&gt;"",J493&lt;&gt;""),IF(J493="W",I493*H493,IF(J493="L",-I493,IF(J493="P",I493*H493*0.5,""))),"")</f>
        <v/>
      </c>
      <c r="L493" s="15" t="str">
        <f aca="false">IF(AND(K493&lt;&gt;"",P492&lt;&gt;""),K493/P492,IF(K493&lt;&gt;"",K493/$D$2,""))</f>
        <v/>
      </c>
      <c r="M493" s="20"/>
      <c r="N493" s="20"/>
      <c r="O493" s="20"/>
      <c r="P493" s="16" t="str">
        <f aca="false">IF(K493&lt;&gt;"",P492+K493,IF(B493&lt;&gt;"",P492,""))</f>
        <v/>
      </c>
      <c r="Q493" s="17" t="str">
        <f aca="false">IF(P493&lt;&gt;"",MIN(0,P493-MAX($P$4:P493)),"")</f>
        <v/>
      </c>
    </row>
    <row r="494" customFormat="false" ht="15" hidden="false" customHeight="true" outlineLevel="0" collapsed="false">
      <c r="A494" s="11" t="str">
        <f aca="false">IF(B494&lt;&gt;"",COUNTA($B$4:B494),"")</f>
        <v/>
      </c>
      <c r="B494" s="12"/>
      <c r="C494" s="12"/>
      <c r="D494" s="12"/>
      <c r="E494" s="12"/>
      <c r="F494" s="12"/>
      <c r="G494" s="12"/>
      <c r="H494" s="12"/>
      <c r="I494" s="13"/>
      <c r="J494" s="12"/>
      <c r="K494" s="14" t="str">
        <f aca="false">IF(AND(I494&lt;&gt;"",H494&lt;&gt;"",J494&lt;&gt;""),IF(J494="W",I494*H494,IF(J494="L",-I494,IF(J494="P",I494*H494*0.5,""))),"")</f>
        <v/>
      </c>
      <c r="L494" s="15" t="str">
        <f aca="false">IF(AND(K494&lt;&gt;"",P493&lt;&gt;""),K494/P493,IF(K494&lt;&gt;"",K494/$D$2,""))</f>
        <v/>
      </c>
      <c r="M494" s="12"/>
      <c r="N494" s="12"/>
      <c r="O494" s="12"/>
      <c r="P494" s="16" t="str">
        <f aca="false">IF(K494&lt;&gt;"",P493+K494,IF(B494&lt;&gt;"",P493,""))</f>
        <v/>
      </c>
      <c r="Q494" s="17" t="str">
        <f aca="false">IF(P494&lt;&gt;"",MIN(0,P494-MAX($P$4:P494)),"")</f>
        <v/>
      </c>
    </row>
    <row r="495" customFormat="false" ht="15" hidden="false" customHeight="true" outlineLevel="0" collapsed="false">
      <c r="A495" s="11" t="str">
        <f aca="false">IF(B495&lt;&gt;"",COUNTA($B$4:B495),"")</f>
        <v/>
      </c>
      <c r="B495" s="20"/>
      <c r="C495" s="20"/>
      <c r="D495" s="20"/>
      <c r="E495" s="20"/>
      <c r="F495" s="20"/>
      <c r="G495" s="20"/>
      <c r="H495" s="20"/>
      <c r="I495" s="21"/>
      <c r="J495" s="20"/>
      <c r="K495" s="14" t="str">
        <f aca="false">IF(AND(I495&lt;&gt;"",H495&lt;&gt;"",J495&lt;&gt;""),IF(J495="W",I495*H495,IF(J495="L",-I495,IF(J495="P",I495*H495*0.5,""))),"")</f>
        <v/>
      </c>
      <c r="L495" s="15" t="str">
        <f aca="false">IF(AND(K495&lt;&gt;"",P494&lt;&gt;""),K495/P494,IF(K495&lt;&gt;"",K495/$D$2,""))</f>
        <v/>
      </c>
      <c r="M495" s="20"/>
      <c r="N495" s="20"/>
      <c r="O495" s="20"/>
      <c r="P495" s="16" t="str">
        <f aca="false">IF(K495&lt;&gt;"",P494+K495,IF(B495&lt;&gt;"",P494,""))</f>
        <v/>
      </c>
      <c r="Q495" s="17" t="str">
        <f aca="false">IF(P495&lt;&gt;"",MIN(0,P495-MAX($P$4:P495)),"")</f>
        <v/>
      </c>
    </row>
    <row r="496" customFormat="false" ht="15" hidden="false" customHeight="true" outlineLevel="0" collapsed="false">
      <c r="A496" s="11" t="str">
        <f aca="false">IF(B496&lt;&gt;"",COUNTA($B$4:B496),"")</f>
        <v/>
      </c>
      <c r="B496" s="12"/>
      <c r="C496" s="12"/>
      <c r="D496" s="12"/>
      <c r="E496" s="12"/>
      <c r="F496" s="12"/>
      <c r="G496" s="12"/>
      <c r="H496" s="12"/>
      <c r="I496" s="13"/>
      <c r="J496" s="12"/>
      <c r="K496" s="14" t="str">
        <f aca="false">IF(AND(I496&lt;&gt;"",H496&lt;&gt;"",J496&lt;&gt;""),IF(J496="W",I496*H496,IF(J496="L",-I496,IF(J496="P",I496*H496*0.5,""))),"")</f>
        <v/>
      </c>
      <c r="L496" s="15" t="str">
        <f aca="false">IF(AND(K496&lt;&gt;"",P495&lt;&gt;""),K496/P495,IF(K496&lt;&gt;"",K496/$D$2,""))</f>
        <v/>
      </c>
      <c r="M496" s="12"/>
      <c r="N496" s="12"/>
      <c r="O496" s="12"/>
      <c r="P496" s="16" t="str">
        <f aca="false">IF(K496&lt;&gt;"",P495+K496,IF(B496&lt;&gt;"",P495,""))</f>
        <v/>
      </c>
      <c r="Q496" s="17" t="str">
        <f aca="false">IF(P496&lt;&gt;"",MIN(0,P496-MAX($P$4:P496)),"")</f>
        <v/>
      </c>
    </row>
    <row r="497" customFormat="false" ht="15" hidden="false" customHeight="true" outlineLevel="0" collapsed="false">
      <c r="A497" s="11" t="str">
        <f aca="false">IF(B497&lt;&gt;"",COUNTA($B$4:B497),"")</f>
        <v/>
      </c>
      <c r="B497" s="20"/>
      <c r="C497" s="20"/>
      <c r="D497" s="20"/>
      <c r="E497" s="20"/>
      <c r="F497" s="20"/>
      <c r="G497" s="20"/>
      <c r="H497" s="20"/>
      <c r="I497" s="21"/>
      <c r="J497" s="20"/>
      <c r="K497" s="14" t="str">
        <f aca="false">IF(AND(I497&lt;&gt;"",H497&lt;&gt;"",J497&lt;&gt;""),IF(J497="W",I497*H497,IF(J497="L",-I497,IF(J497="P",I497*H497*0.5,""))),"")</f>
        <v/>
      </c>
      <c r="L497" s="15" t="str">
        <f aca="false">IF(AND(K497&lt;&gt;"",P496&lt;&gt;""),K497/P496,IF(K497&lt;&gt;"",K497/$D$2,""))</f>
        <v/>
      </c>
      <c r="M497" s="20"/>
      <c r="N497" s="20"/>
      <c r="O497" s="20"/>
      <c r="P497" s="16" t="str">
        <f aca="false">IF(K497&lt;&gt;"",P496+K497,IF(B497&lt;&gt;"",P496,""))</f>
        <v/>
      </c>
      <c r="Q497" s="17" t="str">
        <f aca="false">IF(P497&lt;&gt;"",MIN(0,P497-MAX($P$4:P497)),"")</f>
        <v/>
      </c>
    </row>
    <row r="498" customFormat="false" ht="15" hidden="false" customHeight="true" outlineLevel="0" collapsed="false">
      <c r="A498" s="11" t="str">
        <f aca="false">IF(B498&lt;&gt;"",COUNTA($B$4:B498),"")</f>
        <v/>
      </c>
      <c r="B498" s="12"/>
      <c r="C498" s="12"/>
      <c r="D498" s="12"/>
      <c r="E498" s="12"/>
      <c r="F498" s="12"/>
      <c r="G498" s="12"/>
      <c r="H498" s="12"/>
      <c r="I498" s="13"/>
      <c r="J498" s="12"/>
      <c r="K498" s="14" t="str">
        <f aca="false">IF(AND(I498&lt;&gt;"",H498&lt;&gt;"",J498&lt;&gt;""),IF(J498="W",I498*H498,IF(J498="L",-I498,IF(J498="P",I498*H498*0.5,""))),"")</f>
        <v/>
      </c>
      <c r="L498" s="15" t="str">
        <f aca="false">IF(AND(K498&lt;&gt;"",P497&lt;&gt;""),K498/P497,IF(K498&lt;&gt;"",K498/$D$2,""))</f>
        <v/>
      </c>
      <c r="M498" s="12"/>
      <c r="N498" s="12"/>
      <c r="O498" s="12"/>
      <c r="P498" s="16" t="str">
        <f aca="false">IF(K498&lt;&gt;"",P497+K498,IF(B498&lt;&gt;"",P497,""))</f>
        <v/>
      </c>
      <c r="Q498" s="17" t="str">
        <f aca="false">IF(P498&lt;&gt;"",MIN(0,P498-MAX($P$4:P498)),"")</f>
        <v/>
      </c>
    </row>
    <row r="499" customFormat="false" ht="15" hidden="false" customHeight="true" outlineLevel="0" collapsed="false">
      <c r="A499" s="11" t="str">
        <f aca="false">IF(B499&lt;&gt;"",COUNTA($B$4:B499),"")</f>
        <v/>
      </c>
      <c r="B499" s="20"/>
      <c r="C499" s="20"/>
      <c r="D499" s="20"/>
      <c r="E499" s="20"/>
      <c r="F499" s="20"/>
      <c r="G499" s="20"/>
      <c r="H499" s="20"/>
      <c r="I499" s="21"/>
      <c r="J499" s="20"/>
      <c r="K499" s="14" t="str">
        <f aca="false">IF(AND(I499&lt;&gt;"",H499&lt;&gt;"",J499&lt;&gt;""),IF(J499="W",I499*H499,IF(J499="L",-I499,IF(J499="P",I499*H499*0.5,""))),"")</f>
        <v/>
      </c>
      <c r="L499" s="15" t="str">
        <f aca="false">IF(AND(K499&lt;&gt;"",P498&lt;&gt;""),K499/P498,IF(K499&lt;&gt;"",K499/$D$2,""))</f>
        <v/>
      </c>
      <c r="M499" s="20"/>
      <c r="N499" s="20"/>
      <c r="O499" s="20"/>
      <c r="P499" s="16" t="str">
        <f aca="false">IF(K499&lt;&gt;"",P498+K499,IF(B499&lt;&gt;"",P498,""))</f>
        <v/>
      </c>
      <c r="Q499" s="17" t="str">
        <f aca="false">IF(P499&lt;&gt;"",MIN(0,P499-MAX($P$4:P499)),"")</f>
        <v/>
      </c>
    </row>
    <row r="500" customFormat="false" ht="15" hidden="false" customHeight="true" outlineLevel="0" collapsed="false">
      <c r="A500" s="11" t="str">
        <f aca="false">IF(B500&lt;&gt;"",COUNTA($B$4:B500),"")</f>
        <v/>
      </c>
      <c r="B500" s="12"/>
      <c r="C500" s="12"/>
      <c r="D500" s="12"/>
      <c r="E500" s="12"/>
      <c r="F500" s="12"/>
      <c r="G500" s="12"/>
      <c r="H500" s="12"/>
      <c r="I500" s="13"/>
      <c r="J500" s="12"/>
      <c r="K500" s="14" t="str">
        <f aca="false">IF(AND(I500&lt;&gt;"",H500&lt;&gt;"",J500&lt;&gt;""),IF(J500="W",I500*H500,IF(J500="L",-I500,IF(J500="P",I500*H500*0.5,""))),"")</f>
        <v/>
      </c>
      <c r="L500" s="15" t="str">
        <f aca="false">IF(AND(K500&lt;&gt;"",P499&lt;&gt;""),K500/P499,IF(K500&lt;&gt;"",K500/$D$2,""))</f>
        <v/>
      </c>
      <c r="M500" s="12"/>
      <c r="N500" s="12"/>
      <c r="O500" s="12"/>
      <c r="P500" s="16" t="str">
        <f aca="false">IF(K500&lt;&gt;"",P499+K500,IF(B500&lt;&gt;"",P499,""))</f>
        <v/>
      </c>
      <c r="Q500" s="17" t="str">
        <f aca="false">IF(P500&lt;&gt;"",MIN(0,P500-MAX($P$4:P500)),"")</f>
        <v/>
      </c>
    </row>
    <row r="501" customFormat="false" ht="15" hidden="false" customHeight="true" outlineLevel="0" collapsed="false">
      <c r="A501" s="11" t="str">
        <f aca="false">IF(B501&lt;&gt;"",COUNTA($B$4:B501),"")</f>
        <v/>
      </c>
      <c r="B501" s="20"/>
      <c r="C501" s="20"/>
      <c r="D501" s="20"/>
      <c r="E501" s="20"/>
      <c r="F501" s="20"/>
      <c r="G501" s="20"/>
      <c r="H501" s="20"/>
      <c r="I501" s="21"/>
      <c r="J501" s="20"/>
      <c r="K501" s="14" t="str">
        <f aca="false">IF(AND(I501&lt;&gt;"",H501&lt;&gt;"",J501&lt;&gt;""),IF(J501="W",I501*H501,IF(J501="L",-I501,IF(J501="P",I501*H501*0.5,""))),"")</f>
        <v/>
      </c>
      <c r="L501" s="15" t="str">
        <f aca="false">IF(AND(K501&lt;&gt;"",P500&lt;&gt;""),K501/P500,IF(K501&lt;&gt;"",K501/$D$2,""))</f>
        <v/>
      </c>
      <c r="M501" s="20"/>
      <c r="N501" s="20"/>
      <c r="O501" s="20"/>
      <c r="P501" s="16" t="str">
        <f aca="false">IF(K501&lt;&gt;"",P500+K501,IF(B501&lt;&gt;"",P500,""))</f>
        <v/>
      </c>
      <c r="Q501" s="17" t="str">
        <f aca="false">IF(P501&lt;&gt;"",MIN(0,P501-MAX($P$4:P501)),"")</f>
        <v/>
      </c>
    </row>
    <row r="502" customFormat="false" ht="15" hidden="false" customHeight="true" outlineLevel="0" collapsed="false">
      <c r="A502" s="11" t="str">
        <f aca="false">IF(B502&lt;&gt;"",COUNTA($B$4:B502),"")</f>
        <v/>
      </c>
      <c r="B502" s="12"/>
      <c r="C502" s="12"/>
      <c r="D502" s="12"/>
      <c r="E502" s="12"/>
      <c r="F502" s="12"/>
      <c r="G502" s="12"/>
      <c r="H502" s="12"/>
      <c r="I502" s="13"/>
      <c r="J502" s="12"/>
      <c r="K502" s="14" t="str">
        <f aca="false">IF(AND(I502&lt;&gt;"",H502&lt;&gt;"",J502&lt;&gt;""),IF(J502="W",I502*H502,IF(J502="L",-I502,IF(J502="P",I502*H502*0.5,""))),"")</f>
        <v/>
      </c>
      <c r="L502" s="15" t="str">
        <f aca="false">IF(AND(K502&lt;&gt;"",P501&lt;&gt;""),K502/P501,IF(K502&lt;&gt;"",K502/$D$2,""))</f>
        <v/>
      </c>
      <c r="M502" s="12"/>
      <c r="N502" s="12"/>
      <c r="O502" s="12"/>
      <c r="P502" s="16" t="str">
        <f aca="false">IF(K502&lt;&gt;"",P501+K502,IF(B502&lt;&gt;"",P501,""))</f>
        <v/>
      </c>
      <c r="Q502" s="17" t="str">
        <f aca="false">IF(P502&lt;&gt;"",MIN(0,P502-MAX($P$4:P502)),"")</f>
        <v/>
      </c>
    </row>
    <row r="503" customFormat="false" ht="15" hidden="false" customHeight="true" outlineLevel="0" collapsed="false">
      <c r="A503" s="11" t="str">
        <f aca="false">IF(B503&lt;&gt;"",COUNTA($B$4:B503),"")</f>
        <v/>
      </c>
      <c r="B503" s="20"/>
      <c r="C503" s="20"/>
      <c r="D503" s="20"/>
      <c r="E503" s="20"/>
      <c r="F503" s="20"/>
      <c r="G503" s="20"/>
      <c r="H503" s="20"/>
      <c r="I503" s="21"/>
      <c r="J503" s="20"/>
      <c r="K503" s="14" t="str">
        <f aca="false">IF(AND(I503&lt;&gt;"",H503&lt;&gt;"",J503&lt;&gt;""),IF(J503="W",I503*H503,IF(J503="L",-I503,IF(J503="P",I503*H503*0.5,""))),"")</f>
        <v/>
      </c>
      <c r="L503" s="15" t="str">
        <f aca="false">IF(AND(K503&lt;&gt;"",P502&lt;&gt;""),K503/P502,IF(K503&lt;&gt;"",K503/$D$2,""))</f>
        <v/>
      </c>
      <c r="M503" s="20"/>
      <c r="N503" s="20"/>
      <c r="O503" s="20"/>
      <c r="P503" s="16" t="str">
        <f aca="false">IF(K503&lt;&gt;"",P502+K503,IF(B503&lt;&gt;"",P502,""))</f>
        <v/>
      </c>
      <c r="Q503" s="17" t="str">
        <f aca="false">IF(P503&lt;&gt;"",MIN(0,P503-MAX($P$4:P503)),"")</f>
        <v/>
      </c>
    </row>
  </sheetData>
  <conditionalFormatting sqref="M4:M503">
    <cfRule type="expression" priority="2" aboveAverage="0" equalAverage="0" bottom="0" percent="0" rank="0" text="" dxfId="0">
      <formula>M4="Win"</formula>
    </cfRule>
    <cfRule type="expression" priority="3" aboveAverage="0" equalAverage="0" bottom="0" percent="0" rank="0" text="" dxfId="1">
      <formula>M4="Loss"</formula>
    </cfRule>
    <cfRule type="expression" priority="4" aboveAverage="0" equalAverage="0" bottom="0" percent="0" rank="0" text="" dxfId="2">
      <formula>M4="Partial"</formula>
    </cfRule>
  </conditionalFormatting>
  <conditionalFormatting sqref="J4:J503">
    <cfRule type="expression" priority="5" aboveAverage="0" equalAverage="0" bottom="0" percent="0" rank="0" text="" dxfId="0">
      <formula>J4="W"</formula>
    </cfRule>
    <cfRule type="expression" priority="6" aboveAverage="0" equalAverage="0" bottom="0" percent="0" rank="0" text="" dxfId="1">
      <formula>J4="L"</formula>
    </cfRule>
    <cfRule type="expression" priority="7" aboveAverage="0" equalAverage="0" bottom="0" percent="0" rank="0" text="" dxfId="2">
      <formula>J4="P"</formula>
    </cfRule>
  </conditionalFormatting>
  <conditionalFormatting sqref="K4:K503">
    <cfRule type="expression" priority="8" aboveAverage="0" equalAverage="0" bottom="0" percent="0" rank="0" text="" dxfId="0">
      <formula>K4&gt;0</formula>
    </cfRule>
    <cfRule type="expression" priority="9" aboveAverage="0" equalAverage="0" bottom="0" percent="0" rank="0" text="" dxfId="1">
      <formula>K4&lt;0</formula>
    </cfRule>
  </conditionalFormatting>
  <dataValidations count="4">
    <dataValidation allowBlank="true" errorStyle="stop" operator="between" showDropDown="false" showErrorMessage="false" showInputMessage="false" sqref="J4:J503" type="list">
      <formula1>"W,L,P"</formula1>
      <formula2>0</formula2>
    </dataValidation>
    <dataValidation allowBlank="true" errorStyle="stop" operator="between" showDropDown="false" showErrorMessage="false" showInputMessage="false" sqref="M4:M503" type="list">
      <formula1>"Win,Loss,Partial,No Trade"</formula1>
      <formula2>0</formula2>
    </dataValidation>
    <dataValidation allowBlank="true" errorStyle="stop" operator="between" showDropDown="false" showErrorMessage="false" showInputMessage="false" sqref="D4:D503" type="list">
      <formula1>"London,New York,Asia,London/NY Overlap"</formula1>
      <formula2>0</formula2>
    </dataValidation>
    <dataValidation allowBlank="true" errorStyle="stop" operator="between" showDropDown="false" showErrorMessage="false" showInputMessage="false" sqref="C4:C503" type="list">
      <formula1>"BTC,ETH,BTC/USD,ETH/USD,Other"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8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6" min="5" style="0" width="14"/>
    <col collapsed="false" customWidth="true" hidden="false" outlineLevel="0" max="7" min="7" style="0" width="2"/>
    <col collapsed="false" customWidth="true" hidden="false" outlineLevel="0" max="9" min="8" style="0" width="14"/>
    <col collapsed="false" customWidth="true" hidden="false" outlineLevel="0" max="10" min="10" style="0" width="2"/>
    <col collapsed="false" customWidth="true" hidden="false" outlineLevel="0" max="12" min="11" style="0" width="14"/>
    <col collapsed="false" customWidth="true" hidden="false" outlineLevel="0" max="13" min="13" style="0" width="2"/>
    <col collapsed="false" customWidth="true" hidden="false" outlineLevel="0" max="15" min="14" style="0" width="14"/>
    <col collapsed="false" customWidth="true" hidden="false" outlineLevel="0" max="16" min="16" style="0" width="2"/>
    <col collapsed="false" customWidth="true" hidden="false" outlineLevel="0" max="18" min="17" style="0" width="14"/>
    <col collapsed="false" customWidth="true" hidden="false" outlineLevel="0" max="19" min="19" style="0" width="2"/>
    <col collapsed="false" customWidth="true" hidden="false" outlineLevel="0" max="21" min="20" style="0" width="14"/>
    <col collapsed="false" customWidth="true" hidden="false" outlineLevel="0" max="22" min="22" style="0" width="2"/>
  </cols>
  <sheetData>
    <row r="1" customFormat="false" ht="48" hidden="false" customHeight="true" outlineLevel="0" collapsed="false">
      <c r="A1" s="37" t="s">
        <v>39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customFormat="false" ht="30" hidden="false" customHeight="true" outlineLevel="0" collapsed="false">
      <c r="B2" s="38" t="s">
        <v>40</v>
      </c>
      <c r="C2" s="39" t="s">
        <v>41</v>
      </c>
      <c r="D2" s="40" t="s">
        <v>42</v>
      </c>
      <c r="E2" s="40"/>
      <c r="F2" s="40"/>
      <c r="H2" s="41" t="s">
        <v>43</v>
      </c>
      <c r="I2" s="42" t="n">
        <f aca="true">IFERROR(INDIRECT("'"&amp;C2&amp;"'!D2"),10000)</f>
        <v>10000</v>
      </c>
      <c r="J2" s="43" t="s">
        <v>44</v>
      </c>
      <c r="K2" s="43"/>
      <c r="L2" s="43"/>
      <c r="M2" s="43"/>
    </row>
    <row r="3" customFormat="false" ht="6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customFormat="false" ht="9.75" hidden="false" customHeight="true" outlineLevel="0" collapsed="false">
      <c r="B4" s="45" t="s">
        <v>45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</row>
    <row r="5" customFormat="false" ht="36" hidden="false" customHeight="true" outlineLevel="0" collapsed="false">
      <c r="B5" s="46" t="s">
        <v>46</v>
      </c>
      <c r="C5" s="46"/>
      <c r="E5" s="47" t="s">
        <v>47</v>
      </c>
      <c r="F5" s="47"/>
      <c r="H5" s="48" t="s">
        <v>48</v>
      </c>
      <c r="I5" s="48"/>
      <c r="K5" s="49" t="s">
        <v>49</v>
      </c>
      <c r="L5" s="49"/>
      <c r="N5" s="47" t="s">
        <v>50</v>
      </c>
      <c r="O5" s="47"/>
      <c r="Q5" s="46" t="s">
        <v>51</v>
      </c>
      <c r="R5" s="46"/>
      <c r="T5" s="50" t="s">
        <v>52</v>
      </c>
      <c r="U5" s="50"/>
    </row>
    <row r="6" customFormat="false" ht="36" hidden="false" customHeight="true" outlineLevel="0" collapsed="false">
      <c r="B6" s="51" t="n">
        <f aca="true">IFERROR(INDIRECT("'"&amp;C2&amp;"'!T4"),0)</f>
        <v>0</v>
      </c>
      <c r="C6" s="51"/>
      <c r="E6" s="52" t="n">
        <f aca="true">IFERROR(INDIRECT("'"&amp;C2&amp;"'!T5"),0)</f>
        <v>0</v>
      </c>
      <c r="F6" s="52"/>
      <c r="H6" s="53" t="n">
        <f aca="true">IFERROR(INDIRECT("'"&amp;C2&amp;"'!T6"),0)</f>
        <v>0</v>
      </c>
      <c r="I6" s="53"/>
      <c r="K6" s="54" t="n">
        <f aca="true">IFERROR(INDIRECT("'"&amp;C2&amp;"'!T7"),0)</f>
        <v>0</v>
      </c>
      <c r="L6" s="54"/>
      <c r="N6" s="55" t="n">
        <f aca="true">IFERROR(INDIRECT("'"&amp;C2&amp;"'!T8"),0)</f>
        <v>0</v>
      </c>
      <c r="O6" s="55"/>
      <c r="Q6" s="56" t="n">
        <f aca="true">IFERROR(INDIRECT("'"&amp;C2&amp;"'!T9"),"-")</f>
        <v>0</v>
      </c>
      <c r="R6" s="56"/>
      <c r="T6" s="57" t="n">
        <f aca="true">IFERROR(INDIRECT("'"&amp;C2&amp;"'!T10"),0)</f>
        <v>0</v>
      </c>
      <c r="U6" s="57"/>
    </row>
    <row r="7" customFormat="false" ht="36" hidden="false" customHeight="true" outlineLevel="0" collapsed="false">
      <c r="B7" s="50" t="s">
        <v>53</v>
      </c>
      <c r="C7" s="50"/>
      <c r="E7" s="46" t="s">
        <v>54</v>
      </c>
      <c r="F7" s="46"/>
      <c r="H7" s="46" t="s">
        <v>55</v>
      </c>
      <c r="I7" s="46"/>
      <c r="K7" s="47" t="s">
        <v>56</v>
      </c>
      <c r="L7" s="47"/>
      <c r="N7" s="48" t="s">
        <v>57</v>
      </c>
      <c r="O7" s="48"/>
      <c r="Q7" s="48" t="s">
        <v>58</v>
      </c>
      <c r="R7" s="48"/>
      <c r="T7" s="58" t="s">
        <v>59</v>
      </c>
      <c r="U7" s="58"/>
    </row>
    <row r="8" customFormat="false" ht="36" hidden="false" customHeight="true" outlineLevel="0" collapsed="false">
      <c r="B8" s="59" t="n">
        <f aca="true">IFERROR(INDIRECT("'"&amp;C2&amp;"'!D2"),0)</f>
        <v>10000</v>
      </c>
      <c r="C8" s="59"/>
      <c r="E8" s="60" t="str">
        <f aca="true">IFERROR(INDIRECT("'"&amp;C2&amp;"'!P503"),IFERROR(INDIRECT("'"&amp;C2&amp;"'!D2"),0))</f>
        <v/>
      </c>
      <c r="F8" s="60"/>
      <c r="H8" s="61" t="n">
        <f aca="true">IFERROR(INDIRECT("'"&amp;C2&amp;"'!T11"),"-")</f>
        <v>0</v>
      </c>
      <c r="I8" s="61"/>
      <c r="K8" s="62" t="n">
        <f aca="true">IFERROR(INDIRECT("'"&amp;C2&amp;"'!T12"),0)</f>
        <v>10000</v>
      </c>
      <c r="L8" s="62"/>
      <c r="N8" s="63" t="str">
        <f aca="true">IFERROR(INDIRECT("'"&amp;C2&amp;"'!T13"),"-")</f>
        <v/>
      </c>
      <c r="O8" s="63"/>
      <c r="Q8" s="63" t="str">
        <f aca="true">IFERROR(INDIRECT("'"&amp;C2&amp;"'!T14"),"-")</f>
        <v/>
      </c>
      <c r="R8" s="63"/>
      <c r="T8" s="64" t="n">
        <f aca="true">IFERROR(COUNTIF(INDIRECT("'"&amp;C2&amp;"'!M4:M503"),"No Trade"),0)</f>
        <v>0</v>
      </c>
      <c r="U8" s="64"/>
    </row>
    <row r="9" customFormat="false" ht="6" hidden="false" customHeight="true" outlineLevel="0" collapsed="false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</row>
    <row r="10" customFormat="false" ht="7.5" hidden="false" customHeight="true" outlineLevel="0" collapsed="false">
      <c r="B10" s="66" t="s">
        <v>60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 customFormat="false" ht="21.75" hidden="false" customHeight="true" outlineLevel="0" collapsed="false">
      <c r="B11" s="67" t="s">
        <v>61</v>
      </c>
      <c r="C11" s="67"/>
      <c r="E11" s="67" t="s">
        <v>62</v>
      </c>
      <c r="F11" s="67"/>
      <c r="H11" s="67" t="s">
        <v>63</v>
      </c>
      <c r="I11" s="67"/>
      <c r="K11" s="67" t="s">
        <v>14</v>
      </c>
      <c r="L11" s="67"/>
      <c r="N11" s="67" t="s">
        <v>64</v>
      </c>
      <c r="O11" s="67"/>
      <c r="Q11" s="67" t="s">
        <v>65</v>
      </c>
      <c r="R11" s="67"/>
    </row>
    <row r="12" customFormat="false" ht="27.75" hidden="false" customHeight="true" outlineLevel="0" collapsed="false">
      <c r="B12" s="68" t="s">
        <v>66</v>
      </c>
      <c r="C12" s="68"/>
      <c r="E12" s="68" t="s">
        <v>66</v>
      </c>
      <c r="F12" s="68"/>
      <c r="H12" s="68" t="s">
        <v>66</v>
      </c>
      <c r="I12" s="68"/>
      <c r="K12" s="68" t="s">
        <v>66</v>
      </c>
      <c r="L12" s="68"/>
      <c r="N12" s="68" t="s">
        <v>67</v>
      </c>
      <c r="O12" s="68"/>
      <c r="Q12" s="68" t="s">
        <v>68</v>
      </c>
      <c r="R12" s="68"/>
    </row>
    <row r="13" customFormat="false" ht="6" hidden="false" customHeight="true" outlineLevel="0" collapsed="false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</row>
    <row r="14" customFormat="false" ht="7.5" hidden="false" customHeight="true" outlineLevel="0" collapsed="false">
      <c r="B14" s="66" t="s">
        <v>69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 customFormat="false" ht="25.5" hidden="false" customHeight="true" outlineLevel="0" collapsed="false">
      <c r="B15" s="69" t="s">
        <v>70</v>
      </c>
      <c r="C15" s="69"/>
      <c r="E15" s="70" t="s">
        <v>47</v>
      </c>
      <c r="F15" s="70"/>
      <c r="H15" s="71" t="s">
        <v>48</v>
      </c>
      <c r="I15" s="71"/>
      <c r="K15" s="72" t="s">
        <v>49</v>
      </c>
      <c r="L15" s="72"/>
      <c r="N15" s="70" t="s">
        <v>50</v>
      </c>
      <c r="O15" s="70"/>
      <c r="Q15" s="69" t="s">
        <v>51</v>
      </c>
      <c r="R15" s="69"/>
      <c r="T15" s="69" t="s">
        <v>71</v>
      </c>
      <c r="U15" s="69"/>
    </row>
    <row r="16" customFormat="false" ht="25.5" hidden="false" customHeight="true" outlineLevel="0" collapsed="false">
      <c r="B16" s="73" t="n">
        <f aca="true">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0)</f>
        <v>0</v>
      </c>
      <c r="C16" s="73"/>
      <c r="E16" s="74" t="n">
        <f aca="true">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Win")),0)</f>
        <v>0</v>
      </c>
      <c r="F16" s="74"/>
      <c r="H16" s="75" t="n">
        <f aca="true">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Loss")),0)</f>
        <v>0</v>
      </c>
      <c r="I16" s="75"/>
      <c r="K16" s="76" t="n">
        <f aca="true">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Partial")),0)</f>
        <v>0</v>
      </c>
      <c r="L16" s="76"/>
      <c r="N16" s="77" t="n">
        <f aca="true">IFERROR((IFERROR(SUMPRODUCT((INDIRECT("'"&amp;$C$2&amp;"'!M4:M503")&lt;&gt;"No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Win")),0)+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Partial")),0))/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0),0)</f>
        <v>0</v>
      </c>
      <c r="O16" s="77"/>
      <c r="Q16" s="78" t="n">
        <f aca="true">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,INDIRECT("'"&amp;$C$2&amp;"'!K4:K503")),0)</f>
        <v>0</v>
      </c>
      <c r="R16" s="78"/>
      <c r="T16" s="78" t="n">
        <f aca="true">IFERROR(IFERROR(SUMPRODUCT((INDIRECT("'"&amp;$C$2&amp;"'!M4:M503")&lt;&gt;"No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,INDIRECT("'"&amp;$C$2&amp;"'!K4:K503")),0)/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0),0)</f>
        <v>0</v>
      </c>
      <c r="U16" s="78"/>
    </row>
    <row r="17" customFormat="false" ht="6" hidden="false" customHeight="true" outlineLevel="0" collapsed="false"/>
    <row r="18" customFormat="false" ht="25.5" hidden="false" customHeight="true" outlineLevel="0" collapsed="false">
      <c r="B18" s="70" t="s">
        <v>72</v>
      </c>
      <c r="C18" s="70"/>
      <c r="E18" s="71" t="s">
        <v>73</v>
      </c>
      <c r="F18" s="71"/>
      <c r="H18" s="79" t="s">
        <v>74</v>
      </c>
      <c r="I18" s="79"/>
    </row>
    <row r="19" customFormat="false" ht="25.5" hidden="false" customHeight="true" outlineLevel="0" collapsed="false">
      <c r="B19" s="80" t="n">
        <f aca="false">IFERROR(aggregate(14,6,INDIRECT("'"&amp;$C$2&amp;"'!K4:K503")/((INDIRECT("'"&amp;$C$2&amp;"'!M4:M503")&lt;&gt;"No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1),0)</f>
        <v>0</v>
      </c>
      <c r="C19" s="80"/>
      <c r="E19" s="81" t="n">
        <f aca="false">IFERROR(aggregate(15,6,INDIRECT("'"&amp;$C$2&amp;"'!K4:K503")/((INDIRECT("'"&amp;$C$2&amp;"'!M4:M503")&lt;&gt;"No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1),0)</f>
        <v>0</v>
      </c>
      <c r="F19" s="81"/>
      <c r="H19" s="82" t="n">
        <f aca="true">IFERROR(IFERROR(SUMPRODUCT((INDIRECT("'"&amp;$C$2&amp;"'!M4:M503")&lt;&gt;"No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,INDIRECT("'"&amp;$C$2&amp;"'!K4:K503")),0)/IFERROR(INDIRECT("'"&amp;$C$2&amp;"'!D2"),1),0)</f>
        <v>0</v>
      </c>
      <c r="I19" s="82"/>
    </row>
    <row r="20" customFormat="false" ht="6" hidden="false" customHeight="true" outlineLevel="0" collapsed="false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 customFormat="false" ht="7.5" hidden="false" customHeight="true" outlineLevel="0" collapsed="false">
      <c r="B21" s="66" t="s">
        <v>75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customFormat="false" ht="19.5" hidden="false" customHeight="true" outlineLevel="0" collapsed="false">
      <c r="B22" s="83" t="s">
        <v>76</v>
      </c>
      <c r="C22" s="83"/>
      <c r="D22" s="83"/>
      <c r="E22" s="83"/>
      <c r="F22" s="83"/>
      <c r="H22" s="83" t="s">
        <v>77</v>
      </c>
      <c r="I22" s="83"/>
      <c r="J22" s="83"/>
      <c r="K22" s="83"/>
      <c r="L22" s="83"/>
      <c r="N22" s="83" t="s">
        <v>78</v>
      </c>
      <c r="O22" s="83"/>
      <c r="P22" s="83"/>
      <c r="Q22" s="83"/>
      <c r="R22" s="83"/>
      <c r="T22" s="83" t="s">
        <v>79</v>
      </c>
      <c r="U22" s="83"/>
      <c r="V22" s="83"/>
      <c r="W22" s="83"/>
      <c r="X22" s="83"/>
    </row>
    <row r="23" customFormat="false" ht="15.75" hidden="false" customHeight="true" outlineLevel="0" collapsed="false">
      <c r="B23" s="84"/>
      <c r="C23" s="84" t="s">
        <v>24</v>
      </c>
      <c r="D23" s="84" t="s">
        <v>80</v>
      </c>
      <c r="E23" s="84" t="s">
        <v>81</v>
      </c>
      <c r="H23" s="84"/>
      <c r="I23" s="84" t="s">
        <v>24</v>
      </c>
      <c r="J23" s="84" t="s">
        <v>80</v>
      </c>
      <c r="K23" s="84" t="s">
        <v>81</v>
      </c>
      <c r="N23" s="84"/>
      <c r="O23" s="84" t="s">
        <v>24</v>
      </c>
      <c r="P23" s="84" t="s">
        <v>80</v>
      </c>
      <c r="Q23" s="84" t="s">
        <v>81</v>
      </c>
      <c r="T23" s="84"/>
      <c r="U23" s="84" t="s">
        <v>24</v>
      </c>
      <c r="V23" s="84" t="s">
        <v>80</v>
      </c>
      <c r="W23" s="84" t="s">
        <v>81</v>
      </c>
    </row>
    <row r="24" customFormat="false" ht="18" hidden="false" customHeight="true" outlineLevel="0" collapsed="false">
      <c r="B24" s="85" t="s">
        <v>27</v>
      </c>
      <c r="C24" s="86" t="n">
        <f aca="true">IFERROR(SUMPRODUCT((INDIRECT("'"&amp;$C$2&amp;"'!D4:D503")="London")*(INDIRECT("'"&amp;$C$2&amp;"'!M4:M503")&lt;&gt;"No Trade")),0)</f>
        <v>0</v>
      </c>
      <c r="D24" s="87" t="n">
        <f aca="true">IFERROR(SUMPRODUCT((INDIRECT("'"&amp;$C$2&amp;"'!D4:D503")="London")*(INDIRECT("'"&amp;$C$2&amp;"'!M4:M503")&lt;&gt;"No Trade")*INDIRECT("'"&amp;$C$2&amp;"'!K4:K503")),0)</f>
        <v>0</v>
      </c>
      <c r="E24" s="88" t="n">
        <f aca="true">IFERROR(SUMPRODUCT((INDIRECT("'"&amp;$C$2&amp;"'!D4:D503")="London")*(INDIRECT("'"&amp;$C$2&amp;"'!M4:M503")&lt;&gt;"No Trade")*((INDIRECT("'"&amp;$C$2&amp;"'!M4:M503")="Win")+(INDIRECT("'"&amp;$C$2&amp;"'!M4:M503")="Partial")))/SUMPRODUCT((INDIRECT("'"&amp;$C$2&amp;"'!D4:D503")="London")*(INDIRECT("'"&amp;$C$2&amp;"'!M4:M503")&lt;&gt;"No Trade")),0)</f>
        <v>0</v>
      </c>
      <c r="H24" s="85" t="s">
        <v>82</v>
      </c>
      <c r="I24" s="86" t="n">
        <f aca="true">IFERROR(SUMPRODUCT((INDIRECT("'"&amp;$C$2&amp;"'!M4:M503")="Win")*(INDIRECT("'"&amp;$C$2&amp;"'!M4:M503")&lt;&gt;"No Trade")),0)</f>
        <v>0</v>
      </c>
      <c r="J24" s="87" t="n">
        <f aca="true">IFERROR(SUMPRODUCT((INDIRECT("'"&amp;$C$2&amp;"'!M4:M503")="Win")*(INDIRECT("'"&amp;$C$2&amp;"'!M4:M503")&lt;&gt;"No Trade")*INDIRECT("'"&amp;$C$2&amp;"'!K4:K503")),0)</f>
        <v>0</v>
      </c>
      <c r="K24" s="88" t="n">
        <f aca="true">IFERROR(SUMPRODUCT((INDIRECT("'"&amp;$C$2&amp;"'!M4:M503")="Win")*(INDIRECT("'"&amp;$C$2&amp;"'!M4:M503")&lt;&gt;"No Trade")*((INDIRECT("'"&amp;$C$2&amp;"'!M4:M503")="Win")+(INDIRECT("'"&amp;$C$2&amp;"'!M4:M503")="Partial")))/SUMPRODUCT((INDIRECT("'"&amp;$C$2&amp;"'!M4:M503")="Win")*(INDIRECT("'"&amp;$C$2&amp;"'!M4:M503")&lt;&gt;"No Trade")),0)</f>
        <v>0</v>
      </c>
      <c r="N24" s="85" t="s">
        <v>83</v>
      </c>
      <c r="O24" s="86" t="n">
        <f aca="true">IFERROR(SUMPRODUCT((INDIRECT("'"&amp;$C$2&amp;"'!J4:J503")="W")*(INDIRECT("'"&amp;$C$2&amp;"'!M4:M503")&lt;&gt;"No Trade")),0)</f>
        <v>0</v>
      </c>
      <c r="P24" s="87" t="n">
        <f aca="true">IFERROR(SUMPRODUCT((INDIRECT("'"&amp;$C$2&amp;"'!J4:J503")="W")*(INDIRECT("'"&amp;$C$2&amp;"'!M4:M503")&lt;&gt;"No Trade")*INDIRECT("'"&amp;$C$2&amp;"'!K4:K503")),0)</f>
        <v>0</v>
      </c>
      <c r="Q24" s="88" t="n">
        <f aca="true">IFERROR(SUMPRODUCT((INDIRECT("'"&amp;$C$2&amp;"'!J4:J503")="W")*(INDIRECT("'"&amp;$C$2&amp;"'!M4:M503")&lt;&gt;"No Trade")*((INDIRECT("'"&amp;$C$2&amp;"'!M4:M503")="Win")+(INDIRECT("'"&amp;$C$2&amp;"'!M4:M503")="Partial")))/SUMPRODUCT((INDIRECT("'"&amp;$C$2&amp;"'!J4:J503")="W")*(INDIRECT("'"&amp;$C$2&amp;"'!M4:M503")&lt;&gt;"No Trade")),0)</f>
        <v>0</v>
      </c>
      <c r="T24" s="85" t="s">
        <v>84</v>
      </c>
      <c r="U24" s="86" t="n">
        <f aca="true">IFERROR(SUMPRODUCT((INDIRECT("'"&amp;$C$2&amp;"'!C4:C503")="BTC")*(INDIRECT("'"&amp;$C$2&amp;"'!M4:M503")&lt;&gt;"No Trade")),0)</f>
        <v>0</v>
      </c>
      <c r="V24" s="87" t="n">
        <f aca="true">IFERROR(SUMPRODUCT((INDIRECT("'"&amp;$C$2&amp;"'!C4:C503")="BTC")*(INDIRECT("'"&amp;$C$2&amp;"'!M4:M503")&lt;&gt;"No Trade")*INDIRECT("'"&amp;$C$2&amp;"'!K4:K503")),0)</f>
        <v>0</v>
      </c>
      <c r="W24" s="88" t="n">
        <f aca="true">IFERROR(SUMPRODUCT((INDIRECT("'"&amp;$C$2&amp;"'!C4:C503")="BTC")*(INDIRECT("'"&amp;$C$2&amp;"'!M4:M503")&lt;&gt;"No Trade")*((INDIRECT("'"&amp;$C$2&amp;"'!M4:M503")="Win")+(INDIRECT("'"&amp;$C$2&amp;"'!M4:M503")="Partial")))/SUMPRODUCT((INDIRECT("'"&amp;$C$2&amp;"'!C4:C503")="BTC")*(INDIRECT("'"&amp;$C$2&amp;"'!M4:M503")&lt;&gt;"No Trade")),0)</f>
        <v>0</v>
      </c>
    </row>
    <row r="25" customFormat="false" ht="18" hidden="false" customHeight="true" outlineLevel="0" collapsed="false">
      <c r="B25" s="89" t="s">
        <v>29</v>
      </c>
      <c r="C25" s="90" t="n">
        <f aca="true">IFERROR(SUMPRODUCT((INDIRECT("'"&amp;$C$2&amp;"'!D4:D503")="New York")*(INDIRECT("'"&amp;$C$2&amp;"'!M4:M503")&lt;&gt;"No Trade")),0)</f>
        <v>0</v>
      </c>
      <c r="D25" s="91" t="n">
        <f aca="true">IFERROR(SUMPRODUCT((INDIRECT("'"&amp;$C$2&amp;"'!D4:D503")="New York")*(INDIRECT("'"&amp;$C$2&amp;"'!M4:M503")&lt;&gt;"No Trade")*INDIRECT("'"&amp;$C$2&amp;"'!K4:K503")),0)</f>
        <v>0</v>
      </c>
      <c r="E25" s="92" t="n">
        <f aca="true">IFERROR(SUMPRODUCT((INDIRECT("'"&amp;$C$2&amp;"'!D4:D503")="New York")*(INDIRECT("'"&amp;$C$2&amp;"'!M4:M503")&lt;&gt;"No Trade")*((INDIRECT("'"&amp;$C$2&amp;"'!M4:M503")="Win")+(INDIRECT("'"&amp;$C$2&amp;"'!M4:M503")="Partial")))/SUMPRODUCT((INDIRECT("'"&amp;$C$2&amp;"'!D4:D503")="New York")*(INDIRECT("'"&amp;$C$2&amp;"'!M4:M503")&lt;&gt;"No Trade")),0)</f>
        <v>0</v>
      </c>
      <c r="H25" s="89" t="s">
        <v>85</v>
      </c>
      <c r="I25" s="90" t="n">
        <f aca="true">IFERROR(SUMPRODUCT((INDIRECT("'"&amp;$C$2&amp;"'!M4:M503")="Loss")*(INDIRECT("'"&amp;$C$2&amp;"'!M4:M503")&lt;&gt;"No Trade")),0)</f>
        <v>0</v>
      </c>
      <c r="J25" s="91" t="n">
        <f aca="true">IFERROR(SUMPRODUCT((INDIRECT("'"&amp;$C$2&amp;"'!M4:M503")="Loss")*(INDIRECT("'"&amp;$C$2&amp;"'!M4:M503")&lt;&gt;"No Trade")*INDIRECT("'"&amp;$C$2&amp;"'!K4:K503")),0)</f>
        <v>0</v>
      </c>
      <c r="K25" s="92" t="n">
        <f aca="true">IFERROR(SUMPRODUCT((INDIRECT("'"&amp;$C$2&amp;"'!M4:M503")="Loss")*(INDIRECT("'"&amp;$C$2&amp;"'!M4:M503")&lt;&gt;"No Trade")*((INDIRECT("'"&amp;$C$2&amp;"'!M4:M503")="Win")+(INDIRECT("'"&amp;$C$2&amp;"'!M4:M503")="Partial")))/SUMPRODUCT((INDIRECT("'"&amp;$C$2&amp;"'!M4:M503")="Loss")*(INDIRECT("'"&amp;$C$2&amp;"'!M4:M503")&lt;&gt;"No Trade")),0)</f>
        <v>0</v>
      </c>
      <c r="N25" s="89" t="s">
        <v>86</v>
      </c>
      <c r="O25" s="90" t="n">
        <f aca="true">IFERROR(SUMPRODUCT((INDIRECT("'"&amp;$C$2&amp;"'!J4:J503")="L")*(INDIRECT("'"&amp;$C$2&amp;"'!M4:M503")&lt;&gt;"No Trade")),0)</f>
        <v>0</v>
      </c>
      <c r="P25" s="91" t="n">
        <f aca="true">IFERROR(SUMPRODUCT((INDIRECT("'"&amp;$C$2&amp;"'!J4:J503")="L")*(INDIRECT("'"&amp;$C$2&amp;"'!M4:M503")&lt;&gt;"No Trade")*INDIRECT("'"&amp;$C$2&amp;"'!K4:K503")),0)</f>
        <v>0</v>
      </c>
      <c r="Q25" s="92" t="n">
        <f aca="true">IFERROR(SUMPRODUCT((INDIRECT("'"&amp;$C$2&amp;"'!J4:J503")="L")*(INDIRECT("'"&amp;$C$2&amp;"'!M4:M503")&lt;&gt;"No Trade")*((INDIRECT("'"&amp;$C$2&amp;"'!M4:M503")="Win")+(INDIRECT("'"&amp;$C$2&amp;"'!M4:M503")="Partial")))/SUMPRODUCT((INDIRECT("'"&amp;$C$2&amp;"'!J4:J503")="L")*(INDIRECT("'"&amp;$C$2&amp;"'!M4:M503")&lt;&gt;"No Trade")),0)</f>
        <v>0</v>
      </c>
      <c r="T25" s="89" t="s">
        <v>87</v>
      </c>
      <c r="U25" s="90" t="n">
        <f aca="true">IFERROR(SUMPRODUCT((INDIRECT("'"&amp;$C$2&amp;"'!C4:C503")="ETH")*(INDIRECT("'"&amp;$C$2&amp;"'!M4:M503")&lt;&gt;"No Trade")),0)</f>
        <v>0</v>
      </c>
      <c r="V25" s="91" t="n">
        <f aca="true">IFERROR(SUMPRODUCT((INDIRECT("'"&amp;$C$2&amp;"'!C4:C503")="ETH")*(INDIRECT("'"&amp;$C$2&amp;"'!M4:M503")&lt;&gt;"No Trade")*INDIRECT("'"&amp;$C$2&amp;"'!K4:K503")),0)</f>
        <v>0</v>
      </c>
      <c r="W25" s="92" t="n">
        <f aca="true">IFERROR(SUMPRODUCT((INDIRECT("'"&amp;$C$2&amp;"'!C4:C503")="ETH")*(INDIRECT("'"&amp;$C$2&amp;"'!M4:M503")&lt;&gt;"No Trade")*((INDIRECT("'"&amp;$C$2&amp;"'!M4:M503")="Win")+(INDIRECT("'"&amp;$C$2&amp;"'!M4:M503")="Partial")))/SUMPRODUCT((INDIRECT("'"&amp;$C$2&amp;"'!C4:C503")="ETH")*(INDIRECT("'"&amp;$C$2&amp;"'!M4:M503")&lt;&gt;"No Trade")),0)</f>
        <v>0</v>
      </c>
    </row>
    <row r="26" customFormat="false" ht="18" hidden="false" customHeight="true" outlineLevel="0" collapsed="false">
      <c r="B26" s="85" t="s">
        <v>31</v>
      </c>
      <c r="C26" s="86" t="n">
        <f aca="true">IFERROR(SUMPRODUCT((INDIRECT("'"&amp;$C$2&amp;"'!D4:D503")="Asia")*(INDIRECT("'"&amp;$C$2&amp;"'!M4:M503")&lt;&gt;"No Trade")),0)</f>
        <v>0</v>
      </c>
      <c r="D26" s="87" t="n">
        <f aca="true">IFERROR(SUMPRODUCT((INDIRECT("'"&amp;$C$2&amp;"'!D4:D503")="Asia")*(INDIRECT("'"&amp;$C$2&amp;"'!M4:M503")&lt;&gt;"No Trade")*INDIRECT("'"&amp;$C$2&amp;"'!K4:K503")),0)</f>
        <v>0</v>
      </c>
      <c r="E26" s="88" t="n">
        <f aca="true">IFERROR(SUMPRODUCT((INDIRECT("'"&amp;$C$2&amp;"'!D4:D503")="Asia")*(INDIRECT("'"&amp;$C$2&amp;"'!M4:M503")&lt;&gt;"No Trade")*((INDIRECT("'"&amp;$C$2&amp;"'!M4:M503")="Win")+(INDIRECT("'"&amp;$C$2&amp;"'!M4:M503")="Partial")))/SUMPRODUCT((INDIRECT("'"&amp;$C$2&amp;"'!D4:D503")="Asia")*(INDIRECT("'"&amp;$C$2&amp;"'!M4:M503")&lt;&gt;"No Trade")),0)</f>
        <v>0</v>
      </c>
      <c r="H26" s="85" t="s">
        <v>88</v>
      </c>
      <c r="I26" s="86" t="n">
        <f aca="true">IFERROR(SUMPRODUCT((INDIRECT("'"&amp;$C$2&amp;"'!M4:M503")="Partial")*(INDIRECT("'"&amp;$C$2&amp;"'!M4:M503")&lt;&gt;"No Trade")),0)</f>
        <v>0</v>
      </c>
      <c r="J26" s="87" t="n">
        <f aca="true">IFERROR(SUMPRODUCT((INDIRECT("'"&amp;$C$2&amp;"'!M4:M503")="Partial")*(INDIRECT("'"&amp;$C$2&amp;"'!M4:M503")&lt;&gt;"No Trade")*INDIRECT("'"&amp;$C$2&amp;"'!K4:K503")),0)</f>
        <v>0</v>
      </c>
      <c r="K26" s="88" t="n">
        <f aca="true">IFERROR(SUMPRODUCT((INDIRECT("'"&amp;$C$2&amp;"'!M4:M503")="Partial")*(INDIRECT("'"&amp;$C$2&amp;"'!M4:M503")&lt;&gt;"No Trade")*((INDIRECT("'"&amp;$C$2&amp;"'!M4:M503")="Win")+(INDIRECT("'"&amp;$C$2&amp;"'!M4:M503")="Partial")))/SUMPRODUCT((INDIRECT("'"&amp;$C$2&amp;"'!M4:M503")="Partial")*(INDIRECT("'"&amp;$C$2&amp;"'!M4:M503")&lt;&gt;"No Trade")),0)</f>
        <v>0</v>
      </c>
      <c r="N26" s="85" t="s">
        <v>89</v>
      </c>
      <c r="O26" s="86" t="n">
        <f aca="true">IFERROR(SUMPRODUCT((INDIRECT("'"&amp;$C$2&amp;"'!J4:J503")="P")*(INDIRECT("'"&amp;$C$2&amp;"'!M4:M503")&lt;&gt;"No Trade")),0)</f>
        <v>0</v>
      </c>
      <c r="P26" s="87" t="n">
        <f aca="true">IFERROR(SUMPRODUCT((INDIRECT("'"&amp;$C$2&amp;"'!J4:J503")="P")*(INDIRECT("'"&amp;$C$2&amp;"'!M4:M503")&lt;&gt;"No Trade")*INDIRECT("'"&amp;$C$2&amp;"'!K4:K503")),0)</f>
        <v>0</v>
      </c>
      <c r="Q26" s="88" t="n">
        <f aca="true">IFERROR(SUMPRODUCT((INDIRECT("'"&amp;$C$2&amp;"'!J4:J503")="P")*(INDIRECT("'"&amp;$C$2&amp;"'!M4:M503")&lt;&gt;"No Trade")*((INDIRECT("'"&amp;$C$2&amp;"'!M4:M503")="Win")+(INDIRECT("'"&amp;$C$2&amp;"'!M4:M503")="Partial")))/SUMPRODUCT((INDIRECT("'"&amp;$C$2&amp;"'!J4:J503")="P")*(INDIRECT("'"&amp;$C$2&amp;"'!M4:M503")&lt;&gt;"No Trade")),0)</f>
        <v>0</v>
      </c>
      <c r="T26" s="85" t="s">
        <v>90</v>
      </c>
      <c r="U26" s="86" t="n">
        <f aca="true">IFERROR(SUMPRODUCT((INDIRECT("'"&amp;$C$2&amp;"'!C4:C503")="BTC/USD")*(INDIRECT("'"&amp;$C$2&amp;"'!M4:M503")&lt;&gt;"No Trade")),0)</f>
        <v>0</v>
      </c>
      <c r="V26" s="87" t="n">
        <f aca="true">IFERROR(SUMPRODUCT((INDIRECT("'"&amp;$C$2&amp;"'!C4:C503")="BTC/USD")*(INDIRECT("'"&amp;$C$2&amp;"'!M4:M503")&lt;&gt;"No Trade")*INDIRECT("'"&amp;$C$2&amp;"'!K4:K503")),0)</f>
        <v>0</v>
      </c>
      <c r="W26" s="88" t="n">
        <f aca="true">IFERROR(SUMPRODUCT((INDIRECT("'"&amp;$C$2&amp;"'!C4:C503")="BTC/USD")*(INDIRECT("'"&amp;$C$2&amp;"'!M4:M503")&lt;&gt;"No Trade")*((INDIRECT("'"&amp;$C$2&amp;"'!M4:M503")="Win")+(INDIRECT("'"&amp;$C$2&amp;"'!M4:M503")="Partial")))/SUMPRODUCT((INDIRECT("'"&amp;$C$2&amp;"'!C4:C503")="BTC/USD")*(INDIRECT("'"&amp;$C$2&amp;"'!M4:M503")&lt;&gt;"No Trade")),0)</f>
        <v>0</v>
      </c>
    </row>
    <row r="27" customFormat="false" ht="18" hidden="false" customHeight="true" outlineLevel="0" collapsed="false">
      <c r="B27" s="89" t="s">
        <v>32</v>
      </c>
      <c r="C27" s="90" t="n">
        <f aca="true">IFERROR(SUMPRODUCT((INDIRECT("'"&amp;$C$2&amp;"'!D4:D503")="London/NY Overlap")*(INDIRECT("'"&amp;$C$2&amp;"'!M4:M503")&lt;&gt;"No Trade")),0)</f>
        <v>0</v>
      </c>
      <c r="D27" s="91" t="n">
        <f aca="true">IFERROR(SUMPRODUCT((INDIRECT("'"&amp;$C$2&amp;"'!D4:D503")="London/NY Overlap")*(INDIRECT("'"&amp;$C$2&amp;"'!M4:M503")&lt;&gt;"No Trade")*INDIRECT("'"&amp;$C$2&amp;"'!K4:K503")),0)</f>
        <v>0</v>
      </c>
      <c r="E27" s="92" t="n">
        <f aca="true">IFERROR(SUMPRODUCT((INDIRECT("'"&amp;$C$2&amp;"'!D4:D503")="London/NY Overlap")*(INDIRECT("'"&amp;$C$2&amp;"'!M4:M503")&lt;&gt;"No Trade")*((INDIRECT("'"&amp;$C$2&amp;"'!M4:M503")="Win")+(INDIRECT("'"&amp;$C$2&amp;"'!M4:M503")="Partial")))/SUMPRODUCT((INDIRECT("'"&amp;$C$2&amp;"'!D4:D503")="London/NY Overlap")*(INDIRECT("'"&amp;$C$2&amp;"'!M4:M503")&lt;&gt;"No Trade")),0)</f>
        <v>0</v>
      </c>
      <c r="T27" s="89" t="s">
        <v>91</v>
      </c>
      <c r="U27" s="90" t="n">
        <f aca="true">IFERROR(SUMPRODUCT((INDIRECT("'"&amp;$C$2&amp;"'!C4:C503")="ETH/USD")*(INDIRECT("'"&amp;$C$2&amp;"'!M4:M503")&lt;&gt;"No Trade")),0)</f>
        <v>0</v>
      </c>
      <c r="V27" s="91" t="n">
        <f aca="true">IFERROR(SUMPRODUCT((INDIRECT("'"&amp;$C$2&amp;"'!C4:C503")="ETH/USD")*(INDIRECT("'"&amp;$C$2&amp;"'!M4:M503")&lt;&gt;"No Trade")*INDIRECT("'"&amp;$C$2&amp;"'!K4:K503")),0)</f>
        <v>0</v>
      </c>
      <c r="W27" s="92" t="n">
        <f aca="true">IFERROR(SUMPRODUCT((INDIRECT("'"&amp;$C$2&amp;"'!C4:C503")="ETH/USD")*(INDIRECT("'"&amp;$C$2&amp;"'!M4:M503")&lt;&gt;"No Trade")*((INDIRECT("'"&amp;$C$2&amp;"'!M4:M503")="Win")+(INDIRECT("'"&amp;$C$2&amp;"'!M4:M503")="Partial")))/SUMPRODUCT((INDIRECT("'"&amp;$C$2&amp;"'!C4:C503")="ETH/USD")*(INDIRECT("'"&amp;$C$2&amp;"'!M4:M503")&lt;&gt;"No Trade")),0)</f>
        <v>0</v>
      </c>
    </row>
    <row r="28" customFormat="false" ht="18" hidden="false" customHeight="true" outlineLevel="0" collapsed="false">
      <c r="T28" s="85" t="s">
        <v>92</v>
      </c>
      <c r="U28" s="86" t="n">
        <f aca="true">IFERROR(SUMPRODUCT((INDIRECT("'"&amp;$C$2&amp;"'!C4:C503")="Other")*(INDIRECT("'"&amp;$C$2&amp;"'!M4:M503")&lt;&gt;"No Trade")),0)</f>
        <v>0</v>
      </c>
      <c r="V28" s="87" t="n">
        <f aca="true">IFERROR(SUMPRODUCT((INDIRECT("'"&amp;$C$2&amp;"'!C4:C503")="Other")*(INDIRECT("'"&amp;$C$2&amp;"'!M4:M503")&lt;&gt;"No Trade")*INDIRECT("'"&amp;$C$2&amp;"'!K4:K503")),0)</f>
        <v>0</v>
      </c>
      <c r="W28" s="88" t="n">
        <f aca="true">IFERROR(SUMPRODUCT((INDIRECT("'"&amp;$C$2&amp;"'!C4:C503")="Other")*(INDIRECT("'"&amp;$C$2&amp;"'!M4:M503")&lt;&gt;"No Trade")*((INDIRECT("'"&amp;$C$2&amp;"'!M4:M503")="Win")+(INDIRECT("'"&amp;$C$2&amp;"'!M4:M503")="Partial")))/SUMPRODUCT((INDIRECT("'"&amp;$C$2&amp;"'!C4:C503")="Other")*(INDIRECT("'"&amp;$C$2&amp;"'!M4:M503")&lt;&gt;"No Trade")),0)</f>
        <v>0</v>
      </c>
    </row>
    <row r="35" customFormat="false" ht="6" hidden="false" customHeight="true" outlineLevel="0" collapsed="false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 customFormat="false" ht="7.5" hidden="false" customHeight="true" outlineLevel="0" collapsed="false">
      <c r="B36" s="66" t="s">
        <v>93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 customFormat="false" ht="15.75" hidden="false" customHeight="true" outlineLevel="0" collapsed="false">
      <c r="B37" s="93" t="s">
        <v>94</v>
      </c>
      <c r="C37" s="93"/>
      <c r="D37" s="93"/>
      <c r="E37" s="93" t="s">
        <v>24</v>
      </c>
      <c r="F37" s="93"/>
      <c r="G37" s="93"/>
      <c r="H37" s="93" t="s">
        <v>95</v>
      </c>
      <c r="I37" s="93"/>
      <c r="J37" s="93"/>
      <c r="K37" s="93" t="s">
        <v>96</v>
      </c>
      <c r="L37" s="93"/>
      <c r="M37" s="93"/>
      <c r="N37" s="93" t="s">
        <v>33</v>
      </c>
      <c r="O37" s="93"/>
      <c r="P37" s="93"/>
      <c r="R37" s="93" t="s">
        <v>25</v>
      </c>
      <c r="S37" s="93"/>
      <c r="T37" s="93"/>
      <c r="U37" s="93" t="s">
        <v>97</v>
      </c>
      <c r="V37" s="93"/>
      <c r="W37" s="93"/>
    </row>
    <row r="38" customFormat="false" ht="18" hidden="false" customHeight="true" outlineLevel="0" collapsed="false">
      <c r="B38" s="94" t="s">
        <v>98</v>
      </c>
      <c r="C38" s="94"/>
      <c r="D38" s="94"/>
      <c r="E38" s="95" t="n">
        <f aca="true">IFERROR(SUMPRODUCT((TEXT(INDIRECT("'"&amp;$C$2&amp;"'!B4:B503"),"MMMM")="January")*(INDIRECT("'"&amp;$C$2&amp;"'!M4:M503")&lt;&gt;"No Trade")),0)</f>
        <v>0</v>
      </c>
      <c r="F38" s="95"/>
      <c r="G38" s="95"/>
      <c r="H38" s="96" t="n">
        <f aca="true">IFERROR(SUMPRODUCT((TEXT(INDIRECT("'"&amp;$C$2&amp;"'!B4:B503"),"MMMM")="January")*(INDIRECT("'"&amp;$C$2&amp;"'!M4:M503")&lt;&gt;"No Trade")*(INDIRECT("'"&amp;$C$2&amp;"'!M4:M503")="Win")),0)</f>
        <v>0</v>
      </c>
      <c r="I38" s="96"/>
      <c r="J38" s="96"/>
      <c r="K38" s="97" t="n">
        <f aca="true">IFERROR(SUMPRODUCT((TEXT(INDIRECT("'"&amp;$C$2&amp;"'!B4:B503"),"MMMM")="January")*(INDIRECT("'"&amp;$C$2&amp;"'!M4:M503")&lt;&gt;"No Trade")*(INDIRECT("'"&amp;$C$2&amp;"'!M4:M503")="Loss")),0)</f>
        <v>0</v>
      </c>
      <c r="L38" s="97"/>
      <c r="M38" s="97"/>
      <c r="N38" s="98" t="n">
        <f aca="true">IFERROR(SUMPRODUCT((TEXT(INDIRECT("'"&amp;$C$2&amp;"'!B4:B503"),"MMMM")="January")*(INDIRECT("'"&amp;$C$2&amp;"'!M4:M503")&lt;&gt;"No Trade")*INDIRECT("'"&amp;$C$2&amp;"'!K4:K503")),0)</f>
        <v>0</v>
      </c>
      <c r="O38" s="98"/>
      <c r="P38" s="98"/>
      <c r="R38" s="99" t="n">
        <f aca="true">IFERROR(SUMPRODUCT((TEXT(INDIRECT("'"&amp;$C$2&amp;"'!B4:B503"),"MMMM")="January")*(INDIRECT("'"&amp;$C$2&amp;"'!M4:M503")&lt;&gt;"No Trade")*((INDIRECT("'"&amp;$C$2&amp;"'!M4:M503")="Win")+(INDIRECT("'"&amp;$C$2&amp;"'!M4:M503")="Partial")))/SUMPRODUCT((TEXT(INDIRECT("'"&amp;$C$2&amp;"'!B4:B503"),"MMMM")="January")*(INDIRECT("'"&amp;$C$2&amp;"'!M4:M503")&lt;&gt;"No Trade")),0)</f>
        <v>0</v>
      </c>
      <c r="S38" s="99"/>
      <c r="T38" s="99"/>
      <c r="U38" s="98" t="n">
        <f aca="true">IFERROR(IFERROR(SUMPRODUCT((TEXT(INDIRECT("'"&amp;$C$2&amp;"'!B4:B503"),"MMMM")="January")*(INDIRECT("'"&amp;$C$2&amp;"'!M4:M503")&lt;&gt;"No Trade")*INDIRECT("'"&amp;$C$2&amp;"'!K4:K503")),0)/IFERROR(SUMPRODUCT((TEXT(INDIRECT("'"&amp;$C$2&amp;"'!B4:B503"),"MMMM")="January")*(INDIRECT("'"&amp;$C$2&amp;"'!M4:M503")&lt;&gt;"No Trade")),0),0)</f>
        <v>0</v>
      </c>
      <c r="V38" s="98"/>
      <c r="W38" s="98"/>
    </row>
    <row r="39" customFormat="false" ht="18" hidden="false" customHeight="true" outlineLevel="0" collapsed="false">
      <c r="B39" s="100" t="s">
        <v>99</v>
      </c>
      <c r="C39" s="100"/>
      <c r="D39" s="100"/>
      <c r="E39" s="101" t="n">
        <f aca="true">IFERROR(SUMPRODUCT((TEXT(INDIRECT("'"&amp;$C$2&amp;"'!B4:B503"),"MMMM")="February")*(INDIRECT("'"&amp;$C$2&amp;"'!M4:M503")&lt;&gt;"No Trade")),0)</f>
        <v>0</v>
      </c>
      <c r="F39" s="101"/>
      <c r="G39" s="101"/>
      <c r="H39" s="102" t="n">
        <f aca="true">IFERROR(SUMPRODUCT((TEXT(INDIRECT("'"&amp;$C$2&amp;"'!B4:B503"),"MMMM")="February")*(INDIRECT("'"&amp;$C$2&amp;"'!M4:M503")&lt;&gt;"No Trade")*(INDIRECT("'"&amp;$C$2&amp;"'!M4:M503")="Win")),0)</f>
        <v>0</v>
      </c>
      <c r="I39" s="102"/>
      <c r="J39" s="102"/>
      <c r="K39" s="103" t="n">
        <f aca="true">IFERROR(SUMPRODUCT((TEXT(INDIRECT("'"&amp;$C$2&amp;"'!B4:B503"),"MMMM")="February")*(INDIRECT("'"&amp;$C$2&amp;"'!M4:M503")&lt;&gt;"No Trade")*(INDIRECT("'"&amp;$C$2&amp;"'!M4:M503")="Loss")),0)</f>
        <v>0</v>
      </c>
      <c r="L39" s="103"/>
      <c r="M39" s="103"/>
      <c r="N39" s="104" t="n">
        <f aca="true">IFERROR(SUMPRODUCT((TEXT(INDIRECT("'"&amp;$C$2&amp;"'!B4:B503"),"MMMM")="February")*(INDIRECT("'"&amp;$C$2&amp;"'!M4:M503")&lt;&gt;"No Trade")*INDIRECT("'"&amp;$C$2&amp;"'!K4:K503")),0)</f>
        <v>0</v>
      </c>
      <c r="O39" s="104"/>
      <c r="P39" s="104"/>
      <c r="R39" s="105" t="n">
        <f aca="true">IFERROR(SUMPRODUCT((TEXT(INDIRECT("'"&amp;$C$2&amp;"'!B4:B503"),"MMMM")="February")*(INDIRECT("'"&amp;$C$2&amp;"'!M4:M503")&lt;&gt;"No Trade")*((INDIRECT("'"&amp;$C$2&amp;"'!M4:M503")="Win")+(INDIRECT("'"&amp;$C$2&amp;"'!M4:M503")="Partial")))/SUMPRODUCT((TEXT(INDIRECT("'"&amp;$C$2&amp;"'!B4:B503"),"MMMM")="February")*(INDIRECT("'"&amp;$C$2&amp;"'!M4:M503")&lt;&gt;"No Trade")),0)</f>
        <v>0</v>
      </c>
      <c r="S39" s="105"/>
      <c r="T39" s="105"/>
      <c r="U39" s="104" t="n">
        <f aca="true">IFERROR(IFERROR(SUMPRODUCT((TEXT(INDIRECT("'"&amp;$C$2&amp;"'!B4:B503"),"MMMM")="February")*(INDIRECT("'"&amp;$C$2&amp;"'!M4:M503")&lt;&gt;"No Trade")*INDIRECT("'"&amp;$C$2&amp;"'!K4:K503")),0)/IFERROR(SUMPRODUCT((TEXT(INDIRECT("'"&amp;$C$2&amp;"'!B4:B503"),"MMMM")="February")*(INDIRECT("'"&amp;$C$2&amp;"'!M4:M503")&lt;&gt;"No Trade")),0),0)</f>
        <v>0</v>
      </c>
      <c r="V39" s="104"/>
      <c r="W39" s="104"/>
    </row>
    <row r="40" customFormat="false" ht="18" hidden="false" customHeight="true" outlineLevel="0" collapsed="false">
      <c r="B40" s="94" t="s">
        <v>100</v>
      </c>
      <c r="C40" s="94"/>
      <c r="D40" s="94"/>
      <c r="E40" s="95" t="n">
        <f aca="true">IFERROR(SUMPRODUCT((TEXT(INDIRECT("'"&amp;$C$2&amp;"'!B4:B503"),"MMMM")="March")*(INDIRECT("'"&amp;$C$2&amp;"'!M4:M503")&lt;&gt;"No Trade")),0)</f>
        <v>0</v>
      </c>
      <c r="F40" s="95"/>
      <c r="G40" s="95"/>
      <c r="H40" s="96" t="n">
        <f aca="true">IFERROR(SUMPRODUCT((TEXT(INDIRECT("'"&amp;$C$2&amp;"'!B4:B503"),"MMMM")="March")*(INDIRECT("'"&amp;$C$2&amp;"'!M4:M503")&lt;&gt;"No Trade")*(INDIRECT("'"&amp;$C$2&amp;"'!M4:M503")="Win")),0)</f>
        <v>0</v>
      </c>
      <c r="I40" s="96"/>
      <c r="J40" s="96"/>
      <c r="K40" s="97" t="n">
        <f aca="true">IFERROR(SUMPRODUCT((TEXT(INDIRECT("'"&amp;$C$2&amp;"'!B4:B503"),"MMMM")="March")*(INDIRECT("'"&amp;$C$2&amp;"'!M4:M503")&lt;&gt;"No Trade")*(INDIRECT("'"&amp;$C$2&amp;"'!M4:M503")="Loss")),0)</f>
        <v>0</v>
      </c>
      <c r="L40" s="97"/>
      <c r="M40" s="97"/>
      <c r="N40" s="98" t="n">
        <f aca="true">IFERROR(SUMPRODUCT((TEXT(INDIRECT("'"&amp;$C$2&amp;"'!B4:B503"),"MMMM")="March")*(INDIRECT("'"&amp;$C$2&amp;"'!M4:M503")&lt;&gt;"No Trade")*INDIRECT("'"&amp;$C$2&amp;"'!K4:K503")),0)</f>
        <v>0</v>
      </c>
      <c r="O40" s="98"/>
      <c r="P40" s="98"/>
      <c r="R40" s="99" t="n">
        <f aca="true">IFERROR(SUMPRODUCT((TEXT(INDIRECT("'"&amp;$C$2&amp;"'!B4:B503"),"MMMM")="March")*(INDIRECT("'"&amp;$C$2&amp;"'!M4:M503")&lt;&gt;"No Trade")*((INDIRECT("'"&amp;$C$2&amp;"'!M4:M503")="Win")+(INDIRECT("'"&amp;$C$2&amp;"'!M4:M503")="Partial")))/SUMPRODUCT((TEXT(INDIRECT("'"&amp;$C$2&amp;"'!B4:B503"),"MMMM")="March")*(INDIRECT("'"&amp;$C$2&amp;"'!M4:M503")&lt;&gt;"No Trade")),0)</f>
        <v>0</v>
      </c>
      <c r="S40" s="99"/>
      <c r="T40" s="99"/>
      <c r="U40" s="98" t="n">
        <f aca="true">IFERROR(IFERROR(SUMPRODUCT((TEXT(INDIRECT("'"&amp;$C$2&amp;"'!B4:B503"),"MMMM")="March")*(INDIRECT("'"&amp;$C$2&amp;"'!M4:M503")&lt;&gt;"No Trade")*INDIRECT("'"&amp;$C$2&amp;"'!K4:K503")),0)/IFERROR(SUMPRODUCT((TEXT(INDIRECT("'"&amp;$C$2&amp;"'!B4:B503"),"MMMM")="March")*(INDIRECT("'"&amp;$C$2&amp;"'!M4:M503")&lt;&gt;"No Trade")),0),0)</f>
        <v>0</v>
      </c>
      <c r="V40" s="98"/>
      <c r="W40" s="98"/>
    </row>
    <row r="41" customFormat="false" ht="18" hidden="false" customHeight="true" outlineLevel="0" collapsed="false">
      <c r="B41" s="100" t="s">
        <v>101</v>
      </c>
      <c r="C41" s="100"/>
      <c r="D41" s="100"/>
      <c r="E41" s="101" t="n">
        <f aca="true">IFERROR(SUMPRODUCT((TEXT(INDIRECT("'"&amp;$C$2&amp;"'!B4:B503"),"MMMM")="April")*(INDIRECT("'"&amp;$C$2&amp;"'!M4:M503")&lt;&gt;"No Trade")),0)</f>
        <v>0</v>
      </c>
      <c r="F41" s="101"/>
      <c r="G41" s="101"/>
      <c r="H41" s="102" t="n">
        <f aca="true">IFERROR(SUMPRODUCT((TEXT(INDIRECT("'"&amp;$C$2&amp;"'!B4:B503"),"MMMM")="April")*(INDIRECT("'"&amp;$C$2&amp;"'!M4:M503")&lt;&gt;"No Trade")*(INDIRECT("'"&amp;$C$2&amp;"'!M4:M503")="Win")),0)</f>
        <v>0</v>
      </c>
      <c r="I41" s="102"/>
      <c r="J41" s="102"/>
      <c r="K41" s="103" t="n">
        <f aca="true">IFERROR(SUMPRODUCT((TEXT(INDIRECT("'"&amp;$C$2&amp;"'!B4:B503"),"MMMM")="April")*(INDIRECT("'"&amp;$C$2&amp;"'!M4:M503")&lt;&gt;"No Trade")*(INDIRECT("'"&amp;$C$2&amp;"'!M4:M503")="Loss")),0)</f>
        <v>0</v>
      </c>
      <c r="L41" s="103"/>
      <c r="M41" s="103"/>
      <c r="N41" s="104" t="n">
        <f aca="true">IFERROR(SUMPRODUCT((TEXT(INDIRECT("'"&amp;$C$2&amp;"'!B4:B503"),"MMMM")="April")*(INDIRECT("'"&amp;$C$2&amp;"'!M4:M503")&lt;&gt;"No Trade")*INDIRECT("'"&amp;$C$2&amp;"'!K4:K503")),0)</f>
        <v>0</v>
      </c>
      <c r="O41" s="104"/>
      <c r="P41" s="104"/>
      <c r="R41" s="105" t="n">
        <f aca="true">IFERROR(SUMPRODUCT((TEXT(INDIRECT("'"&amp;$C$2&amp;"'!B4:B503"),"MMMM")="April")*(INDIRECT("'"&amp;$C$2&amp;"'!M4:M503")&lt;&gt;"No Trade")*((INDIRECT("'"&amp;$C$2&amp;"'!M4:M503")="Win")+(INDIRECT("'"&amp;$C$2&amp;"'!M4:M503")="Partial")))/SUMPRODUCT((TEXT(INDIRECT("'"&amp;$C$2&amp;"'!B4:B503"),"MMMM")="April")*(INDIRECT("'"&amp;$C$2&amp;"'!M4:M503")&lt;&gt;"No Trade")),0)</f>
        <v>0</v>
      </c>
      <c r="S41" s="105"/>
      <c r="T41" s="105"/>
      <c r="U41" s="104" t="n">
        <f aca="true">IFERROR(IFERROR(SUMPRODUCT((TEXT(INDIRECT("'"&amp;$C$2&amp;"'!B4:B503"),"MMMM")="April")*(INDIRECT("'"&amp;$C$2&amp;"'!M4:M503")&lt;&gt;"No Trade")*INDIRECT("'"&amp;$C$2&amp;"'!K4:K503")),0)/IFERROR(SUMPRODUCT((TEXT(INDIRECT("'"&amp;$C$2&amp;"'!B4:B503"),"MMMM")="April")*(INDIRECT("'"&amp;$C$2&amp;"'!M4:M503")&lt;&gt;"No Trade")),0),0)</f>
        <v>0</v>
      </c>
      <c r="V41" s="104"/>
      <c r="W41" s="104"/>
    </row>
    <row r="42" customFormat="false" ht="18" hidden="false" customHeight="true" outlineLevel="0" collapsed="false">
      <c r="B42" s="94" t="s">
        <v>102</v>
      </c>
      <c r="C42" s="94"/>
      <c r="D42" s="94"/>
      <c r="E42" s="95" t="n">
        <f aca="true">IFERROR(SUMPRODUCT((TEXT(INDIRECT("'"&amp;$C$2&amp;"'!B4:B503"),"MMMM")="May")*(INDIRECT("'"&amp;$C$2&amp;"'!M4:M503")&lt;&gt;"No Trade")),0)</f>
        <v>0</v>
      </c>
      <c r="F42" s="95"/>
      <c r="G42" s="95"/>
      <c r="H42" s="96" t="n">
        <f aca="true">IFERROR(SUMPRODUCT((TEXT(INDIRECT("'"&amp;$C$2&amp;"'!B4:B503"),"MMMM")="May")*(INDIRECT("'"&amp;$C$2&amp;"'!M4:M503")&lt;&gt;"No Trade")*(INDIRECT("'"&amp;$C$2&amp;"'!M4:M503")="Win")),0)</f>
        <v>0</v>
      </c>
      <c r="I42" s="96"/>
      <c r="J42" s="96"/>
      <c r="K42" s="97" t="n">
        <f aca="true">IFERROR(SUMPRODUCT((TEXT(INDIRECT("'"&amp;$C$2&amp;"'!B4:B503"),"MMMM")="May")*(INDIRECT("'"&amp;$C$2&amp;"'!M4:M503")&lt;&gt;"No Trade")*(INDIRECT("'"&amp;$C$2&amp;"'!M4:M503")="Loss")),0)</f>
        <v>0</v>
      </c>
      <c r="L42" s="97"/>
      <c r="M42" s="97"/>
      <c r="N42" s="98" t="n">
        <f aca="true">IFERROR(SUMPRODUCT((TEXT(INDIRECT("'"&amp;$C$2&amp;"'!B4:B503"),"MMMM")="May")*(INDIRECT("'"&amp;$C$2&amp;"'!M4:M503")&lt;&gt;"No Trade")*INDIRECT("'"&amp;$C$2&amp;"'!K4:K503")),0)</f>
        <v>0</v>
      </c>
      <c r="O42" s="98"/>
      <c r="P42" s="98"/>
      <c r="R42" s="99" t="n">
        <f aca="true">IFERROR(SUMPRODUCT((TEXT(INDIRECT("'"&amp;$C$2&amp;"'!B4:B503"),"MMMM")="May")*(INDIRECT("'"&amp;$C$2&amp;"'!M4:M503")&lt;&gt;"No Trade")*((INDIRECT("'"&amp;$C$2&amp;"'!M4:M503")="Win")+(INDIRECT("'"&amp;$C$2&amp;"'!M4:M503")="Partial")))/SUMPRODUCT((TEXT(INDIRECT("'"&amp;$C$2&amp;"'!B4:B503"),"MMMM")="May")*(INDIRECT("'"&amp;$C$2&amp;"'!M4:M503")&lt;&gt;"No Trade")),0)</f>
        <v>0</v>
      </c>
      <c r="S42" s="99"/>
      <c r="T42" s="99"/>
      <c r="U42" s="98" t="n">
        <f aca="true">IFERROR(IFERROR(SUMPRODUCT((TEXT(INDIRECT("'"&amp;$C$2&amp;"'!B4:B503"),"MMMM")="May")*(INDIRECT("'"&amp;$C$2&amp;"'!M4:M503")&lt;&gt;"No Trade")*INDIRECT("'"&amp;$C$2&amp;"'!K4:K503")),0)/IFERROR(SUMPRODUCT((TEXT(INDIRECT("'"&amp;$C$2&amp;"'!B4:B503"),"MMMM")="May")*(INDIRECT("'"&amp;$C$2&amp;"'!M4:M503")&lt;&gt;"No Trade")),0),0)</f>
        <v>0</v>
      </c>
      <c r="V42" s="98"/>
      <c r="W42" s="98"/>
    </row>
    <row r="43" customFormat="false" ht="18" hidden="false" customHeight="true" outlineLevel="0" collapsed="false">
      <c r="B43" s="100" t="s">
        <v>103</v>
      </c>
      <c r="C43" s="100"/>
      <c r="D43" s="100"/>
      <c r="E43" s="101" t="n">
        <f aca="true">IFERROR(SUMPRODUCT((TEXT(INDIRECT("'"&amp;$C$2&amp;"'!B4:B503"),"MMMM")="June")*(INDIRECT("'"&amp;$C$2&amp;"'!M4:M503")&lt;&gt;"No Trade")),0)</f>
        <v>0</v>
      </c>
      <c r="F43" s="101"/>
      <c r="G43" s="101"/>
      <c r="H43" s="102" t="n">
        <f aca="true">IFERROR(SUMPRODUCT((TEXT(INDIRECT("'"&amp;$C$2&amp;"'!B4:B503"),"MMMM")="June")*(INDIRECT("'"&amp;$C$2&amp;"'!M4:M503")&lt;&gt;"No Trade")*(INDIRECT("'"&amp;$C$2&amp;"'!M4:M503")="Win")),0)</f>
        <v>0</v>
      </c>
      <c r="I43" s="102"/>
      <c r="J43" s="102"/>
      <c r="K43" s="103" t="n">
        <f aca="true">IFERROR(SUMPRODUCT((TEXT(INDIRECT("'"&amp;$C$2&amp;"'!B4:B503"),"MMMM")="June")*(INDIRECT("'"&amp;$C$2&amp;"'!M4:M503")&lt;&gt;"No Trade")*(INDIRECT("'"&amp;$C$2&amp;"'!M4:M503")="Loss")),0)</f>
        <v>0</v>
      </c>
      <c r="L43" s="103"/>
      <c r="M43" s="103"/>
      <c r="N43" s="104" t="n">
        <f aca="true">IFERROR(SUMPRODUCT((TEXT(INDIRECT("'"&amp;$C$2&amp;"'!B4:B503"),"MMMM")="June")*(INDIRECT("'"&amp;$C$2&amp;"'!M4:M503")&lt;&gt;"No Trade")*INDIRECT("'"&amp;$C$2&amp;"'!K4:K503")),0)</f>
        <v>0</v>
      </c>
      <c r="O43" s="104"/>
      <c r="P43" s="104"/>
      <c r="R43" s="105" t="n">
        <f aca="true">IFERROR(SUMPRODUCT((TEXT(INDIRECT("'"&amp;$C$2&amp;"'!B4:B503"),"MMMM")="June")*(INDIRECT("'"&amp;$C$2&amp;"'!M4:M503")&lt;&gt;"No Trade")*((INDIRECT("'"&amp;$C$2&amp;"'!M4:M503")="Win")+(INDIRECT("'"&amp;$C$2&amp;"'!M4:M503")="Partial")))/SUMPRODUCT((TEXT(INDIRECT("'"&amp;$C$2&amp;"'!B4:B503"),"MMMM")="June")*(INDIRECT("'"&amp;$C$2&amp;"'!M4:M503")&lt;&gt;"No Trade")),0)</f>
        <v>0</v>
      </c>
      <c r="S43" s="105"/>
      <c r="T43" s="105"/>
      <c r="U43" s="104" t="n">
        <f aca="true">IFERROR(IFERROR(SUMPRODUCT((TEXT(INDIRECT("'"&amp;$C$2&amp;"'!B4:B503"),"MMMM")="June")*(INDIRECT("'"&amp;$C$2&amp;"'!M4:M503")&lt;&gt;"No Trade")*INDIRECT("'"&amp;$C$2&amp;"'!K4:K503")),0)/IFERROR(SUMPRODUCT((TEXT(INDIRECT("'"&amp;$C$2&amp;"'!B4:B503"),"MMMM")="June")*(INDIRECT("'"&amp;$C$2&amp;"'!M4:M503")&lt;&gt;"No Trade")),0),0)</f>
        <v>0</v>
      </c>
      <c r="V43" s="104"/>
      <c r="W43" s="104"/>
    </row>
    <row r="44" customFormat="false" ht="18" hidden="false" customHeight="true" outlineLevel="0" collapsed="false">
      <c r="B44" s="94" t="s">
        <v>104</v>
      </c>
      <c r="C44" s="94"/>
      <c r="D44" s="94"/>
      <c r="E44" s="95" t="n">
        <f aca="true">IFERROR(SUMPRODUCT((TEXT(INDIRECT("'"&amp;$C$2&amp;"'!B4:B503"),"MMMM")="July")*(INDIRECT("'"&amp;$C$2&amp;"'!M4:M503")&lt;&gt;"No Trade")),0)</f>
        <v>0</v>
      </c>
      <c r="F44" s="95"/>
      <c r="G44" s="95"/>
      <c r="H44" s="96" t="n">
        <f aca="true">IFERROR(SUMPRODUCT((TEXT(INDIRECT("'"&amp;$C$2&amp;"'!B4:B503"),"MMMM")="July")*(INDIRECT("'"&amp;$C$2&amp;"'!M4:M503")&lt;&gt;"No Trade")*(INDIRECT("'"&amp;$C$2&amp;"'!M4:M503")="Win")),0)</f>
        <v>0</v>
      </c>
      <c r="I44" s="96"/>
      <c r="J44" s="96"/>
      <c r="K44" s="97" t="n">
        <f aca="true">IFERROR(SUMPRODUCT((TEXT(INDIRECT("'"&amp;$C$2&amp;"'!B4:B503"),"MMMM")="July")*(INDIRECT("'"&amp;$C$2&amp;"'!M4:M503")&lt;&gt;"No Trade")*(INDIRECT("'"&amp;$C$2&amp;"'!M4:M503")="Loss")),0)</f>
        <v>0</v>
      </c>
      <c r="L44" s="97"/>
      <c r="M44" s="97"/>
      <c r="N44" s="98" t="n">
        <f aca="true">IFERROR(SUMPRODUCT((TEXT(INDIRECT("'"&amp;$C$2&amp;"'!B4:B503"),"MMMM")="July")*(INDIRECT("'"&amp;$C$2&amp;"'!M4:M503")&lt;&gt;"No Trade")*INDIRECT("'"&amp;$C$2&amp;"'!K4:K503")),0)</f>
        <v>0</v>
      </c>
      <c r="O44" s="98"/>
      <c r="P44" s="98"/>
      <c r="R44" s="99" t="n">
        <f aca="true">IFERROR(SUMPRODUCT((TEXT(INDIRECT("'"&amp;$C$2&amp;"'!B4:B503"),"MMMM")="July")*(INDIRECT("'"&amp;$C$2&amp;"'!M4:M503")&lt;&gt;"No Trade")*((INDIRECT("'"&amp;$C$2&amp;"'!M4:M503")="Win")+(INDIRECT("'"&amp;$C$2&amp;"'!M4:M503")="Partial")))/SUMPRODUCT((TEXT(INDIRECT("'"&amp;$C$2&amp;"'!B4:B503"),"MMMM")="July")*(INDIRECT("'"&amp;$C$2&amp;"'!M4:M503")&lt;&gt;"No Trade")),0)</f>
        <v>0</v>
      </c>
      <c r="S44" s="99"/>
      <c r="T44" s="99"/>
      <c r="U44" s="98" t="n">
        <f aca="true">IFERROR(IFERROR(SUMPRODUCT((TEXT(INDIRECT("'"&amp;$C$2&amp;"'!B4:B503"),"MMMM")="July")*(INDIRECT("'"&amp;$C$2&amp;"'!M4:M503")&lt;&gt;"No Trade")*INDIRECT("'"&amp;$C$2&amp;"'!K4:K503")),0)/IFERROR(SUMPRODUCT((TEXT(INDIRECT("'"&amp;$C$2&amp;"'!B4:B503"),"MMMM")="July")*(INDIRECT("'"&amp;$C$2&amp;"'!M4:M503")&lt;&gt;"No Trade")),0),0)</f>
        <v>0</v>
      </c>
      <c r="V44" s="98"/>
      <c r="W44" s="98"/>
    </row>
    <row r="45" customFormat="false" ht="18" hidden="false" customHeight="true" outlineLevel="0" collapsed="false">
      <c r="B45" s="100" t="s">
        <v>105</v>
      </c>
      <c r="C45" s="100"/>
      <c r="D45" s="100"/>
      <c r="E45" s="101" t="n">
        <f aca="true">IFERROR(SUMPRODUCT((TEXT(INDIRECT("'"&amp;$C$2&amp;"'!B4:B503"),"MMMM")="August")*(INDIRECT("'"&amp;$C$2&amp;"'!M4:M503")&lt;&gt;"No Trade")),0)</f>
        <v>0</v>
      </c>
      <c r="F45" s="101"/>
      <c r="G45" s="101"/>
      <c r="H45" s="102" t="n">
        <f aca="true">IFERROR(SUMPRODUCT((TEXT(INDIRECT("'"&amp;$C$2&amp;"'!B4:B503"),"MMMM")="August")*(INDIRECT("'"&amp;$C$2&amp;"'!M4:M503")&lt;&gt;"No Trade")*(INDIRECT("'"&amp;$C$2&amp;"'!M4:M503")="Win")),0)</f>
        <v>0</v>
      </c>
      <c r="I45" s="102"/>
      <c r="J45" s="102"/>
      <c r="K45" s="103" t="n">
        <f aca="true">IFERROR(SUMPRODUCT((TEXT(INDIRECT("'"&amp;$C$2&amp;"'!B4:B503"),"MMMM")="August")*(INDIRECT("'"&amp;$C$2&amp;"'!M4:M503")&lt;&gt;"No Trade")*(INDIRECT("'"&amp;$C$2&amp;"'!M4:M503")="Loss")),0)</f>
        <v>0</v>
      </c>
      <c r="L45" s="103"/>
      <c r="M45" s="103"/>
      <c r="N45" s="104" t="n">
        <f aca="true">IFERROR(SUMPRODUCT((TEXT(INDIRECT("'"&amp;$C$2&amp;"'!B4:B503"),"MMMM")="August")*(INDIRECT("'"&amp;$C$2&amp;"'!M4:M503")&lt;&gt;"No Trade")*INDIRECT("'"&amp;$C$2&amp;"'!K4:K503")),0)</f>
        <v>0</v>
      </c>
      <c r="O45" s="104"/>
      <c r="P45" s="104"/>
      <c r="R45" s="105" t="n">
        <f aca="true">IFERROR(SUMPRODUCT((TEXT(INDIRECT("'"&amp;$C$2&amp;"'!B4:B503"),"MMMM")="August")*(INDIRECT("'"&amp;$C$2&amp;"'!M4:M503")&lt;&gt;"No Trade")*((INDIRECT("'"&amp;$C$2&amp;"'!M4:M503")="Win")+(INDIRECT("'"&amp;$C$2&amp;"'!M4:M503")="Partial")))/SUMPRODUCT((TEXT(INDIRECT("'"&amp;$C$2&amp;"'!B4:B503"),"MMMM")="August")*(INDIRECT("'"&amp;$C$2&amp;"'!M4:M503")&lt;&gt;"No Trade")),0)</f>
        <v>0</v>
      </c>
      <c r="S45" s="105"/>
      <c r="T45" s="105"/>
      <c r="U45" s="104" t="n">
        <f aca="true">IFERROR(IFERROR(SUMPRODUCT((TEXT(INDIRECT("'"&amp;$C$2&amp;"'!B4:B503"),"MMMM")="August")*(INDIRECT("'"&amp;$C$2&amp;"'!M4:M503")&lt;&gt;"No Trade")*INDIRECT("'"&amp;$C$2&amp;"'!K4:K503")),0)/IFERROR(SUMPRODUCT((TEXT(INDIRECT("'"&amp;$C$2&amp;"'!B4:B503"),"MMMM")="August")*(INDIRECT("'"&amp;$C$2&amp;"'!M4:M503")&lt;&gt;"No Trade")),0),0)</f>
        <v>0</v>
      </c>
      <c r="V45" s="104"/>
      <c r="W45" s="104"/>
    </row>
    <row r="46" customFormat="false" ht="18" hidden="false" customHeight="true" outlineLevel="0" collapsed="false">
      <c r="B46" s="94" t="s">
        <v>106</v>
      </c>
      <c r="C46" s="94"/>
      <c r="D46" s="94"/>
      <c r="E46" s="95" t="n">
        <f aca="true">IFERROR(SUMPRODUCT((TEXT(INDIRECT("'"&amp;$C$2&amp;"'!B4:B503"),"MMMM")="September")*(INDIRECT("'"&amp;$C$2&amp;"'!M4:M503")&lt;&gt;"No Trade")),0)</f>
        <v>0</v>
      </c>
      <c r="F46" s="95"/>
      <c r="G46" s="95"/>
      <c r="H46" s="96" t="n">
        <f aca="true">IFERROR(SUMPRODUCT((TEXT(INDIRECT("'"&amp;$C$2&amp;"'!B4:B503"),"MMMM")="September")*(INDIRECT("'"&amp;$C$2&amp;"'!M4:M503")&lt;&gt;"No Trade")*(INDIRECT("'"&amp;$C$2&amp;"'!M4:M503")="Win")),0)</f>
        <v>0</v>
      </c>
      <c r="I46" s="96"/>
      <c r="J46" s="96"/>
      <c r="K46" s="97" t="n">
        <f aca="true">IFERROR(SUMPRODUCT((TEXT(INDIRECT("'"&amp;$C$2&amp;"'!B4:B503"),"MMMM")="September")*(INDIRECT("'"&amp;$C$2&amp;"'!M4:M503")&lt;&gt;"No Trade")*(INDIRECT("'"&amp;$C$2&amp;"'!M4:M503")="Loss")),0)</f>
        <v>0</v>
      </c>
      <c r="L46" s="97"/>
      <c r="M46" s="97"/>
      <c r="N46" s="98" t="n">
        <f aca="true">IFERROR(SUMPRODUCT((TEXT(INDIRECT("'"&amp;$C$2&amp;"'!B4:B503"),"MMMM")="September")*(INDIRECT("'"&amp;$C$2&amp;"'!M4:M503")&lt;&gt;"No Trade")*INDIRECT("'"&amp;$C$2&amp;"'!K4:K503")),0)</f>
        <v>0</v>
      </c>
      <c r="O46" s="98"/>
      <c r="P46" s="98"/>
      <c r="R46" s="99" t="n">
        <f aca="true">IFERROR(SUMPRODUCT((TEXT(INDIRECT("'"&amp;$C$2&amp;"'!B4:B503"),"MMMM")="September")*(INDIRECT("'"&amp;$C$2&amp;"'!M4:M503")&lt;&gt;"No Trade")*((INDIRECT("'"&amp;$C$2&amp;"'!M4:M503")="Win")+(INDIRECT("'"&amp;$C$2&amp;"'!M4:M503")="Partial")))/SUMPRODUCT((TEXT(INDIRECT("'"&amp;$C$2&amp;"'!B4:B503"),"MMMM")="September")*(INDIRECT("'"&amp;$C$2&amp;"'!M4:M503")&lt;&gt;"No Trade")),0)</f>
        <v>0</v>
      </c>
      <c r="S46" s="99"/>
      <c r="T46" s="99"/>
      <c r="U46" s="98" t="n">
        <f aca="true">IFERROR(IFERROR(SUMPRODUCT((TEXT(INDIRECT("'"&amp;$C$2&amp;"'!B4:B503"),"MMMM")="September")*(INDIRECT("'"&amp;$C$2&amp;"'!M4:M503")&lt;&gt;"No Trade")*INDIRECT("'"&amp;$C$2&amp;"'!K4:K503")),0)/IFERROR(SUMPRODUCT((TEXT(INDIRECT("'"&amp;$C$2&amp;"'!B4:B503"),"MMMM")="September")*(INDIRECT("'"&amp;$C$2&amp;"'!M4:M503")&lt;&gt;"No Trade")),0),0)</f>
        <v>0</v>
      </c>
      <c r="V46" s="98"/>
      <c r="W46" s="98"/>
    </row>
    <row r="47" customFormat="false" ht="18" hidden="false" customHeight="true" outlineLevel="0" collapsed="false">
      <c r="B47" s="100" t="s">
        <v>107</v>
      </c>
      <c r="C47" s="100"/>
      <c r="D47" s="100"/>
      <c r="E47" s="101" t="n">
        <f aca="true">IFERROR(SUMPRODUCT((TEXT(INDIRECT("'"&amp;$C$2&amp;"'!B4:B503"),"MMMM")="October")*(INDIRECT("'"&amp;$C$2&amp;"'!M4:M503")&lt;&gt;"No Trade")),0)</f>
        <v>0</v>
      </c>
      <c r="F47" s="101"/>
      <c r="G47" s="101"/>
      <c r="H47" s="102" t="n">
        <f aca="true">IFERROR(SUMPRODUCT((TEXT(INDIRECT("'"&amp;$C$2&amp;"'!B4:B503"),"MMMM")="October")*(INDIRECT("'"&amp;$C$2&amp;"'!M4:M503")&lt;&gt;"No Trade")*(INDIRECT("'"&amp;$C$2&amp;"'!M4:M503")="Win")),0)</f>
        <v>0</v>
      </c>
      <c r="I47" s="102"/>
      <c r="J47" s="102"/>
      <c r="K47" s="103" t="n">
        <f aca="true">IFERROR(SUMPRODUCT((TEXT(INDIRECT("'"&amp;$C$2&amp;"'!B4:B503"),"MMMM")="October")*(INDIRECT("'"&amp;$C$2&amp;"'!M4:M503")&lt;&gt;"No Trade")*(INDIRECT("'"&amp;$C$2&amp;"'!M4:M503")="Loss")),0)</f>
        <v>0</v>
      </c>
      <c r="L47" s="103"/>
      <c r="M47" s="103"/>
      <c r="N47" s="104" t="n">
        <f aca="true">IFERROR(SUMPRODUCT((TEXT(INDIRECT("'"&amp;$C$2&amp;"'!B4:B503"),"MMMM")="October")*(INDIRECT("'"&amp;$C$2&amp;"'!M4:M503")&lt;&gt;"No Trade")*INDIRECT("'"&amp;$C$2&amp;"'!K4:K503")),0)</f>
        <v>0</v>
      </c>
      <c r="O47" s="104"/>
      <c r="P47" s="104"/>
      <c r="R47" s="105" t="n">
        <f aca="true">IFERROR(SUMPRODUCT((TEXT(INDIRECT("'"&amp;$C$2&amp;"'!B4:B503"),"MMMM")="October")*(INDIRECT("'"&amp;$C$2&amp;"'!M4:M503")&lt;&gt;"No Trade")*((INDIRECT("'"&amp;$C$2&amp;"'!M4:M503")="Win")+(INDIRECT("'"&amp;$C$2&amp;"'!M4:M503")="Partial")))/SUMPRODUCT((TEXT(INDIRECT("'"&amp;$C$2&amp;"'!B4:B503"),"MMMM")="October")*(INDIRECT("'"&amp;$C$2&amp;"'!M4:M503")&lt;&gt;"No Trade")),0)</f>
        <v>0</v>
      </c>
      <c r="S47" s="105"/>
      <c r="T47" s="105"/>
      <c r="U47" s="104" t="n">
        <f aca="true">IFERROR(IFERROR(SUMPRODUCT((TEXT(INDIRECT("'"&amp;$C$2&amp;"'!B4:B503"),"MMMM")="October")*(INDIRECT("'"&amp;$C$2&amp;"'!M4:M503")&lt;&gt;"No Trade")*INDIRECT("'"&amp;$C$2&amp;"'!K4:K503")),0)/IFERROR(SUMPRODUCT((TEXT(INDIRECT("'"&amp;$C$2&amp;"'!B4:B503"),"MMMM")="October")*(INDIRECT("'"&amp;$C$2&amp;"'!M4:M503")&lt;&gt;"No Trade")),0),0)</f>
        <v>0</v>
      </c>
      <c r="V47" s="104"/>
      <c r="W47" s="104"/>
    </row>
    <row r="48" customFormat="false" ht="18" hidden="false" customHeight="true" outlineLevel="0" collapsed="false">
      <c r="B48" s="94" t="s">
        <v>108</v>
      </c>
      <c r="C48" s="94"/>
      <c r="D48" s="94"/>
      <c r="E48" s="95" t="n">
        <f aca="true">IFERROR(SUMPRODUCT((TEXT(INDIRECT("'"&amp;$C$2&amp;"'!B4:B503"),"MMMM")="November")*(INDIRECT("'"&amp;$C$2&amp;"'!M4:M503")&lt;&gt;"No Trade")),0)</f>
        <v>0</v>
      </c>
      <c r="F48" s="95"/>
      <c r="G48" s="95"/>
      <c r="H48" s="96" t="n">
        <f aca="true">IFERROR(SUMPRODUCT((TEXT(INDIRECT("'"&amp;$C$2&amp;"'!B4:B503"),"MMMM")="November")*(INDIRECT("'"&amp;$C$2&amp;"'!M4:M503")&lt;&gt;"No Trade")*(INDIRECT("'"&amp;$C$2&amp;"'!M4:M503")="Win")),0)</f>
        <v>0</v>
      </c>
      <c r="I48" s="96"/>
      <c r="J48" s="96"/>
      <c r="K48" s="97" t="n">
        <f aca="true">IFERROR(SUMPRODUCT((TEXT(INDIRECT("'"&amp;$C$2&amp;"'!B4:B503"),"MMMM")="November")*(INDIRECT("'"&amp;$C$2&amp;"'!M4:M503")&lt;&gt;"No Trade")*(INDIRECT("'"&amp;$C$2&amp;"'!M4:M503")="Loss")),0)</f>
        <v>0</v>
      </c>
      <c r="L48" s="97"/>
      <c r="M48" s="97"/>
      <c r="N48" s="98" t="n">
        <f aca="true">IFERROR(SUMPRODUCT((TEXT(INDIRECT("'"&amp;$C$2&amp;"'!B4:B503"),"MMMM")="November")*(INDIRECT("'"&amp;$C$2&amp;"'!M4:M503")&lt;&gt;"No Trade")*INDIRECT("'"&amp;$C$2&amp;"'!K4:K503")),0)</f>
        <v>0</v>
      </c>
      <c r="O48" s="98"/>
      <c r="P48" s="98"/>
      <c r="R48" s="99" t="n">
        <f aca="true">IFERROR(SUMPRODUCT((TEXT(INDIRECT("'"&amp;$C$2&amp;"'!B4:B503"),"MMMM")="November")*(INDIRECT("'"&amp;$C$2&amp;"'!M4:M503")&lt;&gt;"No Trade")*((INDIRECT("'"&amp;$C$2&amp;"'!M4:M503")="Win")+(INDIRECT("'"&amp;$C$2&amp;"'!M4:M503")="Partial")))/SUMPRODUCT((TEXT(INDIRECT("'"&amp;$C$2&amp;"'!B4:B503"),"MMMM")="November")*(INDIRECT("'"&amp;$C$2&amp;"'!M4:M503")&lt;&gt;"No Trade")),0)</f>
        <v>0</v>
      </c>
      <c r="S48" s="99"/>
      <c r="T48" s="99"/>
      <c r="U48" s="98" t="n">
        <f aca="true">IFERROR(IFERROR(SUMPRODUCT((TEXT(INDIRECT("'"&amp;$C$2&amp;"'!B4:B503"),"MMMM")="November")*(INDIRECT("'"&amp;$C$2&amp;"'!M4:M503")&lt;&gt;"No Trade")*INDIRECT("'"&amp;$C$2&amp;"'!K4:K503")),0)/IFERROR(SUMPRODUCT((TEXT(INDIRECT("'"&amp;$C$2&amp;"'!B4:B503"),"MMMM")="November")*(INDIRECT("'"&amp;$C$2&amp;"'!M4:M503")&lt;&gt;"No Trade")),0),0)</f>
        <v>0</v>
      </c>
      <c r="V48" s="98"/>
      <c r="W48" s="98"/>
    </row>
    <row r="49" customFormat="false" ht="18" hidden="false" customHeight="true" outlineLevel="0" collapsed="false">
      <c r="B49" s="100" t="s">
        <v>109</v>
      </c>
      <c r="C49" s="100"/>
      <c r="D49" s="100"/>
      <c r="E49" s="101" t="n">
        <f aca="true">IFERROR(SUMPRODUCT((TEXT(INDIRECT("'"&amp;$C$2&amp;"'!B4:B503"),"MMMM")="December")*(INDIRECT("'"&amp;$C$2&amp;"'!M4:M503")&lt;&gt;"No Trade")),0)</f>
        <v>500</v>
      </c>
      <c r="F49" s="101"/>
      <c r="G49" s="101"/>
      <c r="H49" s="102" t="n">
        <f aca="true">IFERROR(SUMPRODUCT((TEXT(INDIRECT("'"&amp;$C$2&amp;"'!B4:B503"),"MMMM")="December")*(INDIRECT("'"&amp;$C$2&amp;"'!M4:M503")&lt;&gt;"No Trade")*(INDIRECT("'"&amp;$C$2&amp;"'!M4:M503")="Win")),0)</f>
        <v>0</v>
      </c>
      <c r="I49" s="102"/>
      <c r="J49" s="102"/>
      <c r="K49" s="103" t="n">
        <f aca="true">IFERROR(SUMPRODUCT((TEXT(INDIRECT("'"&amp;$C$2&amp;"'!B4:B503"),"MMMM")="December")*(INDIRECT("'"&amp;$C$2&amp;"'!M4:M503")&lt;&gt;"No Trade")*(INDIRECT("'"&amp;$C$2&amp;"'!M4:M503")="Loss")),0)</f>
        <v>0</v>
      </c>
      <c r="L49" s="103"/>
      <c r="M49" s="103"/>
      <c r="N49" s="104" t="n">
        <f aca="true">IFERROR(SUMPRODUCT((TEXT(INDIRECT("'"&amp;$C$2&amp;"'!B4:B503"),"MMMM")="December")*(INDIRECT("'"&amp;$C$2&amp;"'!M4:M503")&lt;&gt;"No Trade")*INDIRECT("'"&amp;$C$2&amp;"'!K4:K503")),0)</f>
        <v>0</v>
      </c>
      <c r="O49" s="104"/>
      <c r="P49" s="104"/>
      <c r="R49" s="105" t="n">
        <f aca="true">IFERROR(SUMPRODUCT((TEXT(INDIRECT("'"&amp;$C$2&amp;"'!B4:B503"),"MMMM")="December")*(INDIRECT("'"&amp;$C$2&amp;"'!M4:M503")&lt;&gt;"No Trade")*((INDIRECT("'"&amp;$C$2&amp;"'!M4:M503")="Win")+(INDIRECT("'"&amp;$C$2&amp;"'!M4:M503")="Partial")))/SUMPRODUCT((TEXT(INDIRECT("'"&amp;$C$2&amp;"'!B4:B503"),"MMMM")="December")*(INDIRECT("'"&amp;$C$2&amp;"'!M4:M503")&lt;&gt;"No Trade")),0)</f>
        <v>0</v>
      </c>
      <c r="S49" s="105"/>
      <c r="T49" s="105"/>
      <c r="U49" s="104" t="n">
        <f aca="true">IFERROR(IFERROR(SUMPRODUCT((TEXT(INDIRECT("'"&amp;$C$2&amp;"'!B4:B503"),"MMMM")="December")*(INDIRECT("'"&amp;$C$2&amp;"'!M4:M503")&lt;&gt;"No Trade")*INDIRECT("'"&amp;$C$2&amp;"'!K4:K503")),0)/IFERROR(SUMPRODUCT((TEXT(INDIRECT("'"&amp;$C$2&amp;"'!B4:B503"),"MMMM")="December")*(INDIRECT("'"&amp;$C$2&amp;"'!M4:M503")&lt;&gt;"No Trade")),0),0)</f>
        <v>0</v>
      </c>
      <c r="V49" s="104"/>
      <c r="W49" s="104"/>
    </row>
    <row r="50" customFormat="false" ht="6" hidden="false" customHeight="tru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 customFormat="false" ht="7.5" hidden="false" customHeight="true" outlineLevel="0" collapsed="false">
      <c r="B51" s="66" t="s">
        <v>110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</row>
    <row r="52" customFormat="false" ht="15.75" hidden="false" customHeight="true" outlineLevel="0" collapsed="false">
      <c r="B52" s="106" t="s">
        <v>35</v>
      </c>
      <c r="C52" s="106" t="s">
        <v>6</v>
      </c>
      <c r="D52" s="106" t="s">
        <v>111</v>
      </c>
      <c r="E52" s="106" t="s">
        <v>16</v>
      </c>
      <c r="F52" s="106" t="s">
        <v>112</v>
      </c>
    </row>
    <row r="53" customFormat="false" ht="15" hidden="false" customHeight="true" outlineLevel="0" collapsed="false">
      <c r="B53" s="107" t="str">
        <f aca="true">IFERROR(INDIRECT("'"&amp;$C$2&amp;"'!A4"),"")</f>
        <v/>
      </c>
      <c r="C53" s="108" t="n">
        <f aca="true">IFERROR(INDIRECT("'"&amp;$C$2&amp;"'!B4"),"")</f>
        <v>0</v>
      </c>
      <c r="D53" s="109" t="str">
        <f aca="true">IFERROR(IF(INDIRECT("'"&amp;$C$2&amp;"'!K4")&lt;&gt;"",INDIRECT("'"&amp;$C$2&amp;"'!P4"),NA()),"")</f>
        <v/>
      </c>
      <c r="E53" s="110" t="str">
        <f aca="true">IFERROR(IF(INDIRECT("'"&amp;$C$2&amp;"'!K4")&lt;&gt;"",(INDIRECT("'"&amp;$C$2&amp;"'!P4")-IFERROR(INDIRECT("'"&amp;$C$2&amp;"'!D2"),0))/IFERROR(INDIRECT("'"&amp;$C$2&amp;"'!D2"),1),NA()),"")</f>
        <v/>
      </c>
      <c r="F53" s="111" t="str">
        <f aca="true">IFERROR(IF(INDIRECT("'"&amp;$C$2&amp;"'!K4")&lt;&gt;"",INDIRECT("'"&amp;$C$2&amp;"'!K4"),NA()),"")</f>
        <v/>
      </c>
    </row>
    <row r="54" customFormat="false" ht="15" hidden="false" customHeight="true" outlineLevel="0" collapsed="false">
      <c r="B54" s="112" t="str">
        <f aca="true">IFERROR(INDIRECT("'"&amp;$C$2&amp;"'!A5"),"")</f>
        <v/>
      </c>
      <c r="C54" s="113" t="n">
        <f aca="true">IFERROR(INDIRECT("'"&amp;$C$2&amp;"'!B5"),"")</f>
        <v>0</v>
      </c>
      <c r="D54" s="114" t="str">
        <f aca="true">IFERROR(IF(INDIRECT("'"&amp;$C$2&amp;"'!K5")&lt;&gt;"",INDIRECT("'"&amp;$C$2&amp;"'!P5"),NA()),"")</f>
        <v/>
      </c>
      <c r="E54" s="115" t="str">
        <f aca="true">IFERROR(IF(INDIRECT("'"&amp;$C$2&amp;"'!K5")&lt;&gt;"",(INDIRECT("'"&amp;$C$2&amp;"'!P5")-IFERROR(INDIRECT("'"&amp;$C$2&amp;"'!D2"),0))/IFERROR(INDIRECT("'"&amp;$C$2&amp;"'!D2"),1),NA()),"")</f>
        <v/>
      </c>
      <c r="F54" s="116" t="str">
        <f aca="true">IFERROR(IF(INDIRECT("'"&amp;$C$2&amp;"'!K5")&lt;&gt;"",INDIRECT("'"&amp;$C$2&amp;"'!K5"),NA()),"")</f>
        <v/>
      </c>
    </row>
    <row r="55" customFormat="false" ht="15" hidden="false" customHeight="true" outlineLevel="0" collapsed="false">
      <c r="B55" s="107" t="str">
        <f aca="true">IFERROR(INDIRECT("'"&amp;$C$2&amp;"'!A6"),"")</f>
        <v/>
      </c>
      <c r="C55" s="108" t="n">
        <f aca="true">IFERROR(INDIRECT("'"&amp;$C$2&amp;"'!B6"),"")</f>
        <v>0</v>
      </c>
      <c r="D55" s="109" t="str">
        <f aca="true">IFERROR(IF(INDIRECT("'"&amp;$C$2&amp;"'!K6")&lt;&gt;"",INDIRECT("'"&amp;$C$2&amp;"'!P6"),NA()),"")</f>
        <v/>
      </c>
      <c r="E55" s="110" t="str">
        <f aca="true">IFERROR(IF(INDIRECT("'"&amp;$C$2&amp;"'!K6")&lt;&gt;"",(INDIRECT("'"&amp;$C$2&amp;"'!P6")-IFERROR(INDIRECT("'"&amp;$C$2&amp;"'!D2"),0))/IFERROR(INDIRECT("'"&amp;$C$2&amp;"'!D2"),1),NA()),"")</f>
        <v/>
      </c>
      <c r="F55" s="111" t="str">
        <f aca="true">IFERROR(IF(INDIRECT("'"&amp;$C$2&amp;"'!K6")&lt;&gt;"",INDIRECT("'"&amp;$C$2&amp;"'!K6"),NA()),"")</f>
        <v/>
      </c>
    </row>
    <row r="56" customFormat="false" ht="15" hidden="false" customHeight="true" outlineLevel="0" collapsed="false">
      <c r="B56" s="112" t="str">
        <f aca="true">IFERROR(INDIRECT("'"&amp;$C$2&amp;"'!A7"),"")</f>
        <v/>
      </c>
      <c r="C56" s="113" t="n">
        <f aca="true">IFERROR(INDIRECT("'"&amp;$C$2&amp;"'!B7"),"")</f>
        <v>0</v>
      </c>
      <c r="D56" s="114" t="str">
        <f aca="true">IFERROR(IF(INDIRECT("'"&amp;$C$2&amp;"'!K7")&lt;&gt;"",INDIRECT("'"&amp;$C$2&amp;"'!P7"),NA()),"")</f>
        <v/>
      </c>
      <c r="E56" s="115" t="str">
        <f aca="true">IFERROR(IF(INDIRECT("'"&amp;$C$2&amp;"'!K7")&lt;&gt;"",(INDIRECT("'"&amp;$C$2&amp;"'!P7")-IFERROR(INDIRECT("'"&amp;$C$2&amp;"'!D2"),0))/IFERROR(INDIRECT("'"&amp;$C$2&amp;"'!D2"),1),NA()),"")</f>
        <v/>
      </c>
      <c r="F56" s="116" t="str">
        <f aca="true">IFERROR(IF(INDIRECT("'"&amp;$C$2&amp;"'!K7")&lt;&gt;"",INDIRECT("'"&amp;$C$2&amp;"'!K7"),NA()),"")</f>
        <v/>
      </c>
    </row>
    <row r="57" customFormat="false" ht="15" hidden="false" customHeight="true" outlineLevel="0" collapsed="false">
      <c r="B57" s="107" t="str">
        <f aca="true">IFERROR(INDIRECT("'"&amp;$C$2&amp;"'!A8"),"")</f>
        <v/>
      </c>
      <c r="C57" s="108" t="n">
        <f aca="true">IFERROR(INDIRECT("'"&amp;$C$2&amp;"'!B8"),"")</f>
        <v>0</v>
      </c>
      <c r="D57" s="109" t="str">
        <f aca="true">IFERROR(IF(INDIRECT("'"&amp;$C$2&amp;"'!K8")&lt;&gt;"",INDIRECT("'"&amp;$C$2&amp;"'!P8"),NA()),"")</f>
        <v/>
      </c>
      <c r="E57" s="110" t="str">
        <f aca="true">IFERROR(IF(INDIRECT("'"&amp;$C$2&amp;"'!K8")&lt;&gt;"",(INDIRECT("'"&amp;$C$2&amp;"'!P8")-IFERROR(INDIRECT("'"&amp;$C$2&amp;"'!D2"),0))/IFERROR(INDIRECT("'"&amp;$C$2&amp;"'!D2"),1),NA()),"")</f>
        <v/>
      </c>
      <c r="F57" s="111" t="str">
        <f aca="true">IFERROR(IF(INDIRECT("'"&amp;$C$2&amp;"'!K8")&lt;&gt;"",INDIRECT("'"&amp;$C$2&amp;"'!K8"),NA()),"")</f>
        <v/>
      </c>
    </row>
    <row r="58" customFormat="false" ht="15" hidden="false" customHeight="true" outlineLevel="0" collapsed="false">
      <c r="B58" s="112" t="str">
        <f aca="true">IFERROR(INDIRECT("'"&amp;$C$2&amp;"'!A9"),"")</f>
        <v/>
      </c>
      <c r="C58" s="113" t="n">
        <f aca="true">IFERROR(INDIRECT("'"&amp;$C$2&amp;"'!B9"),"")</f>
        <v>0</v>
      </c>
      <c r="D58" s="114" t="str">
        <f aca="true">IFERROR(IF(INDIRECT("'"&amp;$C$2&amp;"'!K9")&lt;&gt;"",INDIRECT("'"&amp;$C$2&amp;"'!P9"),NA()),"")</f>
        <v/>
      </c>
      <c r="E58" s="115" t="str">
        <f aca="true">IFERROR(IF(INDIRECT("'"&amp;$C$2&amp;"'!K9")&lt;&gt;"",(INDIRECT("'"&amp;$C$2&amp;"'!P9")-IFERROR(INDIRECT("'"&amp;$C$2&amp;"'!D2"),0))/IFERROR(INDIRECT("'"&amp;$C$2&amp;"'!D2"),1),NA()),"")</f>
        <v/>
      </c>
      <c r="F58" s="116" t="str">
        <f aca="true">IFERROR(IF(INDIRECT("'"&amp;$C$2&amp;"'!K9")&lt;&gt;"",INDIRECT("'"&amp;$C$2&amp;"'!K9"),NA()),"")</f>
        <v/>
      </c>
    </row>
    <row r="59" customFormat="false" ht="15" hidden="false" customHeight="true" outlineLevel="0" collapsed="false">
      <c r="B59" s="107" t="str">
        <f aca="true">IFERROR(INDIRECT("'"&amp;$C$2&amp;"'!A10"),"")</f>
        <v/>
      </c>
      <c r="C59" s="108" t="n">
        <f aca="true">IFERROR(INDIRECT("'"&amp;$C$2&amp;"'!B10"),"")</f>
        <v>0</v>
      </c>
      <c r="D59" s="109" t="str">
        <f aca="true">IFERROR(IF(INDIRECT("'"&amp;$C$2&amp;"'!K10")&lt;&gt;"",INDIRECT("'"&amp;$C$2&amp;"'!P10"),NA()),"")</f>
        <v/>
      </c>
      <c r="E59" s="110" t="str">
        <f aca="true">IFERROR(IF(INDIRECT("'"&amp;$C$2&amp;"'!K10")&lt;&gt;"",(INDIRECT("'"&amp;$C$2&amp;"'!P10")-IFERROR(INDIRECT("'"&amp;$C$2&amp;"'!D2"),0))/IFERROR(INDIRECT("'"&amp;$C$2&amp;"'!D2"),1),NA()),"")</f>
        <v/>
      </c>
      <c r="F59" s="111" t="str">
        <f aca="true">IFERROR(IF(INDIRECT("'"&amp;$C$2&amp;"'!K10")&lt;&gt;"",INDIRECT("'"&amp;$C$2&amp;"'!K10"),NA()),"")</f>
        <v/>
      </c>
    </row>
    <row r="60" customFormat="false" ht="15" hidden="false" customHeight="true" outlineLevel="0" collapsed="false">
      <c r="B60" s="112" t="str">
        <f aca="true">IFERROR(INDIRECT("'"&amp;$C$2&amp;"'!A11"),"")</f>
        <v/>
      </c>
      <c r="C60" s="113" t="n">
        <f aca="true">IFERROR(INDIRECT("'"&amp;$C$2&amp;"'!B11"),"")</f>
        <v>0</v>
      </c>
      <c r="D60" s="114" t="str">
        <f aca="true">IFERROR(IF(INDIRECT("'"&amp;$C$2&amp;"'!K11")&lt;&gt;"",INDIRECT("'"&amp;$C$2&amp;"'!P11"),NA()),"")</f>
        <v/>
      </c>
      <c r="E60" s="115" t="str">
        <f aca="true">IFERROR(IF(INDIRECT("'"&amp;$C$2&amp;"'!K11")&lt;&gt;"",(INDIRECT("'"&amp;$C$2&amp;"'!P11")-IFERROR(INDIRECT("'"&amp;$C$2&amp;"'!D2"),0))/IFERROR(INDIRECT("'"&amp;$C$2&amp;"'!D2"),1),NA()),"")</f>
        <v/>
      </c>
      <c r="F60" s="116" t="str">
        <f aca="true">IFERROR(IF(INDIRECT("'"&amp;$C$2&amp;"'!K11")&lt;&gt;"",INDIRECT("'"&amp;$C$2&amp;"'!K11"),NA()),"")</f>
        <v/>
      </c>
    </row>
    <row r="61" customFormat="false" ht="15" hidden="false" customHeight="true" outlineLevel="0" collapsed="false">
      <c r="B61" s="107" t="str">
        <f aca="true">IFERROR(INDIRECT("'"&amp;$C$2&amp;"'!A12"),"")</f>
        <v/>
      </c>
      <c r="C61" s="108" t="n">
        <f aca="true">IFERROR(INDIRECT("'"&amp;$C$2&amp;"'!B12"),"")</f>
        <v>0</v>
      </c>
      <c r="D61" s="109" t="str">
        <f aca="true">IFERROR(IF(INDIRECT("'"&amp;$C$2&amp;"'!K12")&lt;&gt;"",INDIRECT("'"&amp;$C$2&amp;"'!P12"),NA()),"")</f>
        <v/>
      </c>
      <c r="E61" s="110" t="str">
        <f aca="true">IFERROR(IF(INDIRECT("'"&amp;$C$2&amp;"'!K12")&lt;&gt;"",(INDIRECT("'"&amp;$C$2&amp;"'!P12")-IFERROR(INDIRECT("'"&amp;$C$2&amp;"'!D2"),0))/IFERROR(INDIRECT("'"&amp;$C$2&amp;"'!D2"),1),NA()),"")</f>
        <v/>
      </c>
      <c r="F61" s="111" t="str">
        <f aca="true">IFERROR(IF(INDIRECT("'"&amp;$C$2&amp;"'!K12")&lt;&gt;"",INDIRECT("'"&amp;$C$2&amp;"'!K12"),NA()),"")</f>
        <v/>
      </c>
    </row>
    <row r="62" customFormat="false" ht="15" hidden="false" customHeight="true" outlineLevel="0" collapsed="false">
      <c r="B62" s="112" t="str">
        <f aca="true">IFERROR(INDIRECT("'"&amp;$C$2&amp;"'!A13"),"")</f>
        <v/>
      </c>
      <c r="C62" s="113" t="n">
        <f aca="true">IFERROR(INDIRECT("'"&amp;$C$2&amp;"'!B13"),"")</f>
        <v>0</v>
      </c>
      <c r="D62" s="114" t="str">
        <f aca="true">IFERROR(IF(INDIRECT("'"&amp;$C$2&amp;"'!K13")&lt;&gt;"",INDIRECT("'"&amp;$C$2&amp;"'!P13"),NA()),"")</f>
        <v/>
      </c>
      <c r="E62" s="115" t="str">
        <f aca="true">IFERROR(IF(INDIRECT("'"&amp;$C$2&amp;"'!K13")&lt;&gt;"",(INDIRECT("'"&amp;$C$2&amp;"'!P13")-IFERROR(INDIRECT("'"&amp;$C$2&amp;"'!D2"),0))/IFERROR(INDIRECT("'"&amp;$C$2&amp;"'!D2"),1),NA()),"")</f>
        <v/>
      </c>
      <c r="F62" s="116" t="str">
        <f aca="true">IFERROR(IF(INDIRECT("'"&amp;$C$2&amp;"'!K13")&lt;&gt;"",INDIRECT("'"&amp;$C$2&amp;"'!K13"),NA()),"")</f>
        <v/>
      </c>
    </row>
    <row r="63" customFormat="false" ht="15" hidden="false" customHeight="true" outlineLevel="0" collapsed="false">
      <c r="B63" s="107" t="str">
        <f aca="true">IFERROR(INDIRECT("'"&amp;$C$2&amp;"'!A14"),"")</f>
        <v/>
      </c>
      <c r="C63" s="108" t="n">
        <f aca="true">IFERROR(INDIRECT("'"&amp;$C$2&amp;"'!B14"),"")</f>
        <v>0</v>
      </c>
      <c r="D63" s="109" t="str">
        <f aca="true">IFERROR(IF(INDIRECT("'"&amp;$C$2&amp;"'!K14")&lt;&gt;"",INDIRECT("'"&amp;$C$2&amp;"'!P14"),NA()),"")</f>
        <v/>
      </c>
      <c r="E63" s="110" t="str">
        <f aca="true">IFERROR(IF(INDIRECT("'"&amp;$C$2&amp;"'!K14")&lt;&gt;"",(INDIRECT("'"&amp;$C$2&amp;"'!P14")-IFERROR(INDIRECT("'"&amp;$C$2&amp;"'!D2"),0))/IFERROR(INDIRECT("'"&amp;$C$2&amp;"'!D2"),1),NA()),"")</f>
        <v/>
      </c>
      <c r="F63" s="111" t="str">
        <f aca="true">IFERROR(IF(INDIRECT("'"&amp;$C$2&amp;"'!K14")&lt;&gt;"",INDIRECT("'"&amp;$C$2&amp;"'!K14"),NA()),"")</f>
        <v/>
      </c>
    </row>
    <row r="64" customFormat="false" ht="15" hidden="false" customHeight="true" outlineLevel="0" collapsed="false">
      <c r="B64" s="112" t="str">
        <f aca="true">IFERROR(INDIRECT("'"&amp;$C$2&amp;"'!A15"),"")</f>
        <v/>
      </c>
      <c r="C64" s="113" t="n">
        <f aca="true">IFERROR(INDIRECT("'"&amp;$C$2&amp;"'!B15"),"")</f>
        <v>0</v>
      </c>
      <c r="D64" s="114" t="str">
        <f aca="true">IFERROR(IF(INDIRECT("'"&amp;$C$2&amp;"'!K15")&lt;&gt;"",INDIRECT("'"&amp;$C$2&amp;"'!P15"),NA()),"")</f>
        <v/>
      </c>
      <c r="E64" s="115" t="str">
        <f aca="true">IFERROR(IF(INDIRECT("'"&amp;$C$2&amp;"'!K15")&lt;&gt;"",(INDIRECT("'"&amp;$C$2&amp;"'!P15")-IFERROR(INDIRECT("'"&amp;$C$2&amp;"'!D2"),0))/IFERROR(INDIRECT("'"&amp;$C$2&amp;"'!D2"),1),NA()),"")</f>
        <v/>
      </c>
      <c r="F64" s="116" t="str">
        <f aca="true">IFERROR(IF(INDIRECT("'"&amp;$C$2&amp;"'!K15")&lt;&gt;"",INDIRECT("'"&amp;$C$2&amp;"'!K15"),NA()),"")</f>
        <v/>
      </c>
    </row>
    <row r="65" customFormat="false" ht="15" hidden="false" customHeight="true" outlineLevel="0" collapsed="false">
      <c r="B65" s="107" t="str">
        <f aca="true">IFERROR(INDIRECT("'"&amp;$C$2&amp;"'!A16"),"")</f>
        <v/>
      </c>
      <c r="C65" s="108" t="n">
        <f aca="true">IFERROR(INDIRECT("'"&amp;$C$2&amp;"'!B16"),"")</f>
        <v>0</v>
      </c>
      <c r="D65" s="109" t="str">
        <f aca="true">IFERROR(IF(INDIRECT("'"&amp;$C$2&amp;"'!K16")&lt;&gt;"",INDIRECT("'"&amp;$C$2&amp;"'!P16"),NA()),"")</f>
        <v/>
      </c>
      <c r="E65" s="110" t="str">
        <f aca="true">IFERROR(IF(INDIRECT("'"&amp;$C$2&amp;"'!K16")&lt;&gt;"",(INDIRECT("'"&amp;$C$2&amp;"'!P16")-IFERROR(INDIRECT("'"&amp;$C$2&amp;"'!D2"),0))/IFERROR(INDIRECT("'"&amp;$C$2&amp;"'!D2"),1),NA()),"")</f>
        <v/>
      </c>
      <c r="F65" s="111" t="str">
        <f aca="true">IFERROR(IF(INDIRECT("'"&amp;$C$2&amp;"'!K16")&lt;&gt;"",INDIRECT("'"&amp;$C$2&amp;"'!K16"),NA()),"")</f>
        <v/>
      </c>
    </row>
    <row r="66" customFormat="false" ht="15" hidden="false" customHeight="true" outlineLevel="0" collapsed="false">
      <c r="B66" s="112" t="str">
        <f aca="true">IFERROR(INDIRECT("'"&amp;$C$2&amp;"'!A17"),"")</f>
        <v/>
      </c>
      <c r="C66" s="113" t="n">
        <f aca="true">IFERROR(INDIRECT("'"&amp;$C$2&amp;"'!B17"),"")</f>
        <v>0</v>
      </c>
      <c r="D66" s="114" t="str">
        <f aca="true">IFERROR(IF(INDIRECT("'"&amp;$C$2&amp;"'!K17")&lt;&gt;"",INDIRECT("'"&amp;$C$2&amp;"'!P17"),NA()),"")</f>
        <v/>
      </c>
      <c r="E66" s="115" t="str">
        <f aca="true">IFERROR(IF(INDIRECT("'"&amp;$C$2&amp;"'!K17")&lt;&gt;"",(INDIRECT("'"&amp;$C$2&amp;"'!P17")-IFERROR(INDIRECT("'"&amp;$C$2&amp;"'!D2"),0))/IFERROR(INDIRECT("'"&amp;$C$2&amp;"'!D2"),1),NA()),"")</f>
        <v/>
      </c>
      <c r="F66" s="116" t="str">
        <f aca="true">IFERROR(IF(INDIRECT("'"&amp;$C$2&amp;"'!K17")&lt;&gt;"",INDIRECT("'"&amp;$C$2&amp;"'!K17"),NA()),"")</f>
        <v/>
      </c>
    </row>
    <row r="67" customFormat="false" ht="15" hidden="false" customHeight="true" outlineLevel="0" collapsed="false">
      <c r="B67" s="107" t="str">
        <f aca="true">IFERROR(INDIRECT("'"&amp;$C$2&amp;"'!A18"),"")</f>
        <v/>
      </c>
      <c r="C67" s="108" t="n">
        <f aca="true">IFERROR(INDIRECT("'"&amp;$C$2&amp;"'!B18"),"")</f>
        <v>0</v>
      </c>
      <c r="D67" s="109" t="str">
        <f aca="true">IFERROR(IF(INDIRECT("'"&amp;$C$2&amp;"'!K18")&lt;&gt;"",INDIRECT("'"&amp;$C$2&amp;"'!P18"),NA()),"")</f>
        <v/>
      </c>
      <c r="E67" s="110" t="str">
        <f aca="true">IFERROR(IF(INDIRECT("'"&amp;$C$2&amp;"'!K18")&lt;&gt;"",(INDIRECT("'"&amp;$C$2&amp;"'!P18")-IFERROR(INDIRECT("'"&amp;$C$2&amp;"'!D2"),0))/IFERROR(INDIRECT("'"&amp;$C$2&amp;"'!D2"),1),NA()),"")</f>
        <v/>
      </c>
      <c r="F67" s="111" t="str">
        <f aca="true">IFERROR(IF(INDIRECT("'"&amp;$C$2&amp;"'!K18")&lt;&gt;"",INDIRECT("'"&amp;$C$2&amp;"'!K18"),NA()),"")</f>
        <v/>
      </c>
    </row>
    <row r="68" customFormat="false" ht="15" hidden="false" customHeight="true" outlineLevel="0" collapsed="false">
      <c r="B68" s="112" t="str">
        <f aca="true">IFERROR(INDIRECT("'"&amp;$C$2&amp;"'!A19"),"")</f>
        <v/>
      </c>
      <c r="C68" s="113" t="n">
        <f aca="true">IFERROR(INDIRECT("'"&amp;$C$2&amp;"'!B19"),"")</f>
        <v>0</v>
      </c>
      <c r="D68" s="114" t="str">
        <f aca="true">IFERROR(IF(INDIRECT("'"&amp;$C$2&amp;"'!K19")&lt;&gt;"",INDIRECT("'"&amp;$C$2&amp;"'!P19"),NA()),"")</f>
        <v/>
      </c>
      <c r="E68" s="115" t="str">
        <f aca="true">IFERROR(IF(INDIRECT("'"&amp;$C$2&amp;"'!K19")&lt;&gt;"",(INDIRECT("'"&amp;$C$2&amp;"'!P19")-IFERROR(INDIRECT("'"&amp;$C$2&amp;"'!D2"),0))/IFERROR(INDIRECT("'"&amp;$C$2&amp;"'!D2"),1),NA()),"")</f>
        <v/>
      </c>
      <c r="F68" s="116" t="str">
        <f aca="true">IFERROR(IF(INDIRECT("'"&amp;$C$2&amp;"'!K19")&lt;&gt;"",INDIRECT("'"&amp;$C$2&amp;"'!K19"),NA()),"")</f>
        <v/>
      </c>
    </row>
    <row r="69" customFormat="false" ht="15" hidden="false" customHeight="true" outlineLevel="0" collapsed="false">
      <c r="B69" s="107" t="str">
        <f aca="true">IFERROR(INDIRECT("'"&amp;$C$2&amp;"'!A20"),"")</f>
        <v/>
      </c>
      <c r="C69" s="108" t="n">
        <f aca="true">IFERROR(INDIRECT("'"&amp;$C$2&amp;"'!B20"),"")</f>
        <v>0</v>
      </c>
      <c r="D69" s="109" t="str">
        <f aca="true">IFERROR(IF(INDIRECT("'"&amp;$C$2&amp;"'!K20")&lt;&gt;"",INDIRECT("'"&amp;$C$2&amp;"'!P20"),NA()),"")</f>
        <v/>
      </c>
      <c r="E69" s="110" t="str">
        <f aca="true">IFERROR(IF(INDIRECT("'"&amp;$C$2&amp;"'!K20")&lt;&gt;"",(INDIRECT("'"&amp;$C$2&amp;"'!P20")-IFERROR(INDIRECT("'"&amp;$C$2&amp;"'!D2"),0))/IFERROR(INDIRECT("'"&amp;$C$2&amp;"'!D2"),1),NA()),"")</f>
        <v/>
      </c>
      <c r="F69" s="111" t="str">
        <f aca="true">IFERROR(IF(INDIRECT("'"&amp;$C$2&amp;"'!K20")&lt;&gt;"",INDIRECT("'"&amp;$C$2&amp;"'!K20"),NA()),"")</f>
        <v/>
      </c>
    </row>
    <row r="70" customFormat="false" ht="15" hidden="false" customHeight="true" outlineLevel="0" collapsed="false">
      <c r="B70" s="112" t="str">
        <f aca="true">IFERROR(INDIRECT("'"&amp;$C$2&amp;"'!A21"),"")</f>
        <v/>
      </c>
      <c r="C70" s="113" t="n">
        <f aca="true">IFERROR(INDIRECT("'"&amp;$C$2&amp;"'!B21"),"")</f>
        <v>0</v>
      </c>
      <c r="D70" s="114" t="str">
        <f aca="true">IFERROR(IF(INDIRECT("'"&amp;$C$2&amp;"'!K21")&lt;&gt;"",INDIRECT("'"&amp;$C$2&amp;"'!P21"),NA()),"")</f>
        <v/>
      </c>
      <c r="E70" s="115" t="str">
        <f aca="true">IFERROR(IF(INDIRECT("'"&amp;$C$2&amp;"'!K21")&lt;&gt;"",(INDIRECT("'"&amp;$C$2&amp;"'!P21")-IFERROR(INDIRECT("'"&amp;$C$2&amp;"'!D2"),0))/IFERROR(INDIRECT("'"&amp;$C$2&amp;"'!D2"),1),NA()),"")</f>
        <v/>
      </c>
      <c r="F70" s="116" t="str">
        <f aca="true">IFERROR(IF(INDIRECT("'"&amp;$C$2&amp;"'!K21")&lt;&gt;"",INDIRECT("'"&amp;$C$2&amp;"'!K21"),NA()),"")</f>
        <v/>
      </c>
    </row>
    <row r="71" customFormat="false" ht="15" hidden="false" customHeight="true" outlineLevel="0" collapsed="false">
      <c r="B71" s="107" t="str">
        <f aca="true">IFERROR(INDIRECT("'"&amp;$C$2&amp;"'!A22"),"")</f>
        <v/>
      </c>
      <c r="C71" s="108" t="n">
        <f aca="true">IFERROR(INDIRECT("'"&amp;$C$2&amp;"'!B22"),"")</f>
        <v>0</v>
      </c>
      <c r="D71" s="109" t="str">
        <f aca="true">IFERROR(IF(INDIRECT("'"&amp;$C$2&amp;"'!K22")&lt;&gt;"",INDIRECT("'"&amp;$C$2&amp;"'!P22"),NA()),"")</f>
        <v/>
      </c>
      <c r="E71" s="110" t="str">
        <f aca="true">IFERROR(IF(INDIRECT("'"&amp;$C$2&amp;"'!K22")&lt;&gt;"",(INDIRECT("'"&amp;$C$2&amp;"'!P22")-IFERROR(INDIRECT("'"&amp;$C$2&amp;"'!D2"),0))/IFERROR(INDIRECT("'"&amp;$C$2&amp;"'!D2"),1),NA()),"")</f>
        <v/>
      </c>
      <c r="F71" s="111" t="str">
        <f aca="true">IFERROR(IF(INDIRECT("'"&amp;$C$2&amp;"'!K22")&lt;&gt;"",INDIRECT("'"&amp;$C$2&amp;"'!K22"),NA()),"")</f>
        <v/>
      </c>
    </row>
    <row r="72" customFormat="false" ht="15" hidden="false" customHeight="true" outlineLevel="0" collapsed="false">
      <c r="B72" s="112" t="str">
        <f aca="true">IFERROR(INDIRECT("'"&amp;$C$2&amp;"'!A23"),"")</f>
        <v/>
      </c>
      <c r="C72" s="113" t="n">
        <f aca="true">IFERROR(INDIRECT("'"&amp;$C$2&amp;"'!B23"),"")</f>
        <v>0</v>
      </c>
      <c r="D72" s="114" t="str">
        <f aca="true">IFERROR(IF(INDIRECT("'"&amp;$C$2&amp;"'!K23")&lt;&gt;"",INDIRECT("'"&amp;$C$2&amp;"'!P23"),NA()),"")</f>
        <v/>
      </c>
      <c r="E72" s="115" t="str">
        <f aca="true">IFERROR(IF(INDIRECT("'"&amp;$C$2&amp;"'!K23")&lt;&gt;"",(INDIRECT("'"&amp;$C$2&amp;"'!P23")-IFERROR(INDIRECT("'"&amp;$C$2&amp;"'!D2"),0))/IFERROR(INDIRECT("'"&amp;$C$2&amp;"'!D2"),1),NA()),"")</f>
        <v/>
      </c>
      <c r="F72" s="116" t="str">
        <f aca="true">IFERROR(IF(INDIRECT("'"&amp;$C$2&amp;"'!K23")&lt;&gt;"",INDIRECT("'"&amp;$C$2&amp;"'!K23"),NA()),"")</f>
        <v/>
      </c>
    </row>
    <row r="73" customFormat="false" ht="15" hidden="false" customHeight="true" outlineLevel="0" collapsed="false">
      <c r="B73" s="107" t="str">
        <f aca="true">IFERROR(INDIRECT("'"&amp;$C$2&amp;"'!A24"),"")</f>
        <v/>
      </c>
      <c r="C73" s="108" t="n">
        <f aca="true">IFERROR(INDIRECT("'"&amp;$C$2&amp;"'!B24"),"")</f>
        <v>0</v>
      </c>
      <c r="D73" s="109" t="str">
        <f aca="true">IFERROR(IF(INDIRECT("'"&amp;$C$2&amp;"'!K24")&lt;&gt;"",INDIRECT("'"&amp;$C$2&amp;"'!P24"),NA()),"")</f>
        <v/>
      </c>
      <c r="E73" s="110" t="str">
        <f aca="true">IFERROR(IF(INDIRECT("'"&amp;$C$2&amp;"'!K24")&lt;&gt;"",(INDIRECT("'"&amp;$C$2&amp;"'!P24")-IFERROR(INDIRECT("'"&amp;$C$2&amp;"'!D2"),0))/IFERROR(INDIRECT("'"&amp;$C$2&amp;"'!D2"),1),NA()),"")</f>
        <v/>
      </c>
      <c r="F73" s="111" t="str">
        <f aca="true">IFERROR(IF(INDIRECT("'"&amp;$C$2&amp;"'!K24")&lt;&gt;"",INDIRECT("'"&amp;$C$2&amp;"'!K24"),NA()),"")</f>
        <v/>
      </c>
    </row>
    <row r="74" customFormat="false" ht="15" hidden="false" customHeight="true" outlineLevel="0" collapsed="false">
      <c r="B74" s="112" t="str">
        <f aca="true">IFERROR(INDIRECT("'"&amp;$C$2&amp;"'!A25"),"")</f>
        <v/>
      </c>
      <c r="C74" s="113" t="n">
        <f aca="true">IFERROR(INDIRECT("'"&amp;$C$2&amp;"'!B25"),"")</f>
        <v>0</v>
      </c>
      <c r="D74" s="114" t="str">
        <f aca="true">IFERROR(IF(INDIRECT("'"&amp;$C$2&amp;"'!K25")&lt;&gt;"",INDIRECT("'"&amp;$C$2&amp;"'!P25"),NA()),"")</f>
        <v/>
      </c>
      <c r="E74" s="115" t="str">
        <f aca="true">IFERROR(IF(INDIRECT("'"&amp;$C$2&amp;"'!K25")&lt;&gt;"",(INDIRECT("'"&amp;$C$2&amp;"'!P25")-IFERROR(INDIRECT("'"&amp;$C$2&amp;"'!D2"),0))/IFERROR(INDIRECT("'"&amp;$C$2&amp;"'!D2"),1),NA()),"")</f>
        <v/>
      </c>
      <c r="F74" s="116" t="str">
        <f aca="true">IFERROR(IF(INDIRECT("'"&amp;$C$2&amp;"'!K25")&lt;&gt;"",INDIRECT("'"&amp;$C$2&amp;"'!K25"),NA()),"")</f>
        <v/>
      </c>
    </row>
    <row r="75" customFormat="false" ht="15" hidden="false" customHeight="true" outlineLevel="0" collapsed="false">
      <c r="B75" s="107" t="str">
        <f aca="true">IFERROR(INDIRECT("'"&amp;$C$2&amp;"'!A26"),"")</f>
        <v/>
      </c>
      <c r="C75" s="108" t="n">
        <f aca="true">IFERROR(INDIRECT("'"&amp;$C$2&amp;"'!B26"),"")</f>
        <v>0</v>
      </c>
      <c r="D75" s="109" t="str">
        <f aca="true">IFERROR(IF(INDIRECT("'"&amp;$C$2&amp;"'!K26")&lt;&gt;"",INDIRECT("'"&amp;$C$2&amp;"'!P26"),NA()),"")</f>
        <v/>
      </c>
      <c r="E75" s="110" t="str">
        <f aca="true">IFERROR(IF(INDIRECT("'"&amp;$C$2&amp;"'!K26")&lt;&gt;"",(INDIRECT("'"&amp;$C$2&amp;"'!P26")-IFERROR(INDIRECT("'"&amp;$C$2&amp;"'!D2"),0))/IFERROR(INDIRECT("'"&amp;$C$2&amp;"'!D2"),1),NA()),"")</f>
        <v/>
      </c>
      <c r="F75" s="111" t="str">
        <f aca="true">IFERROR(IF(INDIRECT("'"&amp;$C$2&amp;"'!K26")&lt;&gt;"",INDIRECT("'"&amp;$C$2&amp;"'!K26"),NA()),"")</f>
        <v/>
      </c>
    </row>
    <row r="76" customFormat="false" ht="15" hidden="false" customHeight="true" outlineLevel="0" collapsed="false">
      <c r="B76" s="112" t="str">
        <f aca="true">IFERROR(INDIRECT("'"&amp;$C$2&amp;"'!A27"),"")</f>
        <v/>
      </c>
      <c r="C76" s="113" t="n">
        <f aca="true">IFERROR(INDIRECT("'"&amp;$C$2&amp;"'!B27"),"")</f>
        <v>0</v>
      </c>
      <c r="D76" s="114" t="str">
        <f aca="true">IFERROR(IF(INDIRECT("'"&amp;$C$2&amp;"'!K27")&lt;&gt;"",INDIRECT("'"&amp;$C$2&amp;"'!P27"),NA()),"")</f>
        <v/>
      </c>
      <c r="E76" s="115" t="str">
        <f aca="true">IFERROR(IF(INDIRECT("'"&amp;$C$2&amp;"'!K27")&lt;&gt;"",(INDIRECT("'"&amp;$C$2&amp;"'!P27")-IFERROR(INDIRECT("'"&amp;$C$2&amp;"'!D2"),0))/IFERROR(INDIRECT("'"&amp;$C$2&amp;"'!D2"),1),NA()),"")</f>
        <v/>
      </c>
      <c r="F76" s="116" t="str">
        <f aca="true">IFERROR(IF(INDIRECT("'"&amp;$C$2&amp;"'!K27")&lt;&gt;"",INDIRECT("'"&amp;$C$2&amp;"'!K27"),NA()),"")</f>
        <v/>
      </c>
    </row>
    <row r="77" customFormat="false" ht="15" hidden="false" customHeight="true" outlineLevel="0" collapsed="false">
      <c r="B77" s="107" t="str">
        <f aca="true">IFERROR(INDIRECT("'"&amp;$C$2&amp;"'!A28"),"")</f>
        <v/>
      </c>
      <c r="C77" s="108" t="n">
        <f aca="true">IFERROR(INDIRECT("'"&amp;$C$2&amp;"'!B28"),"")</f>
        <v>0</v>
      </c>
      <c r="D77" s="109" t="str">
        <f aca="true">IFERROR(IF(INDIRECT("'"&amp;$C$2&amp;"'!K28")&lt;&gt;"",INDIRECT("'"&amp;$C$2&amp;"'!P28"),NA()),"")</f>
        <v/>
      </c>
      <c r="E77" s="110" t="str">
        <f aca="true">IFERROR(IF(INDIRECT("'"&amp;$C$2&amp;"'!K28")&lt;&gt;"",(INDIRECT("'"&amp;$C$2&amp;"'!P28")-IFERROR(INDIRECT("'"&amp;$C$2&amp;"'!D2"),0))/IFERROR(INDIRECT("'"&amp;$C$2&amp;"'!D2"),1),NA()),"")</f>
        <v/>
      </c>
      <c r="F77" s="111" t="str">
        <f aca="true">IFERROR(IF(INDIRECT("'"&amp;$C$2&amp;"'!K28")&lt;&gt;"",INDIRECT("'"&amp;$C$2&amp;"'!K28"),NA()),"")</f>
        <v/>
      </c>
    </row>
    <row r="78" customFormat="false" ht="15" hidden="false" customHeight="true" outlineLevel="0" collapsed="false">
      <c r="B78" s="112" t="str">
        <f aca="true">IFERROR(INDIRECT("'"&amp;$C$2&amp;"'!A29"),"")</f>
        <v/>
      </c>
      <c r="C78" s="113" t="n">
        <f aca="true">IFERROR(INDIRECT("'"&amp;$C$2&amp;"'!B29"),"")</f>
        <v>0</v>
      </c>
      <c r="D78" s="114" t="str">
        <f aca="true">IFERROR(IF(INDIRECT("'"&amp;$C$2&amp;"'!K29")&lt;&gt;"",INDIRECT("'"&amp;$C$2&amp;"'!P29"),NA()),"")</f>
        <v/>
      </c>
      <c r="E78" s="115" t="str">
        <f aca="true">IFERROR(IF(INDIRECT("'"&amp;$C$2&amp;"'!K29")&lt;&gt;"",(INDIRECT("'"&amp;$C$2&amp;"'!P29")-IFERROR(INDIRECT("'"&amp;$C$2&amp;"'!D2"),0))/IFERROR(INDIRECT("'"&amp;$C$2&amp;"'!D2"),1),NA()),"")</f>
        <v/>
      </c>
      <c r="F78" s="116" t="str">
        <f aca="true">IFERROR(IF(INDIRECT("'"&amp;$C$2&amp;"'!K29")&lt;&gt;"",INDIRECT("'"&amp;$C$2&amp;"'!K29"),NA()),"")</f>
        <v/>
      </c>
    </row>
    <row r="79" customFormat="false" ht="15" hidden="false" customHeight="true" outlineLevel="0" collapsed="false">
      <c r="B79" s="107" t="str">
        <f aca="true">IFERROR(INDIRECT("'"&amp;$C$2&amp;"'!A30"),"")</f>
        <v/>
      </c>
      <c r="C79" s="108" t="n">
        <f aca="true">IFERROR(INDIRECT("'"&amp;$C$2&amp;"'!B30"),"")</f>
        <v>0</v>
      </c>
      <c r="D79" s="109" t="str">
        <f aca="true">IFERROR(IF(INDIRECT("'"&amp;$C$2&amp;"'!K30")&lt;&gt;"",INDIRECT("'"&amp;$C$2&amp;"'!P30"),NA()),"")</f>
        <v/>
      </c>
      <c r="E79" s="110" t="str">
        <f aca="true">IFERROR(IF(INDIRECT("'"&amp;$C$2&amp;"'!K30")&lt;&gt;"",(INDIRECT("'"&amp;$C$2&amp;"'!P30")-IFERROR(INDIRECT("'"&amp;$C$2&amp;"'!D2"),0))/IFERROR(INDIRECT("'"&amp;$C$2&amp;"'!D2"),1),NA()),"")</f>
        <v/>
      </c>
      <c r="F79" s="111" t="str">
        <f aca="true">IFERROR(IF(INDIRECT("'"&amp;$C$2&amp;"'!K30")&lt;&gt;"",INDIRECT("'"&amp;$C$2&amp;"'!K30"),NA()),"")</f>
        <v/>
      </c>
    </row>
    <row r="80" customFormat="false" ht="15" hidden="false" customHeight="true" outlineLevel="0" collapsed="false">
      <c r="B80" s="112" t="str">
        <f aca="true">IFERROR(INDIRECT("'"&amp;$C$2&amp;"'!A31"),"")</f>
        <v/>
      </c>
      <c r="C80" s="113" t="n">
        <f aca="true">IFERROR(INDIRECT("'"&amp;$C$2&amp;"'!B31"),"")</f>
        <v>0</v>
      </c>
      <c r="D80" s="114" t="str">
        <f aca="true">IFERROR(IF(INDIRECT("'"&amp;$C$2&amp;"'!K31")&lt;&gt;"",INDIRECT("'"&amp;$C$2&amp;"'!P31"),NA()),"")</f>
        <v/>
      </c>
      <c r="E80" s="115" t="str">
        <f aca="true">IFERROR(IF(INDIRECT("'"&amp;$C$2&amp;"'!K31")&lt;&gt;"",(INDIRECT("'"&amp;$C$2&amp;"'!P31")-IFERROR(INDIRECT("'"&amp;$C$2&amp;"'!D2"),0))/IFERROR(INDIRECT("'"&amp;$C$2&amp;"'!D2"),1),NA()),"")</f>
        <v/>
      </c>
      <c r="F80" s="116" t="str">
        <f aca="true">IFERROR(IF(INDIRECT("'"&amp;$C$2&amp;"'!K31")&lt;&gt;"",INDIRECT("'"&amp;$C$2&amp;"'!K31"),NA()),"")</f>
        <v/>
      </c>
    </row>
    <row r="81" customFormat="false" ht="15" hidden="false" customHeight="true" outlineLevel="0" collapsed="false">
      <c r="B81" s="107" t="str">
        <f aca="true">IFERROR(INDIRECT("'"&amp;$C$2&amp;"'!A32"),"")</f>
        <v/>
      </c>
      <c r="C81" s="108" t="n">
        <f aca="true">IFERROR(INDIRECT("'"&amp;$C$2&amp;"'!B32"),"")</f>
        <v>0</v>
      </c>
      <c r="D81" s="109" t="str">
        <f aca="true">IFERROR(IF(INDIRECT("'"&amp;$C$2&amp;"'!K32")&lt;&gt;"",INDIRECT("'"&amp;$C$2&amp;"'!P32"),NA()),"")</f>
        <v/>
      </c>
      <c r="E81" s="110" t="str">
        <f aca="true">IFERROR(IF(INDIRECT("'"&amp;$C$2&amp;"'!K32")&lt;&gt;"",(INDIRECT("'"&amp;$C$2&amp;"'!P32")-IFERROR(INDIRECT("'"&amp;$C$2&amp;"'!D2"),0))/IFERROR(INDIRECT("'"&amp;$C$2&amp;"'!D2"),1),NA()),"")</f>
        <v/>
      </c>
      <c r="F81" s="111" t="str">
        <f aca="true">IFERROR(IF(INDIRECT("'"&amp;$C$2&amp;"'!K32")&lt;&gt;"",INDIRECT("'"&amp;$C$2&amp;"'!K32"),NA()),"")</f>
        <v/>
      </c>
    </row>
    <row r="82" customFormat="false" ht="15" hidden="false" customHeight="true" outlineLevel="0" collapsed="false">
      <c r="B82" s="112" t="str">
        <f aca="true">IFERROR(INDIRECT("'"&amp;$C$2&amp;"'!A33"),"")</f>
        <v/>
      </c>
      <c r="C82" s="113" t="n">
        <f aca="true">IFERROR(INDIRECT("'"&amp;$C$2&amp;"'!B33"),"")</f>
        <v>0</v>
      </c>
      <c r="D82" s="114" t="str">
        <f aca="true">IFERROR(IF(INDIRECT("'"&amp;$C$2&amp;"'!K33")&lt;&gt;"",INDIRECT("'"&amp;$C$2&amp;"'!P33"),NA()),"")</f>
        <v/>
      </c>
      <c r="E82" s="115" t="str">
        <f aca="true">IFERROR(IF(INDIRECT("'"&amp;$C$2&amp;"'!K33")&lt;&gt;"",(INDIRECT("'"&amp;$C$2&amp;"'!P33")-IFERROR(INDIRECT("'"&amp;$C$2&amp;"'!D2"),0))/IFERROR(INDIRECT("'"&amp;$C$2&amp;"'!D2"),1),NA()),"")</f>
        <v/>
      </c>
      <c r="F82" s="116" t="str">
        <f aca="true">IFERROR(IF(INDIRECT("'"&amp;$C$2&amp;"'!K33")&lt;&gt;"",INDIRECT("'"&amp;$C$2&amp;"'!K33"),NA()),"")</f>
        <v/>
      </c>
    </row>
    <row r="83" customFormat="false" ht="15" hidden="false" customHeight="true" outlineLevel="0" collapsed="false">
      <c r="B83" s="107" t="str">
        <f aca="true">IFERROR(INDIRECT("'"&amp;$C$2&amp;"'!A34"),"")</f>
        <v/>
      </c>
      <c r="C83" s="108" t="n">
        <f aca="true">IFERROR(INDIRECT("'"&amp;$C$2&amp;"'!B34"),"")</f>
        <v>0</v>
      </c>
      <c r="D83" s="109" t="str">
        <f aca="true">IFERROR(IF(INDIRECT("'"&amp;$C$2&amp;"'!K34")&lt;&gt;"",INDIRECT("'"&amp;$C$2&amp;"'!P34"),NA()),"")</f>
        <v/>
      </c>
      <c r="E83" s="110" t="str">
        <f aca="true">IFERROR(IF(INDIRECT("'"&amp;$C$2&amp;"'!K34")&lt;&gt;"",(INDIRECT("'"&amp;$C$2&amp;"'!P34")-IFERROR(INDIRECT("'"&amp;$C$2&amp;"'!D2"),0))/IFERROR(INDIRECT("'"&amp;$C$2&amp;"'!D2"),1),NA()),"")</f>
        <v/>
      </c>
      <c r="F83" s="111" t="str">
        <f aca="true">IFERROR(IF(INDIRECT("'"&amp;$C$2&amp;"'!K34")&lt;&gt;"",INDIRECT("'"&amp;$C$2&amp;"'!K34"),NA()),"")</f>
        <v/>
      </c>
    </row>
    <row r="84" customFormat="false" ht="15" hidden="false" customHeight="true" outlineLevel="0" collapsed="false">
      <c r="B84" s="112" t="str">
        <f aca="true">IFERROR(INDIRECT("'"&amp;$C$2&amp;"'!A35"),"")</f>
        <v/>
      </c>
      <c r="C84" s="113" t="n">
        <f aca="true">IFERROR(INDIRECT("'"&amp;$C$2&amp;"'!B35"),"")</f>
        <v>0</v>
      </c>
      <c r="D84" s="114" t="str">
        <f aca="true">IFERROR(IF(INDIRECT("'"&amp;$C$2&amp;"'!K35")&lt;&gt;"",INDIRECT("'"&amp;$C$2&amp;"'!P35"),NA()),"")</f>
        <v/>
      </c>
      <c r="E84" s="115" t="str">
        <f aca="true">IFERROR(IF(INDIRECT("'"&amp;$C$2&amp;"'!K35")&lt;&gt;"",(INDIRECT("'"&amp;$C$2&amp;"'!P35")-IFERROR(INDIRECT("'"&amp;$C$2&amp;"'!D2"),0))/IFERROR(INDIRECT("'"&amp;$C$2&amp;"'!D2"),1),NA()),"")</f>
        <v/>
      </c>
      <c r="F84" s="116" t="str">
        <f aca="true">IFERROR(IF(INDIRECT("'"&amp;$C$2&amp;"'!K35")&lt;&gt;"",INDIRECT("'"&amp;$C$2&amp;"'!K35"),NA()),"")</f>
        <v/>
      </c>
    </row>
    <row r="85" customFormat="false" ht="15" hidden="false" customHeight="true" outlineLevel="0" collapsed="false">
      <c r="B85" s="107" t="str">
        <f aca="true">IFERROR(INDIRECT("'"&amp;$C$2&amp;"'!A36"),"")</f>
        <v/>
      </c>
      <c r="C85" s="108" t="n">
        <f aca="true">IFERROR(INDIRECT("'"&amp;$C$2&amp;"'!B36"),"")</f>
        <v>0</v>
      </c>
      <c r="D85" s="109" t="str">
        <f aca="true">IFERROR(IF(INDIRECT("'"&amp;$C$2&amp;"'!K36")&lt;&gt;"",INDIRECT("'"&amp;$C$2&amp;"'!P36"),NA()),"")</f>
        <v/>
      </c>
      <c r="E85" s="110" t="str">
        <f aca="true">IFERROR(IF(INDIRECT("'"&amp;$C$2&amp;"'!K36")&lt;&gt;"",(INDIRECT("'"&amp;$C$2&amp;"'!P36")-IFERROR(INDIRECT("'"&amp;$C$2&amp;"'!D2"),0))/IFERROR(INDIRECT("'"&amp;$C$2&amp;"'!D2"),1),NA()),"")</f>
        <v/>
      </c>
      <c r="F85" s="111" t="str">
        <f aca="true">IFERROR(IF(INDIRECT("'"&amp;$C$2&amp;"'!K36")&lt;&gt;"",INDIRECT("'"&amp;$C$2&amp;"'!K36"),NA()),"")</f>
        <v/>
      </c>
    </row>
    <row r="86" customFormat="false" ht="15" hidden="false" customHeight="true" outlineLevel="0" collapsed="false">
      <c r="B86" s="112" t="str">
        <f aca="true">IFERROR(INDIRECT("'"&amp;$C$2&amp;"'!A37"),"")</f>
        <v/>
      </c>
      <c r="C86" s="113" t="n">
        <f aca="true">IFERROR(INDIRECT("'"&amp;$C$2&amp;"'!B37"),"")</f>
        <v>0</v>
      </c>
      <c r="D86" s="114" t="str">
        <f aca="true">IFERROR(IF(INDIRECT("'"&amp;$C$2&amp;"'!K37")&lt;&gt;"",INDIRECT("'"&amp;$C$2&amp;"'!P37"),NA()),"")</f>
        <v/>
      </c>
      <c r="E86" s="115" t="str">
        <f aca="true">IFERROR(IF(INDIRECT("'"&amp;$C$2&amp;"'!K37")&lt;&gt;"",(INDIRECT("'"&amp;$C$2&amp;"'!P37")-IFERROR(INDIRECT("'"&amp;$C$2&amp;"'!D2"),0))/IFERROR(INDIRECT("'"&amp;$C$2&amp;"'!D2"),1),NA()),"")</f>
        <v/>
      </c>
      <c r="F86" s="116" t="str">
        <f aca="true">IFERROR(IF(INDIRECT("'"&amp;$C$2&amp;"'!K37")&lt;&gt;"",INDIRECT("'"&amp;$C$2&amp;"'!K37"),NA()),"")</f>
        <v/>
      </c>
    </row>
    <row r="87" customFormat="false" ht="15" hidden="false" customHeight="true" outlineLevel="0" collapsed="false">
      <c r="B87" s="107" t="str">
        <f aca="true">IFERROR(INDIRECT("'"&amp;$C$2&amp;"'!A38"),"")</f>
        <v/>
      </c>
      <c r="C87" s="108" t="n">
        <f aca="true">IFERROR(INDIRECT("'"&amp;$C$2&amp;"'!B38"),"")</f>
        <v>0</v>
      </c>
      <c r="D87" s="109" t="str">
        <f aca="true">IFERROR(IF(INDIRECT("'"&amp;$C$2&amp;"'!K38")&lt;&gt;"",INDIRECT("'"&amp;$C$2&amp;"'!P38"),NA()),"")</f>
        <v/>
      </c>
      <c r="E87" s="110" t="str">
        <f aca="true">IFERROR(IF(INDIRECT("'"&amp;$C$2&amp;"'!K38")&lt;&gt;"",(INDIRECT("'"&amp;$C$2&amp;"'!P38")-IFERROR(INDIRECT("'"&amp;$C$2&amp;"'!D2"),0))/IFERROR(INDIRECT("'"&amp;$C$2&amp;"'!D2"),1),NA()),"")</f>
        <v/>
      </c>
      <c r="F87" s="111" t="str">
        <f aca="true">IFERROR(IF(INDIRECT("'"&amp;$C$2&amp;"'!K38")&lt;&gt;"",INDIRECT("'"&amp;$C$2&amp;"'!K38"),NA()),"")</f>
        <v/>
      </c>
    </row>
    <row r="88" customFormat="false" ht="15" hidden="false" customHeight="true" outlineLevel="0" collapsed="false">
      <c r="B88" s="112" t="str">
        <f aca="true">IFERROR(INDIRECT("'"&amp;$C$2&amp;"'!A39"),"")</f>
        <v/>
      </c>
      <c r="C88" s="113" t="n">
        <f aca="true">IFERROR(INDIRECT("'"&amp;$C$2&amp;"'!B39"),"")</f>
        <v>0</v>
      </c>
      <c r="D88" s="114" t="str">
        <f aca="true">IFERROR(IF(INDIRECT("'"&amp;$C$2&amp;"'!K39")&lt;&gt;"",INDIRECT("'"&amp;$C$2&amp;"'!P39"),NA()),"")</f>
        <v/>
      </c>
      <c r="E88" s="115" t="str">
        <f aca="true">IFERROR(IF(INDIRECT("'"&amp;$C$2&amp;"'!K39")&lt;&gt;"",(INDIRECT("'"&amp;$C$2&amp;"'!P39")-IFERROR(INDIRECT("'"&amp;$C$2&amp;"'!D2"),0))/IFERROR(INDIRECT("'"&amp;$C$2&amp;"'!D2"),1),NA()),"")</f>
        <v/>
      </c>
      <c r="F88" s="116" t="str">
        <f aca="true">IFERROR(IF(INDIRECT("'"&amp;$C$2&amp;"'!K39")&lt;&gt;"",INDIRECT("'"&amp;$C$2&amp;"'!K39"),NA()),"")</f>
        <v/>
      </c>
    </row>
    <row r="89" customFormat="false" ht="15" hidden="false" customHeight="true" outlineLevel="0" collapsed="false">
      <c r="B89" s="107" t="str">
        <f aca="true">IFERROR(INDIRECT("'"&amp;$C$2&amp;"'!A40"),"")</f>
        <v/>
      </c>
      <c r="C89" s="108" t="n">
        <f aca="true">IFERROR(INDIRECT("'"&amp;$C$2&amp;"'!B40"),"")</f>
        <v>0</v>
      </c>
      <c r="D89" s="109" t="str">
        <f aca="true">IFERROR(IF(INDIRECT("'"&amp;$C$2&amp;"'!K40")&lt;&gt;"",INDIRECT("'"&amp;$C$2&amp;"'!P40"),NA()),"")</f>
        <v/>
      </c>
      <c r="E89" s="110" t="str">
        <f aca="true">IFERROR(IF(INDIRECT("'"&amp;$C$2&amp;"'!K40")&lt;&gt;"",(INDIRECT("'"&amp;$C$2&amp;"'!P40")-IFERROR(INDIRECT("'"&amp;$C$2&amp;"'!D2"),0))/IFERROR(INDIRECT("'"&amp;$C$2&amp;"'!D2"),1),NA()),"")</f>
        <v/>
      </c>
      <c r="F89" s="111" t="str">
        <f aca="true">IFERROR(IF(INDIRECT("'"&amp;$C$2&amp;"'!K40")&lt;&gt;"",INDIRECT("'"&amp;$C$2&amp;"'!K40"),NA()),"")</f>
        <v/>
      </c>
    </row>
    <row r="90" customFormat="false" ht="15" hidden="false" customHeight="true" outlineLevel="0" collapsed="false">
      <c r="B90" s="112" t="str">
        <f aca="true">IFERROR(INDIRECT("'"&amp;$C$2&amp;"'!A41"),"")</f>
        <v/>
      </c>
      <c r="C90" s="113" t="n">
        <f aca="true">IFERROR(INDIRECT("'"&amp;$C$2&amp;"'!B41"),"")</f>
        <v>0</v>
      </c>
      <c r="D90" s="114" t="str">
        <f aca="true">IFERROR(IF(INDIRECT("'"&amp;$C$2&amp;"'!K41")&lt;&gt;"",INDIRECT("'"&amp;$C$2&amp;"'!P41"),NA()),"")</f>
        <v/>
      </c>
      <c r="E90" s="115" t="str">
        <f aca="true">IFERROR(IF(INDIRECT("'"&amp;$C$2&amp;"'!K41")&lt;&gt;"",(INDIRECT("'"&amp;$C$2&amp;"'!P41")-IFERROR(INDIRECT("'"&amp;$C$2&amp;"'!D2"),0))/IFERROR(INDIRECT("'"&amp;$C$2&amp;"'!D2"),1),NA()),"")</f>
        <v/>
      </c>
      <c r="F90" s="116" t="str">
        <f aca="true">IFERROR(IF(INDIRECT("'"&amp;$C$2&amp;"'!K41")&lt;&gt;"",INDIRECT("'"&amp;$C$2&amp;"'!K41"),NA()),"")</f>
        <v/>
      </c>
    </row>
    <row r="91" customFormat="false" ht="15" hidden="false" customHeight="true" outlineLevel="0" collapsed="false">
      <c r="B91" s="107" t="str">
        <f aca="true">IFERROR(INDIRECT("'"&amp;$C$2&amp;"'!A42"),"")</f>
        <v/>
      </c>
      <c r="C91" s="108" t="n">
        <f aca="true">IFERROR(INDIRECT("'"&amp;$C$2&amp;"'!B42"),"")</f>
        <v>0</v>
      </c>
      <c r="D91" s="109" t="str">
        <f aca="true">IFERROR(IF(INDIRECT("'"&amp;$C$2&amp;"'!K42")&lt;&gt;"",INDIRECT("'"&amp;$C$2&amp;"'!P42"),NA()),"")</f>
        <v/>
      </c>
      <c r="E91" s="110" t="str">
        <f aca="true">IFERROR(IF(INDIRECT("'"&amp;$C$2&amp;"'!K42")&lt;&gt;"",(INDIRECT("'"&amp;$C$2&amp;"'!P42")-IFERROR(INDIRECT("'"&amp;$C$2&amp;"'!D2"),0))/IFERROR(INDIRECT("'"&amp;$C$2&amp;"'!D2"),1),NA()),"")</f>
        <v/>
      </c>
      <c r="F91" s="111" t="str">
        <f aca="true">IFERROR(IF(INDIRECT("'"&amp;$C$2&amp;"'!K42")&lt;&gt;"",INDIRECT("'"&amp;$C$2&amp;"'!K42"),NA()),"")</f>
        <v/>
      </c>
    </row>
    <row r="92" customFormat="false" ht="15" hidden="false" customHeight="true" outlineLevel="0" collapsed="false">
      <c r="B92" s="112" t="str">
        <f aca="true">IFERROR(INDIRECT("'"&amp;$C$2&amp;"'!A43"),"")</f>
        <v/>
      </c>
      <c r="C92" s="113" t="n">
        <f aca="true">IFERROR(INDIRECT("'"&amp;$C$2&amp;"'!B43"),"")</f>
        <v>0</v>
      </c>
      <c r="D92" s="114" t="str">
        <f aca="true">IFERROR(IF(INDIRECT("'"&amp;$C$2&amp;"'!K43")&lt;&gt;"",INDIRECT("'"&amp;$C$2&amp;"'!P43"),NA()),"")</f>
        <v/>
      </c>
      <c r="E92" s="115" t="str">
        <f aca="true">IFERROR(IF(INDIRECT("'"&amp;$C$2&amp;"'!K43")&lt;&gt;"",(INDIRECT("'"&amp;$C$2&amp;"'!P43")-IFERROR(INDIRECT("'"&amp;$C$2&amp;"'!D2"),0))/IFERROR(INDIRECT("'"&amp;$C$2&amp;"'!D2"),1),NA()),"")</f>
        <v/>
      </c>
      <c r="F92" s="116" t="str">
        <f aca="true">IFERROR(IF(INDIRECT("'"&amp;$C$2&amp;"'!K43")&lt;&gt;"",INDIRECT("'"&amp;$C$2&amp;"'!K43"),NA()),"")</f>
        <v/>
      </c>
    </row>
    <row r="93" customFormat="false" ht="15" hidden="false" customHeight="true" outlineLevel="0" collapsed="false">
      <c r="B93" s="107" t="str">
        <f aca="true">IFERROR(INDIRECT("'"&amp;$C$2&amp;"'!A44"),"")</f>
        <v/>
      </c>
      <c r="C93" s="108" t="n">
        <f aca="true">IFERROR(INDIRECT("'"&amp;$C$2&amp;"'!B44"),"")</f>
        <v>0</v>
      </c>
      <c r="D93" s="109" t="str">
        <f aca="true">IFERROR(IF(INDIRECT("'"&amp;$C$2&amp;"'!K44")&lt;&gt;"",INDIRECT("'"&amp;$C$2&amp;"'!P44"),NA()),"")</f>
        <v/>
      </c>
      <c r="E93" s="110" t="str">
        <f aca="true">IFERROR(IF(INDIRECT("'"&amp;$C$2&amp;"'!K44")&lt;&gt;"",(INDIRECT("'"&amp;$C$2&amp;"'!P44")-IFERROR(INDIRECT("'"&amp;$C$2&amp;"'!D2"),0))/IFERROR(INDIRECT("'"&amp;$C$2&amp;"'!D2"),1),NA()),"")</f>
        <v/>
      </c>
      <c r="F93" s="111" t="str">
        <f aca="true">IFERROR(IF(INDIRECT("'"&amp;$C$2&amp;"'!K44")&lt;&gt;"",INDIRECT("'"&amp;$C$2&amp;"'!K44"),NA()),"")</f>
        <v/>
      </c>
    </row>
    <row r="94" customFormat="false" ht="15" hidden="false" customHeight="true" outlineLevel="0" collapsed="false">
      <c r="B94" s="112" t="str">
        <f aca="true">IFERROR(INDIRECT("'"&amp;$C$2&amp;"'!A45"),"")</f>
        <v/>
      </c>
      <c r="C94" s="113" t="n">
        <f aca="true">IFERROR(INDIRECT("'"&amp;$C$2&amp;"'!B45"),"")</f>
        <v>0</v>
      </c>
      <c r="D94" s="114" t="str">
        <f aca="true">IFERROR(IF(INDIRECT("'"&amp;$C$2&amp;"'!K45")&lt;&gt;"",INDIRECT("'"&amp;$C$2&amp;"'!P45"),NA()),"")</f>
        <v/>
      </c>
      <c r="E94" s="115" t="str">
        <f aca="true">IFERROR(IF(INDIRECT("'"&amp;$C$2&amp;"'!K45")&lt;&gt;"",(INDIRECT("'"&amp;$C$2&amp;"'!P45")-IFERROR(INDIRECT("'"&amp;$C$2&amp;"'!D2"),0))/IFERROR(INDIRECT("'"&amp;$C$2&amp;"'!D2"),1),NA()),"")</f>
        <v/>
      </c>
      <c r="F94" s="116" t="str">
        <f aca="true">IFERROR(IF(INDIRECT("'"&amp;$C$2&amp;"'!K45")&lt;&gt;"",INDIRECT("'"&amp;$C$2&amp;"'!K45"),NA()),"")</f>
        <v/>
      </c>
    </row>
    <row r="95" customFormat="false" ht="15" hidden="false" customHeight="true" outlineLevel="0" collapsed="false">
      <c r="B95" s="107" t="str">
        <f aca="true">IFERROR(INDIRECT("'"&amp;$C$2&amp;"'!A46"),"")</f>
        <v/>
      </c>
      <c r="C95" s="108" t="n">
        <f aca="true">IFERROR(INDIRECT("'"&amp;$C$2&amp;"'!B46"),"")</f>
        <v>0</v>
      </c>
      <c r="D95" s="109" t="str">
        <f aca="true">IFERROR(IF(INDIRECT("'"&amp;$C$2&amp;"'!K46")&lt;&gt;"",INDIRECT("'"&amp;$C$2&amp;"'!P46"),NA()),"")</f>
        <v/>
      </c>
      <c r="E95" s="110" t="str">
        <f aca="true">IFERROR(IF(INDIRECT("'"&amp;$C$2&amp;"'!K46")&lt;&gt;"",(INDIRECT("'"&amp;$C$2&amp;"'!P46")-IFERROR(INDIRECT("'"&amp;$C$2&amp;"'!D2"),0))/IFERROR(INDIRECT("'"&amp;$C$2&amp;"'!D2"),1),NA()),"")</f>
        <v/>
      </c>
      <c r="F95" s="111" t="str">
        <f aca="true">IFERROR(IF(INDIRECT("'"&amp;$C$2&amp;"'!K46")&lt;&gt;"",INDIRECT("'"&amp;$C$2&amp;"'!K46"),NA()),"")</f>
        <v/>
      </c>
    </row>
    <row r="96" customFormat="false" ht="15" hidden="false" customHeight="true" outlineLevel="0" collapsed="false">
      <c r="B96" s="112" t="str">
        <f aca="true">IFERROR(INDIRECT("'"&amp;$C$2&amp;"'!A47"),"")</f>
        <v/>
      </c>
      <c r="C96" s="113" t="n">
        <f aca="true">IFERROR(INDIRECT("'"&amp;$C$2&amp;"'!B47"),"")</f>
        <v>0</v>
      </c>
      <c r="D96" s="114" t="str">
        <f aca="true">IFERROR(IF(INDIRECT("'"&amp;$C$2&amp;"'!K47")&lt;&gt;"",INDIRECT("'"&amp;$C$2&amp;"'!P47"),NA()),"")</f>
        <v/>
      </c>
      <c r="E96" s="115" t="str">
        <f aca="true">IFERROR(IF(INDIRECT("'"&amp;$C$2&amp;"'!K47")&lt;&gt;"",(INDIRECT("'"&amp;$C$2&amp;"'!P47")-IFERROR(INDIRECT("'"&amp;$C$2&amp;"'!D2"),0))/IFERROR(INDIRECT("'"&amp;$C$2&amp;"'!D2"),1),NA()),"")</f>
        <v/>
      </c>
      <c r="F96" s="116" t="str">
        <f aca="true">IFERROR(IF(INDIRECT("'"&amp;$C$2&amp;"'!K47")&lt;&gt;"",INDIRECT("'"&amp;$C$2&amp;"'!K47"),NA()),"")</f>
        <v/>
      </c>
    </row>
    <row r="97" customFormat="false" ht="15" hidden="false" customHeight="true" outlineLevel="0" collapsed="false">
      <c r="B97" s="107" t="str">
        <f aca="true">IFERROR(INDIRECT("'"&amp;$C$2&amp;"'!A48"),"")</f>
        <v/>
      </c>
      <c r="C97" s="108" t="n">
        <f aca="true">IFERROR(INDIRECT("'"&amp;$C$2&amp;"'!B48"),"")</f>
        <v>0</v>
      </c>
      <c r="D97" s="109" t="str">
        <f aca="true">IFERROR(IF(INDIRECT("'"&amp;$C$2&amp;"'!K48")&lt;&gt;"",INDIRECT("'"&amp;$C$2&amp;"'!P48"),NA()),"")</f>
        <v/>
      </c>
      <c r="E97" s="110" t="str">
        <f aca="true">IFERROR(IF(INDIRECT("'"&amp;$C$2&amp;"'!K48")&lt;&gt;"",(INDIRECT("'"&amp;$C$2&amp;"'!P48")-IFERROR(INDIRECT("'"&amp;$C$2&amp;"'!D2"),0))/IFERROR(INDIRECT("'"&amp;$C$2&amp;"'!D2"),1),NA()),"")</f>
        <v/>
      </c>
      <c r="F97" s="111" t="str">
        <f aca="true">IFERROR(IF(INDIRECT("'"&amp;$C$2&amp;"'!K48")&lt;&gt;"",INDIRECT("'"&amp;$C$2&amp;"'!K48"),NA()),"")</f>
        <v/>
      </c>
    </row>
    <row r="98" customFormat="false" ht="15" hidden="false" customHeight="true" outlineLevel="0" collapsed="false">
      <c r="B98" s="112" t="str">
        <f aca="true">IFERROR(INDIRECT("'"&amp;$C$2&amp;"'!A49"),"")</f>
        <v/>
      </c>
      <c r="C98" s="113" t="n">
        <f aca="true">IFERROR(INDIRECT("'"&amp;$C$2&amp;"'!B49"),"")</f>
        <v>0</v>
      </c>
      <c r="D98" s="114" t="str">
        <f aca="true">IFERROR(IF(INDIRECT("'"&amp;$C$2&amp;"'!K49")&lt;&gt;"",INDIRECT("'"&amp;$C$2&amp;"'!P49"),NA()),"")</f>
        <v/>
      </c>
      <c r="E98" s="115" t="str">
        <f aca="true">IFERROR(IF(INDIRECT("'"&amp;$C$2&amp;"'!K49")&lt;&gt;"",(INDIRECT("'"&amp;$C$2&amp;"'!P49")-IFERROR(INDIRECT("'"&amp;$C$2&amp;"'!D2"),0))/IFERROR(INDIRECT("'"&amp;$C$2&amp;"'!D2"),1),NA()),"")</f>
        <v/>
      </c>
      <c r="F98" s="116" t="str">
        <f aca="true">IFERROR(IF(INDIRECT("'"&amp;$C$2&amp;"'!K49")&lt;&gt;"",INDIRECT("'"&amp;$C$2&amp;"'!K49"),NA()),"")</f>
        <v/>
      </c>
    </row>
    <row r="99" customFormat="false" ht="15" hidden="false" customHeight="true" outlineLevel="0" collapsed="false">
      <c r="B99" s="107" t="str">
        <f aca="true">IFERROR(INDIRECT("'"&amp;$C$2&amp;"'!A50"),"")</f>
        <v/>
      </c>
      <c r="C99" s="108" t="n">
        <f aca="true">IFERROR(INDIRECT("'"&amp;$C$2&amp;"'!B50"),"")</f>
        <v>0</v>
      </c>
      <c r="D99" s="109" t="str">
        <f aca="true">IFERROR(IF(INDIRECT("'"&amp;$C$2&amp;"'!K50")&lt;&gt;"",INDIRECT("'"&amp;$C$2&amp;"'!P50"),NA()),"")</f>
        <v/>
      </c>
      <c r="E99" s="110" t="str">
        <f aca="true">IFERROR(IF(INDIRECT("'"&amp;$C$2&amp;"'!K50")&lt;&gt;"",(INDIRECT("'"&amp;$C$2&amp;"'!P50")-IFERROR(INDIRECT("'"&amp;$C$2&amp;"'!D2"),0))/IFERROR(INDIRECT("'"&amp;$C$2&amp;"'!D2"),1),NA()),"")</f>
        <v/>
      </c>
      <c r="F99" s="111" t="str">
        <f aca="true">IFERROR(IF(INDIRECT("'"&amp;$C$2&amp;"'!K50")&lt;&gt;"",INDIRECT("'"&amp;$C$2&amp;"'!K50"),NA()),"")</f>
        <v/>
      </c>
    </row>
    <row r="100" customFormat="false" ht="15" hidden="false" customHeight="true" outlineLevel="0" collapsed="false">
      <c r="B100" s="112" t="str">
        <f aca="true">IFERROR(INDIRECT("'"&amp;$C$2&amp;"'!A51"),"")</f>
        <v/>
      </c>
      <c r="C100" s="113" t="n">
        <f aca="true">IFERROR(INDIRECT("'"&amp;$C$2&amp;"'!B51"),"")</f>
        <v>0</v>
      </c>
      <c r="D100" s="114" t="str">
        <f aca="true">IFERROR(IF(INDIRECT("'"&amp;$C$2&amp;"'!K51")&lt;&gt;"",INDIRECT("'"&amp;$C$2&amp;"'!P51"),NA()),"")</f>
        <v/>
      </c>
      <c r="E100" s="115" t="str">
        <f aca="true">IFERROR(IF(INDIRECT("'"&amp;$C$2&amp;"'!K51")&lt;&gt;"",(INDIRECT("'"&amp;$C$2&amp;"'!P51")-IFERROR(INDIRECT("'"&amp;$C$2&amp;"'!D2"),0))/IFERROR(INDIRECT("'"&amp;$C$2&amp;"'!D2"),1),NA()),"")</f>
        <v/>
      </c>
      <c r="F100" s="116" t="str">
        <f aca="true">IFERROR(IF(INDIRECT("'"&amp;$C$2&amp;"'!K51")&lt;&gt;"",INDIRECT("'"&amp;$C$2&amp;"'!K51"),NA()),"")</f>
        <v/>
      </c>
    </row>
    <row r="101" customFormat="false" ht="15" hidden="false" customHeight="true" outlineLevel="0" collapsed="false">
      <c r="B101" s="107" t="str">
        <f aca="true">IFERROR(INDIRECT("'"&amp;$C$2&amp;"'!A52"),"")</f>
        <v/>
      </c>
      <c r="C101" s="108" t="n">
        <f aca="true">IFERROR(INDIRECT("'"&amp;$C$2&amp;"'!B52"),"")</f>
        <v>0</v>
      </c>
      <c r="D101" s="109" t="str">
        <f aca="true">IFERROR(IF(INDIRECT("'"&amp;$C$2&amp;"'!K52")&lt;&gt;"",INDIRECT("'"&amp;$C$2&amp;"'!P52"),NA()),"")</f>
        <v/>
      </c>
      <c r="E101" s="110" t="str">
        <f aca="true">IFERROR(IF(INDIRECT("'"&amp;$C$2&amp;"'!K52")&lt;&gt;"",(INDIRECT("'"&amp;$C$2&amp;"'!P52")-IFERROR(INDIRECT("'"&amp;$C$2&amp;"'!D2"),0))/IFERROR(INDIRECT("'"&amp;$C$2&amp;"'!D2"),1),NA()),"")</f>
        <v/>
      </c>
      <c r="F101" s="111" t="str">
        <f aca="true">IFERROR(IF(INDIRECT("'"&amp;$C$2&amp;"'!K52")&lt;&gt;"",INDIRECT("'"&amp;$C$2&amp;"'!K52"),NA()),"")</f>
        <v/>
      </c>
    </row>
    <row r="102" customFormat="false" ht="15" hidden="false" customHeight="true" outlineLevel="0" collapsed="false">
      <c r="B102" s="112" t="str">
        <f aca="true">IFERROR(INDIRECT("'"&amp;$C$2&amp;"'!A53"),"")</f>
        <v/>
      </c>
      <c r="C102" s="113" t="n">
        <f aca="true">IFERROR(INDIRECT("'"&amp;$C$2&amp;"'!B53"),"")</f>
        <v>0</v>
      </c>
      <c r="D102" s="114" t="str">
        <f aca="true">IFERROR(IF(INDIRECT("'"&amp;$C$2&amp;"'!K53")&lt;&gt;"",INDIRECT("'"&amp;$C$2&amp;"'!P53"),NA()),"")</f>
        <v/>
      </c>
      <c r="E102" s="115" t="str">
        <f aca="true">IFERROR(IF(INDIRECT("'"&amp;$C$2&amp;"'!K53")&lt;&gt;"",(INDIRECT("'"&amp;$C$2&amp;"'!P53")-IFERROR(INDIRECT("'"&amp;$C$2&amp;"'!D2"),0))/IFERROR(INDIRECT("'"&amp;$C$2&amp;"'!D2"),1),NA()),"")</f>
        <v/>
      </c>
      <c r="F102" s="116" t="str">
        <f aca="true">IFERROR(IF(INDIRECT("'"&amp;$C$2&amp;"'!K53")&lt;&gt;"",INDIRECT("'"&amp;$C$2&amp;"'!K53"),NA()),"")</f>
        <v/>
      </c>
    </row>
    <row r="103" customFormat="false" ht="15" hidden="false" customHeight="true" outlineLevel="0" collapsed="false">
      <c r="B103" s="107" t="str">
        <f aca="true">IFERROR(INDIRECT("'"&amp;$C$2&amp;"'!A54"),"")</f>
        <v/>
      </c>
      <c r="C103" s="108" t="n">
        <f aca="true">IFERROR(INDIRECT("'"&amp;$C$2&amp;"'!B54"),"")</f>
        <v>0</v>
      </c>
      <c r="D103" s="109" t="str">
        <f aca="true">IFERROR(IF(INDIRECT("'"&amp;$C$2&amp;"'!K54")&lt;&gt;"",INDIRECT("'"&amp;$C$2&amp;"'!P54"),NA()),"")</f>
        <v/>
      </c>
      <c r="E103" s="110" t="str">
        <f aca="true">IFERROR(IF(INDIRECT("'"&amp;$C$2&amp;"'!K54")&lt;&gt;"",(INDIRECT("'"&amp;$C$2&amp;"'!P54")-IFERROR(INDIRECT("'"&amp;$C$2&amp;"'!D2"),0))/IFERROR(INDIRECT("'"&amp;$C$2&amp;"'!D2"),1),NA()),"")</f>
        <v/>
      </c>
      <c r="F103" s="111" t="str">
        <f aca="true">IFERROR(IF(INDIRECT("'"&amp;$C$2&amp;"'!K54")&lt;&gt;"",INDIRECT("'"&amp;$C$2&amp;"'!K54"),NA()),"")</f>
        <v/>
      </c>
    </row>
    <row r="104" customFormat="false" ht="15" hidden="false" customHeight="true" outlineLevel="0" collapsed="false">
      <c r="B104" s="112" t="str">
        <f aca="true">IFERROR(INDIRECT("'"&amp;$C$2&amp;"'!A55"),"")</f>
        <v/>
      </c>
      <c r="C104" s="113" t="n">
        <f aca="true">IFERROR(INDIRECT("'"&amp;$C$2&amp;"'!B55"),"")</f>
        <v>0</v>
      </c>
      <c r="D104" s="114" t="str">
        <f aca="true">IFERROR(IF(INDIRECT("'"&amp;$C$2&amp;"'!K55")&lt;&gt;"",INDIRECT("'"&amp;$C$2&amp;"'!P55"),NA()),"")</f>
        <v/>
      </c>
      <c r="E104" s="115" t="str">
        <f aca="true">IFERROR(IF(INDIRECT("'"&amp;$C$2&amp;"'!K55")&lt;&gt;"",(INDIRECT("'"&amp;$C$2&amp;"'!P55")-IFERROR(INDIRECT("'"&amp;$C$2&amp;"'!D2"),0))/IFERROR(INDIRECT("'"&amp;$C$2&amp;"'!D2"),1),NA()),"")</f>
        <v/>
      </c>
      <c r="F104" s="116" t="str">
        <f aca="true">IFERROR(IF(INDIRECT("'"&amp;$C$2&amp;"'!K55")&lt;&gt;"",INDIRECT("'"&amp;$C$2&amp;"'!K55"),NA()),"")</f>
        <v/>
      </c>
    </row>
    <row r="105" customFormat="false" ht="15" hidden="false" customHeight="true" outlineLevel="0" collapsed="false">
      <c r="B105" s="107" t="str">
        <f aca="true">IFERROR(INDIRECT("'"&amp;$C$2&amp;"'!A56"),"")</f>
        <v/>
      </c>
      <c r="C105" s="108" t="n">
        <f aca="true">IFERROR(INDIRECT("'"&amp;$C$2&amp;"'!B56"),"")</f>
        <v>0</v>
      </c>
      <c r="D105" s="109" t="str">
        <f aca="true">IFERROR(IF(INDIRECT("'"&amp;$C$2&amp;"'!K56")&lt;&gt;"",INDIRECT("'"&amp;$C$2&amp;"'!P56"),NA()),"")</f>
        <v/>
      </c>
      <c r="E105" s="110" t="str">
        <f aca="true">IFERROR(IF(INDIRECT("'"&amp;$C$2&amp;"'!K56")&lt;&gt;"",(INDIRECT("'"&amp;$C$2&amp;"'!P56")-IFERROR(INDIRECT("'"&amp;$C$2&amp;"'!D2"),0))/IFERROR(INDIRECT("'"&amp;$C$2&amp;"'!D2"),1),NA()),"")</f>
        <v/>
      </c>
      <c r="F105" s="111" t="str">
        <f aca="true">IFERROR(IF(INDIRECT("'"&amp;$C$2&amp;"'!K56")&lt;&gt;"",INDIRECT("'"&amp;$C$2&amp;"'!K56"),NA()),"")</f>
        <v/>
      </c>
    </row>
    <row r="106" customFormat="false" ht="15" hidden="false" customHeight="true" outlineLevel="0" collapsed="false">
      <c r="B106" s="112" t="str">
        <f aca="true">IFERROR(INDIRECT("'"&amp;$C$2&amp;"'!A57"),"")</f>
        <v/>
      </c>
      <c r="C106" s="113" t="n">
        <f aca="true">IFERROR(INDIRECT("'"&amp;$C$2&amp;"'!B57"),"")</f>
        <v>0</v>
      </c>
      <c r="D106" s="114" t="str">
        <f aca="true">IFERROR(IF(INDIRECT("'"&amp;$C$2&amp;"'!K57")&lt;&gt;"",INDIRECT("'"&amp;$C$2&amp;"'!P57"),NA()),"")</f>
        <v/>
      </c>
      <c r="E106" s="115" t="str">
        <f aca="true">IFERROR(IF(INDIRECT("'"&amp;$C$2&amp;"'!K57")&lt;&gt;"",(INDIRECT("'"&amp;$C$2&amp;"'!P57")-IFERROR(INDIRECT("'"&amp;$C$2&amp;"'!D2"),0))/IFERROR(INDIRECT("'"&amp;$C$2&amp;"'!D2"),1),NA()),"")</f>
        <v/>
      </c>
      <c r="F106" s="116" t="str">
        <f aca="true">IFERROR(IF(INDIRECT("'"&amp;$C$2&amp;"'!K57")&lt;&gt;"",INDIRECT("'"&amp;$C$2&amp;"'!K57"),NA()),"")</f>
        <v/>
      </c>
    </row>
    <row r="107" customFormat="false" ht="15" hidden="false" customHeight="true" outlineLevel="0" collapsed="false">
      <c r="B107" s="107" t="str">
        <f aca="true">IFERROR(INDIRECT("'"&amp;$C$2&amp;"'!A58"),"")</f>
        <v/>
      </c>
      <c r="C107" s="108" t="n">
        <f aca="true">IFERROR(INDIRECT("'"&amp;$C$2&amp;"'!B58"),"")</f>
        <v>0</v>
      </c>
      <c r="D107" s="109" t="str">
        <f aca="true">IFERROR(IF(INDIRECT("'"&amp;$C$2&amp;"'!K58")&lt;&gt;"",INDIRECT("'"&amp;$C$2&amp;"'!P58"),NA()),"")</f>
        <v/>
      </c>
      <c r="E107" s="110" t="str">
        <f aca="true">IFERROR(IF(INDIRECT("'"&amp;$C$2&amp;"'!K58")&lt;&gt;"",(INDIRECT("'"&amp;$C$2&amp;"'!P58")-IFERROR(INDIRECT("'"&amp;$C$2&amp;"'!D2"),0))/IFERROR(INDIRECT("'"&amp;$C$2&amp;"'!D2"),1),NA()),"")</f>
        <v/>
      </c>
      <c r="F107" s="111" t="str">
        <f aca="true">IFERROR(IF(INDIRECT("'"&amp;$C$2&amp;"'!K58")&lt;&gt;"",INDIRECT("'"&amp;$C$2&amp;"'!K58"),NA()),"")</f>
        <v/>
      </c>
    </row>
    <row r="108" customFormat="false" ht="15" hidden="false" customHeight="true" outlineLevel="0" collapsed="false">
      <c r="B108" s="112" t="str">
        <f aca="true">IFERROR(INDIRECT("'"&amp;$C$2&amp;"'!A59"),"")</f>
        <v/>
      </c>
      <c r="C108" s="113" t="n">
        <f aca="true">IFERROR(INDIRECT("'"&amp;$C$2&amp;"'!B59"),"")</f>
        <v>0</v>
      </c>
      <c r="D108" s="114" t="str">
        <f aca="true">IFERROR(IF(INDIRECT("'"&amp;$C$2&amp;"'!K59")&lt;&gt;"",INDIRECT("'"&amp;$C$2&amp;"'!P59"),NA()),"")</f>
        <v/>
      </c>
      <c r="E108" s="115" t="str">
        <f aca="true">IFERROR(IF(INDIRECT("'"&amp;$C$2&amp;"'!K59")&lt;&gt;"",(INDIRECT("'"&amp;$C$2&amp;"'!P59")-IFERROR(INDIRECT("'"&amp;$C$2&amp;"'!D2"),0))/IFERROR(INDIRECT("'"&amp;$C$2&amp;"'!D2"),1),NA()),"")</f>
        <v/>
      </c>
      <c r="F108" s="116" t="str">
        <f aca="true">IFERROR(IF(INDIRECT("'"&amp;$C$2&amp;"'!K59")&lt;&gt;"",INDIRECT("'"&amp;$C$2&amp;"'!K59"),NA()),"")</f>
        <v/>
      </c>
    </row>
    <row r="109" customFormat="false" ht="15" hidden="false" customHeight="true" outlineLevel="0" collapsed="false">
      <c r="B109" s="107" t="str">
        <f aca="true">IFERROR(INDIRECT("'"&amp;$C$2&amp;"'!A60"),"")</f>
        <v/>
      </c>
      <c r="C109" s="108" t="n">
        <f aca="true">IFERROR(INDIRECT("'"&amp;$C$2&amp;"'!B60"),"")</f>
        <v>0</v>
      </c>
      <c r="D109" s="109" t="str">
        <f aca="true">IFERROR(IF(INDIRECT("'"&amp;$C$2&amp;"'!K60")&lt;&gt;"",INDIRECT("'"&amp;$C$2&amp;"'!P60"),NA()),"")</f>
        <v/>
      </c>
      <c r="E109" s="110" t="str">
        <f aca="true">IFERROR(IF(INDIRECT("'"&amp;$C$2&amp;"'!K60")&lt;&gt;"",(INDIRECT("'"&amp;$C$2&amp;"'!P60")-IFERROR(INDIRECT("'"&amp;$C$2&amp;"'!D2"),0))/IFERROR(INDIRECT("'"&amp;$C$2&amp;"'!D2"),1),NA()),"")</f>
        <v/>
      </c>
      <c r="F109" s="111" t="str">
        <f aca="true">IFERROR(IF(INDIRECT("'"&amp;$C$2&amp;"'!K60")&lt;&gt;"",INDIRECT("'"&amp;$C$2&amp;"'!K60"),NA()),"")</f>
        <v/>
      </c>
    </row>
    <row r="110" customFormat="false" ht="15" hidden="false" customHeight="true" outlineLevel="0" collapsed="false">
      <c r="B110" s="112" t="str">
        <f aca="true">IFERROR(INDIRECT("'"&amp;$C$2&amp;"'!A61"),"")</f>
        <v/>
      </c>
      <c r="C110" s="113" t="n">
        <f aca="true">IFERROR(INDIRECT("'"&amp;$C$2&amp;"'!B61"),"")</f>
        <v>0</v>
      </c>
      <c r="D110" s="114" t="str">
        <f aca="true">IFERROR(IF(INDIRECT("'"&amp;$C$2&amp;"'!K61")&lt;&gt;"",INDIRECT("'"&amp;$C$2&amp;"'!P61"),NA()),"")</f>
        <v/>
      </c>
      <c r="E110" s="115" t="str">
        <f aca="true">IFERROR(IF(INDIRECT("'"&amp;$C$2&amp;"'!K61")&lt;&gt;"",(INDIRECT("'"&amp;$C$2&amp;"'!P61")-IFERROR(INDIRECT("'"&amp;$C$2&amp;"'!D2"),0))/IFERROR(INDIRECT("'"&amp;$C$2&amp;"'!D2"),1),NA()),"")</f>
        <v/>
      </c>
      <c r="F110" s="116" t="str">
        <f aca="true">IFERROR(IF(INDIRECT("'"&amp;$C$2&amp;"'!K61")&lt;&gt;"",INDIRECT("'"&amp;$C$2&amp;"'!K61"),NA()),"")</f>
        <v/>
      </c>
    </row>
    <row r="111" customFormat="false" ht="15" hidden="false" customHeight="true" outlineLevel="0" collapsed="false">
      <c r="B111" s="107" t="str">
        <f aca="true">IFERROR(INDIRECT("'"&amp;$C$2&amp;"'!A62"),"")</f>
        <v/>
      </c>
      <c r="C111" s="108" t="n">
        <f aca="true">IFERROR(INDIRECT("'"&amp;$C$2&amp;"'!B62"),"")</f>
        <v>0</v>
      </c>
      <c r="D111" s="109" t="str">
        <f aca="true">IFERROR(IF(INDIRECT("'"&amp;$C$2&amp;"'!K62")&lt;&gt;"",INDIRECT("'"&amp;$C$2&amp;"'!P62"),NA()),"")</f>
        <v/>
      </c>
      <c r="E111" s="110" t="str">
        <f aca="true">IFERROR(IF(INDIRECT("'"&amp;$C$2&amp;"'!K62")&lt;&gt;"",(INDIRECT("'"&amp;$C$2&amp;"'!P62")-IFERROR(INDIRECT("'"&amp;$C$2&amp;"'!D2"),0))/IFERROR(INDIRECT("'"&amp;$C$2&amp;"'!D2"),1),NA()),"")</f>
        <v/>
      </c>
      <c r="F111" s="111" t="str">
        <f aca="true">IFERROR(IF(INDIRECT("'"&amp;$C$2&amp;"'!K62")&lt;&gt;"",INDIRECT("'"&amp;$C$2&amp;"'!K62"),NA()),"")</f>
        <v/>
      </c>
    </row>
    <row r="112" customFormat="false" ht="15" hidden="false" customHeight="true" outlineLevel="0" collapsed="false">
      <c r="B112" s="112" t="str">
        <f aca="true">IFERROR(INDIRECT("'"&amp;$C$2&amp;"'!A63"),"")</f>
        <v/>
      </c>
      <c r="C112" s="113" t="n">
        <f aca="true">IFERROR(INDIRECT("'"&amp;$C$2&amp;"'!B63"),"")</f>
        <v>0</v>
      </c>
      <c r="D112" s="114" t="str">
        <f aca="true">IFERROR(IF(INDIRECT("'"&amp;$C$2&amp;"'!K63")&lt;&gt;"",INDIRECT("'"&amp;$C$2&amp;"'!P63"),NA()),"")</f>
        <v/>
      </c>
      <c r="E112" s="115" t="str">
        <f aca="true">IFERROR(IF(INDIRECT("'"&amp;$C$2&amp;"'!K63")&lt;&gt;"",(INDIRECT("'"&amp;$C$2&amp;"'!P63")-IFERROR(INDIRECT("'"&amp;$C$2&amp;"'!D2"),0))/IFERROR(INDIRECT("'"&amp;$C$2&amp;"'!D2"),1),NA()),"")</f>
        <v/>
      </c>
      <c r="F112" s="116" t="str">
        <f aca="true">IFERROR(IF(INDIRECT("'"&amp;$C$2&amp;"'!K63")&lt;&gt;"",INDIRECT("'"&amp;$C$2&amp;"'!K63"),NA()),"")</f>
        <v/>
      </c>
    </row>
    <row r="113" customFormat="false" ht="15" hidden="false" customHeight="true" outlineLevel="0" collapsed="false">
      <c r="B113" s="107" t="str">
        <f aca="true">IFERROR(INDIRECT("'"&amp;$C$2&amp;"'!A64"),"")</f>
        <v/>
      </c>
      <c r="C113" s="108" t="n">
        <f aca="true">IFERROR(INDIRECT("'"&amp;$C$2&amp;"'!B64"),"")</f>
        <v>0</v>
      </c>
      <c r="D113" s="109" t="str">
        <f aca="true">IFERROR(IF(INDIRECT("'"&amp;$C$2&amp;"'!K64")&lt;&gt;"",INDIRECT("'"&amp;$C$2&amp;"'!P64"),NA()),"")</f>
        <v/>
      </c>
      <c r="E113" s="110" t="str">
        <f aca="true">IFERROR(IF(INDIRECT("'"&amp;$C$2&amp;"'!K64")&lt;&gt;"",(INDIRECT("'"&amp;$C$2&amp;"'!P64")-IFERROR(INDIRECT("'"&amp;$C$2&amp;"'!D2"),0))/IFERROR(INDIRECT("'"&amp;$C$2&amp;"'!D2"),1),NA()),"")</f>
        <v/>
      </c>
      <c r="F113" s="111" t="str">
        <f aca="true">IFERROR(IF(INDIRECT("'"&amp;$C$2&amp;"'!K64")&lt;&gt;"",INDIRECT("'"&amp;$C$2&amp;"'!K64"),NA()),"")</f>
        <v/>
      </c>
    </row>
    <row r="114" customFormat="false" ht="15" hidden="false" customHeight="true" outlineLevel="0" collapsed="false">
      <c r="B114" s="112" t="str">
        <f aca="true">IFERROR(INDIRECT("'"&amp;$C$2&amp;"'!A65"),"")</f>
        <v/>
      </c>
      <c r="C114" s="113" t="n">
        <f aca="true">IFERROR(INDIRECT("'"&amp;$C$2&amp;"'!B65"),"")</f>
        <v>0</v>
      </c>
      <c r="D114" s="114" t="str">
        <f aca="true">IFERROR(IF(INDIRECT("'"&amp;$C$2&amp;"'!K65")&lt;&gt;"",INDIRECT("'"&amp;$C$2&amp;"'!P65"),NA()),"")</f>
        <v/>
      </c>
      <c r="E114" s="115" t="str">
        <f aca="true">IFERROR(IF(INDIRECT("'"&amp;$C$2&amp;"'!K65")&lt;&gt;"",(INDIRECT("'"&amp;$C$2&amp;"'!P65")-IFERROR(INDIRECT("'"&amp;$C$2&amp;"'!D2"),0))/IFERROR(INDIRECT("'"&amp;$C$2&amp;"'!D2"),1),NA()),"")</f>
        <v/>
      </c>
      <c r="F114" s="116" t="str">
        <f aca="true">IFERROR(IF(INDIRECT("'"&amp;$C$2&amp;"'!K65")&lt;&gt;"",INDIRECT("'"&amp;$C$2&amp;"'!K65"),NA()),"")</f>
        <v/>
      </c>
    </row>
    <row r="115" customFormat="false" ht="15" hidden="false" customHeight="true" outlineLevel="0" collapsed="false">
      <c r="B115" s="107" t="str">
        <f aca="true">IFERROR(INDIRECT("'"&amp;$C$2&amp;"'!A66"),"")</f>
        <v/>
      </c>
      <c r="C115" s="108" t="n">
        <f aca="true">IFERROR(INDIRECT("'"&amp;$C$2&amp;"'!B66"),"")</f>
        <v>0</v>
      </c>
      <c r="D115" s="109" t="str">
        <f aca="true">IFERROR(IF(INDIRECT("'"&amp;$C$2&amp;"'!K66")&lt;&gt;"",INDIRECT("'"&amp;$C$2&amp;"'!P66"),NA()),"")</f>
        <v/>
      </c>
      <c r="E115" s="110" t="str">
        <f aca="true">IFERROR(IF(INDIRECT("'"&amp;$C$2&amp;"'!K66")&lt;&gt;"",(INDIRECT("'"&amp;$C$2&amp;"'!P66")-IFERROR(INDIRECT("'"&amp;$C$2&amp;"'!D2"),0))/IFERROR(INDIRECT("'"&amp;$C$2&amp;"'!D2"),1),NA()),"")</f>
        <v/>
      </c>
      <c r="F115" s="111" t="str">
        <f aca="true">IFERROR(IF(INDIRECT("'"&amp;$C$2&amp;"'!K66")&lt;&gt;"",INDIRECT("'"&amp;$C$2&amp;"'!K66"),NA()),"")</f>
        <v/>
      </c>
    </row>
    <row r="116" customFormat="false" ht="15" hidden="false" customHeight="true" outlineLevel="0" collapsed="false">
      <c r="B116" s="112" t="str">
        <f aca="true">IFERROR(INDIRECT("'"&amp;$C$2&amp;"'!A67"),"")</f>
        <v/>
      </c>
      <c r="C116" s="113" t="n">
        <f aca="true">IFERROR(INDIRECT("'"&amp;$C$2&amp;"'!B67"),"")</f>
        <v>0</v>
      </c>
      <c r="D116" s="114" t="str">
        <f aca="true">IFERROR(IF(INDIRECT("'"&amp;$C$2&amp;"'!K67")&lt;&gt;"",INDIRECT("'"&amp;$C$2&amp;"'!P67"),NA()),"")</f>
        <v/>
      </c>
      <c r="E116" s="115" t="str">
        <f aca="true">IFERROR(IF(INDIRECT("'"&amp;$C$2&amp;"'!K67")&lt;&gt;"",(INDIRECT("'"&amp;$C$2&amp;"'!P67")-IFERROR(INDIRECT("'"&amp;$C$2&amp;"'!D2"),0))/IFERROR(INDIRECT("'"&amp;$C$2&amp;"'!D2"),1),NA()),"")</f>
        <v/>
      </c>
      <c r="F116" s="116" t="str">
        <f aca="true">IFERROR(IF(INDIRECT("'"&amp;$C$2&amp;"'!K67")&lt;&gt;"",INDIRECT("'"&amp;$C$2&amp;"'!K67"),NA()),"")</f>
        <v/>
      </c>
    </row>
    <row r="117" customFormat="false" ht="15" hidden="false" customHeight="true" outlineLevel="0" collapsed="false">
      <c r="B117" s="107" t="str">
        <f aca="true">IFERROR(INDIRECT("'"&amp;$C$2&amp;"'!A68"),"")</f>
        <v/>
      </c>
      <c r="C117" s="108" t="n">
        <f aca="true">IFERROR(INDIRECT("'"&amp;$C$2&amp;"'!B68"),"")</f>
        <v>0</v>
      </c>
      <c r="D117" s="109" t="str">
        <f aca="true">IFERROR(IF(INDIRECT("'"&amp;$C$2&amp;"'!K68")&lt;&gt;"",INDIRECT("'"&amp;$C$2&amp;"'!P68"),NA()),"")</f>
        <v/>
      </c>
      <c r="E117" s="110" t="str">
        <f aca="true">IFERROR(IF(INDIRECT("'"&amp;$C$2&amp;"'!K68")&lt;&gt;"",(INDIRECT("'"&amp;$C$2&amp;"'!P68")-IFERROR(INDIRECT("'"&amp;$C$2&amp;"'!D2"),0))/IFERROR(INDIRECT("'"&amp;$C$2&amp;"'!D2"),1),NA()),"")</f>
        <v/>
      </c>
      <c r="F117" s="111" t="str">
        <f aca="true">IFERROR(IF(INDIRECT("'"&amp;$C$2&amp;"'!K68")&lt;&gt;"",INDIRECT("'"&amp;$C$2&amp;"'!K68"),NA()),"")</f>
        <v/>
      </c>
    </row>
    <row r="118" customFormat="false" ht="15" hidden="false" customHeight="true" outlineLevel="0" collapsed="false">
      <c r="B118" s="112" t="str">
        <f aca="true">IFERROR(INDIRECT("'"&amp;$C$2&amp;"'!A69"),"")</f>
        <v/>
      </c>
      <c r="C118" s="113" t="n">
        <f aca="true">IFERROR(INDIRECT("'"&amp;$C$2&amp;"'!B69"),"")</f>
        <v>0</v>
      </c>
      <c r="D118" s="114" t="str">
        <f aca="true">IFERROR(IF(INDIRECT("'"&amp;$C$2&amp;"'!K69")&lt;&gt;"",INDIRECT("'"&amp;$C$2&amp;"'!P69"),NA()),"")</f>
        <v/>
      </c>
      <c r="E118" s="115" t="str">
        <f aca="true">IFERROR(IF(INDIRECT("'"&amp;$C$2&amp;"'!K69")&lt;&gt;"",(INDIRECT("'"&amp;$C$2&amp;"'!P69")-IFERROR(INDIRECT("'"&amp;$C$2&amp;"'!D2"),0))/IFERROR(INDIRECT("'"&amp;$C$2&amp;"'!D2"),1),NA()),"")</f>
        <v/>
      </c>
      <c r="F118" s="116" t="str">
        <f aca="true">IFERROR(IF(INDIRECT("'"&amp;$C$2&amp;"'!K69")&lt;&gt;"",INDIRECT("'"&amp;$C$2&amp;"'!K69"),NA()),"")</f>
        <v/>
      </c>
    </row>
    <row r="119" customFormat="false" ht="15" hidden="false" customHeight="true" outlineLevel="0" collapsed="false">
      <c r="B119" s="107" t="str">
        <f aca="true">IFERROR(INDIRECT("'"&amp;$C$2&amp;"'!A70"),"")</f>
        <v/>
      </c>
      <c r="C119" s="108" t="n">
        <f aca="true">IFERROR(INDIRECT("'"&amp;$C$2&amp;"'!B70"),"")</f>
        <v>0</v>
      </c>
      <c r="D119" s="109" t="str">
        <f aca="true">IFERROR(IF(INDIRECT("'"&amp;$C$2&amp;"'!K70")&lt;&gt;"",INDIRECT("'"&amp;$C$2&amp;"'!P70"),NA()),"")</f>
        <v/>
      </c>
      <c r="E119" s="110" t="str">
        <f aca="true">IFERROR(IF(INDIRECT("'"&amp;$C$2&amp;"'!K70")&lt;&gt;"",(INDIRECT("'"&amp;$C$2&amp;"'!P70")-IFERROR(INDIRECT("'"&amp;$C$2&amp;"'!D2"),0))/IFERROR(INDIRECT("'"&amp;$C$2&amp;"'!D2"),1),NA()),"")</f>
        <v/>
      </c>
      <c r="F119" s="111" t="str">
        <f aca="true">IFERROR(IF(INDIRECT("'"&amp;$C$2&amp;"'!K70")&lt;&gt;"",INDIRECT("'"&amp;$C$2&amp;"'!K70"),NA()),"")</f>
        <v/>
      </c>
    </row>
    <row r="120" customFormat="false" ht="15" hidden="false" customHeight="true" outlineLevel="0" collapsed="false">
      <c r="B120" s="112" t="str">
        <f aca="true">IFERROR(INDIRECT("'"&amp;$C$2&amp;"'!A71"),"")</f>
        <v/>
      </c>
      <c r="C120" s="113" t="n">
        <f aca="true">IFERROR(INDIRECT("'"&amp;$C$2&amp;"'!B71"),"")</f>
        <v>0</v>
      </c>
      <c r="D120" s="114" t="str">
        <f aca="true">IFERROR(IF(INDIRECT("'"&amp;$C$2&amp;"'!K71")&lt;&gt;"",INDIRECT("'"&amp;$C$2&amp;"'!P71"),NA()),"")</f>
        <v/>
      </c>
      <c r="E120" s="115" t="str">
        <f aca="true">IFERROR(IF(INDIRECT("'"&amp;$C$2&amp;"'!K71")&lt;&gt;"",(INDIRECT("'"&amp;$C$2&amp;"'!P71")-IFERROR(INDIRECT("'"&amp;$C$2&amp;"'!D2"),0))/IFERROR(INDIRECT("'"&amp;$C$2&amp;"'!D2"),1),NA()),"")</f>
        <v/>
      </c>
      <c r="F120" s="116" t="str">
        <f aca="true">IFERROR(IF(INDIRECT("'"&amp;$C$2&amp;"'!K71")&lt;&gt;"",INDIRECT("'"&amp;$C$2&amp;"'!K71"),NA()),"")</f>
        <v/>
      </c>
    </row>
    <row r="121" customFormat="false" ht="15" hidden="false" customHeight="true" outlineLevel="0" collapsed="false">
      <c r="B121" s="107" t="str">
        <f aca="true">IFERROR(INDIRECT("'"&amp;$C$2&amp;"'!A72"),"")</f>
        <v/>
      </c>
      <c r="C121" s="108" t="n">
        <f aca="true">IFERROR(INDIRECT("'"&amp;$C$2&amp;"'!B72"),"")</f>
        <v>0</v>
      </c>
      <c r="D121" s="109" t="str">
        <f aca="true">IFERROR(IF(INDIRECT("'"&amp;$C$2&amp;"'!K72")&lt;&gt;"",INDIRECT("'"&amp;$C$2&amp;"'!P72"),NA()),"")</f>
        <v/>
      </c>
      <c r="E121" s="110" t="str">
        <f aca="true">IFERROR(IF(INDIRECT("'"&amp;$C$2&amp;"'!K72")&lt;&gt;"",(INDIRECT("'"&amp;$C$2&amp;"'!P72")-IFERROR(INDIRECT("'"&amp;$C$2&amp;"'!D2"),0))/IFERROR(INDIRECT("'"&amp;$C$2&amp;"'!D2"),1),NA()),"")</f>
        <v/>
      </c>
      <c r="F121" s="111" t="str">
        <f aca="true">IFERROR(IF(INDIRECT("'"&amp;$C$2&amp;"'!K72")&lt;&gt;"",INDIRECT("'"&amp;$C$2&amp;"'!K72"),NA()),"")</f>
        <v/>
      </c>
    </row>
    <row r="122" customFormat="false" ht="15" hidden="false" customHeight="true" outlineLevel="0" collapsed="false">
      <c r="B122" s="112" t="str">
        <f aca="true">IFERROR(INDIRECT("'"&amp;$C$2&amp;"'!A73"),"")</f>
        <v/>
      </c>
      <c r="C122" s="113" t="n">
        <f aca="true">IFERROR(INDIRECT("'"&amp;$C$2&amp;"'!B73"),"")</f>
        <v>0</v>
      </c>
      <c r="D122" s="114" t="str">
        <f aca="true">IFERROR(IF(INDIRECT("'"&amp;$C$2&amp;"'!K73")&lt;&gt;"",INDIRECT("'"&amp;$C$2&amp;"'!P73"),NA()),"")</f>
        <v/>
      </c>
      <c r="E122" s="115" t="str">
        <f aca="true">IFERROR(IF(INDIRECT("'"&amp;$C$2&amp;"'!K73")&lt;&gt;"",(INDIRECT("'"&amp;$C$2&amp;"'!P73")-IFERROR(INDIRECT("'"&amp;$C$2&amp;"'!D2"),0))/IFERROR(INDIRECT("'"&amp;$C$2&amp;"'!D2"),1),NA()),"")</f>
        <v/>
      </c>
      <c r="F122" s="116" t="str">
        <f aca="true">IFERROR(IF(INDIRECT("'"&amp;$C$2&amp;"'!K73")&lt;&gt;"",INDIRECT("'"&amp;$C$2&amp;"'!K73"),NA()),"")</f>
        <v/>
      </c>
    </row>
    <row r="123" customFormat="false" ht="15" hidden="false" customHeight="true" outlineLevel="0" collapsed="false">
      <c r="B123" s="107" t="str">
        <f aca="true">IFERROR(INDIRECT("'"&amp;$C$2&amp;"'!A74"),"")</f>
        <v/>
      </c>
      <c r="C123" s="108" t="n">
        <f aca="true">IFERROR(INDIRECT("'"&amp;$C$2&amp;"'!B74"),"")</f>
        <v>0</v>
      </c>
      <c r="D123" s="109" t="str">
        <f aca="true">IFERROR(IF(INDIRECT("'"&amp;$C$2&amp;"'!K74")&lt;&gt;"",INDIRECT("'"&amp;$C$2&amp;"'!P74"),NA()),"")</f>
        <v/>
      </c>
      <c r="E123" s="110" t="str">
        <f aca="true">IFERROR(IF(INDIRECT("'"&amp;$C$2&amp;"'!K74")&lt;&gt;"",(INDIRECT("'"&amp;$C$2&amp;"'!P74")-IFERROR(INDIRECT("'"&amp;$C$2&amp;"'!D2"),0))/IFERROR(INDIRECT("'"&amp;$C$2&amp;"'!D2"),1),NA()),"")</f>
        <v/>
      </c>
      <c r="F123" s="111" t="str">
        <f aca="true">IFERROR(IF(INDIRECT("'"&amp;$C$2&amp;"'!K74")&lt;&gt;"",INDIRECT("'"&amp;$C$2&amp;"'!K74"),NA()),"")</f>
        <v/>
      </c>
    </row>
    <row r="124" customFormat="false" ht="15" hidden="false" customHeight="true" outlineLevel="0" collapsed="false">
      <c r="B124" s="112" t="str">
        <f aca="true">IFERROR(INDIRECT("'"&amp;$C$2&amp;"'!A75"),"")</f>
        <v/>
      </c>
      <c r="C124" s="113" t="n">
        <f aca="true">IFERROR(INDIRECT("'"&amp;$C$2&amp;"'!B75"),"")</f>
        <v>0</v>
      </c>
      <c r="D124" s="114" t="str">
        <f aca="true">IFERROR(IF(INDIRECT("'"&amp;$C$2&amp;"'!K75")&lt;&gt;"",INDIRECT("'"&amp;$C$2&amp;"'!P75"),NA()),"")</f>
        <v/>
      </c>
      <c r="E124" s="115" t="str">
        <f aca="true">IFERROR(IF(INDIRECT("'"&amp;$C$2&amp;"'!K75")&lt;&gt;"",(INDIRECT("'"&amp;$C$2&amp;"'!P75")-IFERROR(INDIRECT("'"&amp;$C$2&amp;"'!D2"),0))/IFERROR(INDIRECT("'"&amp;$C$2&amp;"'!D2"),1),NA()),"")</f>
        <v/>
      </c>
      <c r="F124" s="116" t="str">
        <f aca="true">IFERROR(IF(INDIRECT("'"&amp;$C$2&amp;"'!K75")&lt;&gt;"",INDIRECT("'"&amp;$C$2&amp;"'!K75"),NA()),"")</f>
        <v/>
      </c>
    </row>
    <row r="125" customFormat="false" ht="15" hidden="false" customHeight="true" outlineLevel="0" collapsed="false">
      <c r="B125" s="107" t="str">
        <f aca="true">IFERROR(INDIRECT("'"&amp;$C$2&amp;"'!A76"),"")</f>
        <v/>
      </c>
      <c r="C125" s="108" t="n">
        <f aca="true">IFERROR(INDIRECT("'"&amp;$C$2&amp;"'!B76"),"")</f>
        <v>0</v>
      </c>
      <c r="D125" s="109" t="str">
        <f aca="true">IFERROR(IF(INDIRECT("'"&amp;$C$2&amp;"'!K76")&lt;&gt;"",INDIRECT("'"&amp;$C$2&amp;"'!P76"),NA()),"")</f>
        <v/>
      </c>
      <c r="E125" s="110" t="str">
        <f aca="true">IFERROR(IF(INDIRECT("'"&amp;$C$2&amp;"'!K76")&lt;&gt;"",(INDIRECT("'"&amp;$C$2&amp;"'!P76")-IFERROR(INDIRECT("'"&amp;$C$2&amp;"'!D2"),0))/IFERROR(INDIRECT("'"&amp;$C$2&amp;"'!D2"),1),NA()),"")</f>
        <v/>
      </c>
      <c r="F125" s="111" t="str">
        <f aca="true">IFERROR(IF(INDIRECT("'"&amp;$C$2&amp;"'!K76")&lt;&gt;"",INDIRECT("'"&amp;$C$2&amp;"'!K76"),NA()),"")</f>
        <v/>
      </c>
    </row>
    <row r="126" customFormat="false" ht="15" hidden="false" customHeight="true" outlineLevel="0" collapsed="false">
      <c r="B126" s="112" t="str">
        <f aca="true">IFERROR(INDIRECT("'"&amp;$C$2&amp;"'!A77"),"")</f>
        <v/>
      </c>
      <c r="C126" s="113" t="n">
        <f aca="true">IFERROR(INDIRECT("'"&amp;$C$2&amp;"'!B77"),"")</f>
        <v>0</v>
      </c>
      <c r="D126" s="114" t="str">
        <f aca="true">IFERROR(IF(INDIRECT("'"&amp;$C$2&amp;"'!K77")&lt;&gt;"",INDIRECT("'"&amp;$C$2&amp;"'!P77"),NA()),"")</f>
        <v/>
      </c>
      <c r="E126" s="115" t="str">
        <f aca="true">IFERROR(IF(INDIRECT("'"&amp;$C$2&amp;"'!K77")&lt;&gt;"",(INDIRECT("'"&amp;$C$2&amp;"'!P77")-IFERROR(INDIRECT("'"&amp;$C$2&amp;"'!D2"),0))/IFERROR(INDIRECT("'"&amp;$C$2&amp;"'!D2"),1),NA()),"")</f>
        <v/>
      </c>
      <c r="F126" s="116" t="str">
        <f aca="true">IFERROR(IF(INDIRECT("'"&amp;$C$2&amp;"'!K77")&lt;&gt;"",INDIRECT("'"&amp;$C$2&amp;"'!K77"),NA()),"")</f>
        <v/>
      </c>
    </row>
    <row r="127" customFormat="false" ht="15" hidden="false" customHeight="true" outlineLevel="0" collapsed="false">
      <c r="B127" s="107" t="str">
        <f aca="true">IFERROR(INDIRECT("'"&amp;$C$2&amp;"'!A78"),"")</f>
        <v/>
      </c>
      <c r="C127" s="108" t="n">
        <f aca="true">IFERROR(INDIRECT("'"&amp;$C$2&amp;"'!B78"),"")</f>
        <v>0</v>
      </c>
      <c r="D127" s="109" t="str">
        <f aca="true">IFERROR(IF(INDIRECT("'"&amp;$C$2&amp;"'!K78")&lt;&gt;"",INDIRECT("'"&amp;$C$2&amp;"'!P78"),NA()),"")</f>
        <v/>
      </c>
      <c r="E127" s="110" t="str">
        <f aca="true">IFERROR(IF(INDIRECT("'"&amp;$C$2&amp;"'!K78")&lt;&gt;"",(INDIRECT("'"&amp;$C$2&amp;"'!P78")-IFERROR(INDIRECT("'"&amp;$C$2&amp;"'!D2"),0))/IFERROR(INDIRECT("'"&amp;$C$2&amp;"'!D2"),1),NA()),"")</f>
        <v/>
      </c>
      <c r="F127" s="111" t="str">
        <f aca="true">IFERROR(IF(INDIRECT("'"&amp;$C$2&amp;"'!K78")&lt;&gt;"",INDIRECT("'"&amp;$C$2&amp;"'!K78"),NA()),"")</f>
        <v/>
      </c>
    </row>
    <row r="128" customFormat="false" ht="15" hidden="false" customHeight="true" outlineLevel="0" collapsed="false">
      <c r="B128" s="112" t="str">
        <f aca="true">IFERROR(INDIRECT("'"&amp;$C$2&amp;"'!A79"),"")</f>
        <v/>
      </c>
      <c r="C128" s="113" t="n">
        <f aca="true">IFERROR(INDIRECT("'"&amp;$C$2&amp;"'!B79"),"")</f>
        <v>0</v>
      </c>
      <c r="D128" s="114" t="str">
        <f aca="true">IFERROR(IF(INDIRECT("'"&amp;$C$2&amp;"'!K79")&lt;&gt;"",INDIRECT("'"&amp;$C$2&amp;"'!P79"),NA()),"")</f>
        <v/>
      </c>
      <c r="E128" s="115" t="str">
        <f aca="true">IFERROR(IF(INDIRECT("'"&amp;$C$2&amp;"'!K79")&lt;&gt;"",(INDIRECT("'"&amp;$C$2&amp;"'!P79")-IFERROR(INDIRECT("'"&amp;$C$2&amp;"'!D2"),0))/IFERROR(INDIRECT("'"&amp;$C$2&amp;"'!D2"),1),NA()),"")</f>
        <v/>
      </c>
      <c r="F128" s="116" t="str">
        <f aca="true">IFERROR(IF(INDIRECT("'"&amp;$C$2&amp;"'!K79")&lt;&gt;"",INDIRECT("'"&amp;$C$2&amp;"'!K79"),NA()),"")</f>
        <v/>
      </c>
    </row>
    <row r="129" customFormat="false" ht="15" hidden="false" customHeight="true" outlineLevel="0" collapsed="false">
      <c r="B129" s="107" t="str">
        <f aca="true">IFERROR(INDIRECT("'"&amp;$C$2&amp;"'!A80"),"")</f>
        <v/>
      </c>
      <c r="C129" s="108" t="n">
        <f aca="true">IFERROR(INDIRECT("'"&amp;$C$2&amp;"'!B80"),"")</f>
        <v>0</v>
      </c>
      <c r="D129" s="109" t="str">
        <f aca="true">IFERROR(IF(INDIRECT("'"&amp;$C$2&amp;"'!K80")&lt;&gt;"",INDIRECT("'"&amp;$C$2&amp;"'!P80"),NA()),"")</f>
        <v/>
      </c>
      <c r="E129" s="110" t="str">
        <f aca="true">IFERROR(IF(INDIRECT("'"&amp;$C$2&amp;"'!K80")&lt;&gt;"",(INDIRECT("'"&amp;$C$2&amp;"'!P80")-IFERROR(INDIRECT("'"&amp;$C$2&amp;"'!D2"),0))/IFERROR(INDIRECT("'"&amp;$C$2&amp;"'!D2"),1),NA()),"")</f>
        <v/>
      </c>
      <c r="F129" s="111" t="str">
        <f aca="true">IFERROR(IF(INDIRECT("'"&amp;$C$2&amp;"'!K80")&lt;&gt;"",INDIRECT("'"&amp;$C$2&amp;"'!K80"),NA()),"")</f>
        <v/>
      </c>
    </row>
    <row r="130" customFormat="false" ht="15" hidden="false" customHeight="true" outlineLevel="0" collapsed="false">
      <c r="B130" s="112" t="str">
        <f aca="true">IFERROR(INDIRECT("'"&amp;$C$2&amp;"'!A81"),"")</f>
        <v/>
      </c>
      <c r="C130" s="113" t="n">
        <f aca="true">IFERROR(INDIRECT("'"&amp;$C$2&amp;"'!B81"),"")</f>
        <v>0</v>
      </c>
      <c r="D130" s="114" t="str">
        <f aca="true">IFERROR(IF(INDIRECT("'"&amp;$C$2&amp;"'!K81")&lt;&gt;"",INDIRECT("'"&amp;$C$2&amp;"'!P81"),NA()),"")</f>
        <v/>
      </c>
      <c r="E130" s="115" t="str">
        <f aca="true">IFERROR(IF(INDIRECT("'"&amp;$C$2&amp;"'!K81")&lt;&gt;"",(INDIRECT("'"&amp;$C$2&amp;"'!P81")-IFERROR(INDIRECT("'"&amp;$C$2&amp;"'!D2"),0))/IFERROR(INDIRECT("'"&amp;$C$2&amp;"'!D2"),1),NA()),"")</f>
        <v/>
      </c>
      <c r="F130" s="116" t="str">
        <f aca="true">IFERROR(IF(INDIRECT("'"&amp;$C$2&amp;"'!K81")&lt;&gt;"",INDIRECT("'"&amp;$C$2&amp;"'!K81"),NA()),"")</f>
        <v/>
      </c>
    </row>
    <row r="131" customFormat="false" ht="15" hidden="false" customHeight="true" outlineLevel="0" collapsed="false">
      <c r="B131" s="107" t="str">
        <f aca="true">IFERROR(INDIRECT("'"&amp;$C$2&amp;"'!A82"),"")</f>
        <v/>
      </c>
      <c r="C131" s="108" t="n">
        <f aca="true">IFERROR(INDIRECT("'"&amp;$C$2&amp;"'!B82"),"")</f>
        <v>0</v>
      </c>
      <c r="D131" s="109" t="str">
        <f aca="true">IFERROR(IF(INDIRECT("'"&amp;$C$2&amp;"'!K82")&lt;&gt;"",INDIRECT("'"&amp;$C$2&amp;"'!P82"),NA()),"")</f>
        <v/>
      </c>
      <c r="E131" s="110" t="str">
        <f aca="true">IFERROR(IF(INDIRECT("'"&amp;$C$2&amp;"'!K82")&lt;&gt;"",(INDIRECT("'"&amp;$C$2&amp;"'!P82")-IFERROR(INDIRECT("'"&amp;$C$2&amp;"'!D2"),0))/IFERROR(INDIRECT("'"&amp;$C$2&amp;"'!D2"),1),NA()),"")</f>
        <v/>
      </c>
      <c r="F131" s="111" t="str">
        <f aca="true">IFERROR(IF(INDIRECT("'"&amp;$C$2&amp;"'!K82")&lt;&gt;"",INDIRECT("'"&amp;$C$2&amp;"'!K82"),NA()),"")</f>
        <v/>
      </c>
    </row>
    <row r="132" customFormat="false" ht="15" hidden="false" customHeight="true" outlineLevel="0" collapsed="false">
      <c r="B132" s="112" t="str">
        <f aca="true">IFERROR(INDIRECT("'"&amp;$C$2&amp;"'!A83"),"")</f>
        <v/>
      </c>
      <c r="C132" s="113" t="n">
        <f aca="true">IFERROR(INDIRECT("'"&amp;$C$2&amp;"'!B83"),"")</f>
        <v>0</v>
      </c>
      <c r="D132" s="114" t="str">
        <f aca="true">IFERROR(IF(INDIRECT("'"&amp;$C$2&amp;"'!K83")&lt;&gt;"",INDIRECT("'"&amp;$C$2&amp;"'!P83"),NA()),"")</f>
        <v/>
      </c>
      <c r="E132" s="115" t="str">
        <f aca="true">IFERROR(IF(INDIRECT("'"&amp;$C$2&amp;"'!K83")&lt;&gt;"",(INDIRECT("'"&amp;$C$2&amp;"'!P83")-IFERROR(INDIRECT("'"&amp;$C$2&amp;"'!D2"),0))/IFERROR(INDIRECT("'"&amp;$C$2&amp;"'!D2"),1),NA()),"")</f>
        <v/>
      </c>
      <c r="F132" s="116" t="str">
        <f aca="true">IFERROR(IF(INDIRECT("'"&amp;$C$2&amp;"'!K83")&lt;&gt;"",INDIRECT("'"&amp;$C$2&amp;"'!K83"),NA()),"")</f>
        <v/>
      </c>
    </row>
    <row r="133" customFormat="false" ht="15" hidden="false" customHeight="true" outlineLevel="0" collapsed="false">
      <c r="B133" s="107" t="str">
        <f aca="true">IFERROR(INDIRECT("'"&amp;$C$2&amp;"'!A84"),"")</f>
        <v/>
      </c>
      <c r="C133" s="108" t="n">
        <f aca="true">IFERROR(INDIRECT("'"&amp;$C$2&amp;"'!B84"),"")</f>
        <v>0</v>
      </c>
      <c r="D133" s="109" t="str">
        <f aca="true">IFERROR(IF(INDIRECT("'"&amp;$C$2&amp;"'!K84")&lt;&gt;"",INDIRECT("'"&amp;$C$2&amp;"'!P84"),NA()),"")</f>
        <v/>
      </c>
      <c r="E133" s="110" t="str">
        <f aca="true">IFERROR(IF(INDIRECT("'"&amp;$C$2&amp;"'!K84")&lt;&gt;"",(INDIRECT("'"&amp;$C$2&amp;"'!P84")-IFERROR(INDIRECT("'"&amp;$C$2&amp;"'!D2"),0))/IFERROR(INDIRECT("'"&amp;$C$2&amp;"'!D2"),1),NA()),"")</f>
        <v/>
      </c>
      <c r="F133" s="111" t="str">
        <f aca="true">IFERROR(IF(INDIRECT("'"&amp;$C$2&amp;"'!K84")&lt;&gt;"",INDIRECT("'"&amp;$C$2&amp;"'!K84"),NA()),"")</f>
        <v/>
      </c>
    </row>
    <row r="134" customFormat="false" ht="15" hidden="false" customHeight="true" outlineLevel="0" collapsed="false">
      <c r="B134" s="112" t="str">
        <f aca="true">IFERROR(INDIRECT("'"&amp;$C$2&amp;"'!A85"),"")</f>
        <v/>
      </c>
      <c r="C134" s="113" t="n">
        <f aca="true">IFERROR(INDIRECT("'"&amp;$C$2&amp;"'!B85"),"")</f>
        <v>0</v>
      </c>
      <c r="D134" s="114" t="str">
        <f aca="true">IFERROR(IF(INDIRECT("'"&amp;$C$2&amp;"'!K85")&lt;&gt;"",INDIRECT("'"&amp;$C$2&amp;"'!P85"),NA()),"")</f>
        <v/>
      </c>
      <c r="E134" s="115" t="str">
        <f aca="true">IFERROR(IF(INDIRECT("'"&amp;$C$2&amp;"'!K85")&lt;&gt;"",(INDIRECT("'"&amp;$C$2&amp;"'!P85")-IFERROR(INDIRECT("'"&amp;$C$2&amp;"'!D2"),0))/IFERROR(INDIRECT("'"&amp;$C$2&amp;"'!D2"),1),NA()),"")</f>
        <v/>
      </c>
      <c r="F134" s="116" t="str">
        <f aca="true">IFERROR(IF(INDIRECT("'"&amp;$C$2&amp;"'!K85")&lt;&gt;"",INDIRECT("'"&amp;$C$2&amp;"'!K85"),NA()),"")</f>
        <v/>
      </c>
    </row>
    <row r="135" customFormat="false" ht="15" hidden="false" customHeight="true" outlineLevel="0" collapsed="false">
      <c r="B135" s="107" t="str">
        <f aca="true">IFERROR(INDIRECT("'"&amp;$C$2&amp;"'!A86"),"")</f>
        <v/>
      </c>
      <c r="C135" s="108" t="n">
        <f aca="true">IFERROR(INDIRECT("'"&amp;$C$2&amp;"'!B86"),"")</f>
        <v>0</v>
      </c>
      <c r="D135" s="109" t="str">
        <f aca="true">IFERROR(IF(INDIRECT("'"&amp;$C$2&amp;"'!K86")&lt;&gt;"",INDIRECT("'"&amp;$C$2&amp;"'!P86"),NA()),"")</f>
        <v/>
      </c>
      <c r="E135" s="110" t="str">
        <f aca="true">IFERROR(IF(INDIRECT("'"&amp;$C$2&amp;"'!K86")&lt;&gt;"",(INDIRECT("'"&amp;$C$2&amp;"'!P86")-IFERROR(INDIRECT("'"&amp;$C$2&amp;"'!D2"),0))/IFERROR(INDIRECT("'"&amp;$C$2&amp;"'!D2"),1),NA()),"")</f>
        <v/>
      </c>
      <c r="F135" s="111" t="str">
        <f aca="true">IFERROR(IF(INDIRECT("'"&amp;$C$2&amp;"'!K86")&lt;&gt;"",INDIRECT("'"&amp;$C$2&amp;"'!K86"),NA()),"")</f>
        <v/>
      </c>
    </row>
    <row r="136" customFormat="false" ht="15" hidden="false" customHeight="true" outlineLevel="0" collapsed="false">
      <c r="B136" s="112" t="str">
        <f aca="true">IFERROR(INDIRECT("'"&amp;$C$2&amp;"'!A87"),"")</f>
        <v/>
      </c>
      <c r="C136" s="113" t="n">
        <f aca="true">IFERROR(INDIRECT("'"&amp;$C$2&amp;"'!B87"),"")</f>
        <v>0</v>
      </c>
      <c r="D136" s="114" t="str">
        <f aca="true">IFERROR(IF(INDIRECT("'"&amp;$C$2&amp;"'!K87")&lt;&gt;"",INDIRECT("'"&amp;$C$2&amp;"'!P87"),NA()),"")</f>
        <v/>
      </c>
      <c r="E136" s="115" t="str">
        <f aca="true">IFERROR(IF(INDIRECT("'"&amp;$C$2&amp;"'!K87")&lt;&gt;"",(INDIRECT("'"&amp;$C$2&amp;"'!P87")-IFERROR(INDIRECT("'"&amp;$C$2&amp;"'!D2"),0))/IFERROR(INDIRECT("'"&amp;$C$2&amp;"'!D2"),1),NA()),"")</f>
        <v/>
      </c>
      <c r="F136" s="116" t="str">
        <f aca="true">IFERROR(IF(INDIRECT("'"&amp;$C$2&amp;"'!K87")&lt;&gt;"",INDIRECT("'"&amp;$C$2&amp;"'!K87"),NA()),"")</f>
        <v/>
      </c>
    </row>
    <row r="137" customFormat="false" ht="15" hidden="false" customHeight="true" outlineLevel="0" collapsed="false">
      <c r="B137" s="107" t="str">
        <f aca="true">IFERROR(INDIRECT("'"&amp;$C$2&amp;"'!A88"),"")</f>
        <v/>
      </c>
      <c r="C137" s="108" t="n">
        <f aca="true">IFERROR(INDIRECT("'"&amp;$C$2&amp;"'!B88"),"")</f>
        <v>0</v>
      </c>
      <c r="D137" s="109" t="str">
        <f aca="true">IFERROR(IF(INDIRECT("'"&amp;$C$2&amp;"'!K88")&lt;&gt;"",INDIRECT("'"&amp;$C$2&amp;"'!P88"),NA()),"")</f>
        <v/>
      </c>
      <c r="E137" s="110" t="str">
        <f aca="true">IFERROR(IF(INDIRECT("'"&amp;$C$2&amp;"'!K88")&lt;&gt;"",(INDIRECT("'"&amp;$C$2&amp;"'!P88")-IFERROR(INDIRECT("'"&amp;$C$2&amp;"'!D2"),0))/IFERROR(INDIRECT("'"&amp;$C$2&amp;"'!D2"),1),NA()),"")</f>
        <v/>
      </c>
      <c r="F137" s="111" t="str">
        <f aca="true">IFERROR(IF(INDIRECT("'"&amp;$C$2&amp;"'!K88")&lt;&gt;"",INDIRECT("'"&amp;$C$2&amp;"'!K88"),NA()),"")</f>
        <v/>
      </c>
    </row>
    <row r="138" customFormat="false" ht="15" hidden="false" customHeight="true" outlineLevel="0" collapsed="false">
      <c r="B138" s="112" t="str">
        <f aca="true">IFERROR(INDIRECT("'"&amp;$C$2&amp;"'!A89"),"")</f>
        <v/>
      </c>
      <c r="C138" s="113" t="n">
        <f aca="true">IFERROR(INDIRECT("'"&amp;$C$2&amp;"'!B89"),"")</f>
        <v>0</v>
      </c>
      <c r="D138" s="114" t="str">
        <f aca="true">IFERROR(IF(INDIRECT("'"&amp;$C$2&amp;"'!K89")&lt;&gt;"",INDIRECT("'"&amp;$C$2&amp;"'!P89"),NA()),"")</f>
        <v/>
      </c>
      <c r="E138" s="115" t="str">
        <f aca="true">IFERROR(IF(INDIRECT("'"&amp;$C$2&amp;"'!K89")&lt;&gt;"",(INDIRECT("'"&amp;$C$2&amp;"'!P89")-IFERROR(INDIRECT("'"&amp;$C$2&amp;"'!D2"),0))/IFERROR(INDIRECT("'"&amp;$C$2&amp;"'!D2"),1),NA()),"")</f>
        <v/>
      </c>
      <c r="F138" s="116" t="str">
        <f aca="true">IFERROR(IF(INDIRECT("'"&amp;$C$2&amp;"'!K89")&lt;&gt;"",INDIRECT("'"&amp;$C$2&amp;"'!K89"),NA()),"")</f>
        <v/>
      </c>
    </row>
    <row r="139" customFormat="false" ht="15" hidden="false" customHeight="true" outlineLevel="0" collapsed="false">
      <c r="B139" s="107" t="str">
        <f aca="true">IFERROR(INDIRECT("'"&amp;$C$2&amp;"'!A90"),"")</f>
        <v/>
      </c>
      <c r="C139" s="108" t="n">
        <f aca="true">IFERROR(INDIRECT("'"&amp;$C$2&amp;"'!B90"),"")</f>
        <v>0</v>
      </c>
      <c r="D139" s="109" t="str">
        <f aca="true">IFERROR(IF(INDIRECT("'"&amp;$C$2&amp;"'!K90")&lt;&gt;"",INDIRECT("'"&amp;$C$2&amp;"'!P90"),NA()),"")</f>
        <v/>
      </c>
      <c r="E139" s="110" t="str">
        <f aca="true">IFERROR(IF(INDIRECT("'"&amp;$C$2&amp;"'!K90")&lt;&gt;"",(INDIRECT("'"&amp;$C$2&amp;"'!P90")-IFERROR(INDIRECT("'"&amp;$C$2&amp;"'!D2"),0))/IFERROR(INDIRECT("'"&amp;$C$2&amp;"'!D2"),1),NA()),"")</f>
        <v/>
      </c>
      <c r="F139" s="111" t="str">
        <f aca="true">IFERROR(IF(INDIRECT("'"&amp;$C$2&amp;"'!K90")&lt;&gt;"",INDIRECT("'"&amp;$C$2&amp;"'!K90"),NA()),"")</f>
        <v/>
      </c>
    </row>
    <row r="140" customFormat="false" ht="15" hidden="false" customHeight="true" outlineLevel="0" collapsed="false">
      <c r="B140" s="112" t="str">
        <f aca="true">IFERROR(INDIRECT("'"&amp;$C$2&amp;"'!A91"),"")</f>
        <v/>
      </c>
      <c r="C140" s="113" t="n">
        <f aca="true">IFERROR(INDIRECT("'"&amp;$C$2&amp;"'!B91"),"")</f>
        <v>0</v>
      </c>
      <c r="D140" s="114" t="str">
        <f aca="true">IFERROR(IF(INDIRECT("'"&amp;$C$2&amp;"'!K91")&lt;&gt;"",INDIRECT("'"&amp;$C$2&amp;"'!P91"),NA()),"")</f>
        <v/>
      </c>
      <c r="E140" s="115" t="str">
        <f aca="true">IFERROR(IF(INDIRECT("'"&amp;$C$2&amp;"'!K91")&lt;&gt;"",(INDIRECT("'"&amp;$C$2&amp;"'!P91")-IFERROR(INDIRECT("'"&amp;$C$2&amp;"'!D2"),0))/IFERROR(INDIRECT("'"&amp;$C$2&amp;"'!D2"),1),NA()),"")</f>
        <v/>
      </c>
      <c r="F140" s="116" t="str">
        <f aca="true">IFERROR(IF(INDIRECT("'"&amp;$C$2&amp;"'!K91")&lt;&gt;"",INDIRECT("'"&amp;$C$2&amp;"'!K91"),NA()),"")</f>
        <v/>
      </c>
    </row>
    <row r="141" customFormat="false" ht="15" hidden="false" customHeight="true" outlineLevel="0" collapsed="false">
      <c r="B141" s="107" t="str">
        <f aca="true">IFERROR(INDIRECT("'"&amp;$C$2&amp;"'!A92"),"")</f>
        <v/>
      </c>
      <c r="C141" s="108" t="n">
        <f aca="true">IFERROR(INDIRECT("'"&amp;$C$2&amp;"'!B92"),"")</f>
        <v>0</v>
      </c>
      <c r="D141" s="109" t="str">
        <f aca="true">IFERROR(IF(INDIRECT("'"&amp;$C$2&amp;"'!K92")&lt;&gt;"",INDIRECT("'"&amp;$C$2&amp;"'!P92"),NA()),"")</f>
        <v/>
      </c>
      <c r="E141" s="110" t="str">
        <f aca="true">IFERROR(IF(INDIRECT("'"&amp;$C$2&amp;"'!K92")&lt;&gt;"",(INDIRECT("'"&amp;$C$2&amp;"'!P92")-IFERROR(INDIRECT("'"&amp;$C$2&amp;"'!D2"),0))/IFERROR(INDIRECT("'"&amp;$C$2&amp;"'!D2"),1),NA()),"")</f>
        <v/>
      </c>
      <c r="F141" s="111" t="str">
        <f aca="true">IFERROR(IF(INDIRECT("'"&amp;$C$2&amp;"'!K92")&lt;&gt;"",INDIRECT("'"&amp;$C$2&amp;"'!K92"),NA()),"")</f>
        <v/>
      </c>
    </row>
    <row r="142" customFormat="false" ht="15" hidden="false" customHeight="true" outlineLevel="0" collapsed="false">
      <c r="B142" s="112" t="str">
        <f aca="true">IFERROR(INDIRECT("'"&amp;$C$2&amp;"'!A93"),"")</f>
        <v/>
      </c>
      <c r="C142" s="113" t="n">
        <f aca="true">IFERROR(INDIRECT("'"&amp;$C$2&amp;"'!B93"),"")</f>
        <v>0</v>
      </c>
      <c r="D142" s="114" t="str">
        <f aca="true">IFERROR(IF(INDIRECT("'"&amp;$C$2&amp;"'!K93")&lt;&gt;"",INDIRECT("'"&amp;$C$2&amp;"'!P93"),NA()),"")</f>
        <v/>
      </c>
      <c r="E142" s="115" t="str">
        <f aca="true">IFERROR(IF(INDIRECT("'"&amp;$C$2&amp;"'!K93")&lt;&gt;"",(INDIRECT("'"&amp;$C$2&amp;"'!P93")-IFERROR(INDIRECT("'"&amp;$C$2&amp;"'!D2"),0))/IFERROR(INDIRECT("'"&amp;$C$2&amp;"'!D2"),1),NA()),"")</f>
        <v/>
      </c>
      <c r="F142" s="116" t="str">
        <f aca="true">IFERROR(IF(INDIRECT("'"&amp;$C$2&amp;"'!K93")&lt;&gt;"",INDIRECT("'"&amp;$C$2&amp;"'!K93"),NA()),"")</f>
        <v/>
      </c>
    </row>
    <row r="143" customFormat="false" ht="15" hidden="false" customHeight="true" outlineLevel="0" collapsed="false">
      <c r="B143" s="107" t="str">
        <f aca="true">IFERROR(INDIRECT("'"&amp;$C$2&amp;"'!A94"),"")</f>
        <v/>
      </c>
      <c r="C143" s="108" t="n">
        <f aca="true">IFERROR(INDIRECT("'"&amp;$C$2&amp;"'!B94"),"")</f>
        <v>0</v>
      </c>
      <c r="D143" s="109" t="str">
        <f aca="true">IFERROR(IF(INDIRECT("'"&amp;$C$2&amp;"'!K94")&lt;&gt;"",INDIRECT("'"&amp;$C$2&amp;"'!P94"),NA()),"")</f>
        <v/>
      </c>
      <c r="E143" s="110" t="str">
        <f aca="true">IFERROR(IF(INDIRECT("'"&amp;$C$2&amp;"'!K94")&lt;&gt;"",(INDIRECT("'"&amp;$C$2&amp;"'!P94")-IFERROR(INDIRECT("'"&amp;$C$2&amp;"'!D2"),0))/IFERROR(INDIRECT("'"&amp;$C$2&amp;"'!D2"),1),NA()),"")</f>
        <v/>
      </c>
      <c r="F143" s="111" t="str">
        <f aca="true">IFERROR(IF(INDIRECT("'"&amp;$C$2&amp;"'!K94")&lt;&gt;"",INDIRECT("'"&amp;$C$2&amp;"'!K94"),NA()),"")</f>
        <v/>
      </c>
    </row>
    <row r="144" customFormat="false" ht="15" hidden="false" customHeight="true" outlineLevel="0" collapsed="false">
      <c r="B144" s="112" t="str">
        <f aca="true">IFERROR(INDIRECT("'"&amp;$C$2&amp;"'!A95"),"")</f>
        <v/>
      </c>
      <c r="C144" s="113" t="n">
        <f aca="true">IFERROR(INDIRECT("'"&amp;$C$2&amp;"'!B95"),"")</f>
        <v>0</v>
      </c>
      <c r="D144" s="114" t="str">
        <f aca="true">IFERROR(IF(INDIRECT("'"&amp;$C$2&amp;"'!K95")&lt;&gt;"",INDIRECT("'"&amp;$C$2&amp;"'!P95"),NA()),"")</f>
        <v/>
      </c>
      <c r="E144" s="115" t="str">
        <f aca="true">IFERROR(IF(INDIRECT("'"&amp;$C$2&amp;"'!K95")&lt;&gt;"",(INDIRECT("'"&amp;$C$2&amp;"'!P95")-IFERROR(INDIRECT("'"&amp;$C$2&amp;"'!D2"),0))/IFERROR(INDIRECT("'"&amp;$C$2&amp;"'!D2"),1),NA()),"")</f>
        <v/>
      </c>
      <c r="F144" s="116" t="str">
        <f aca="true">IFERROR(IF(INDIRECT("'"&amp;$C$2&amp;"'!K95")&lt;&gt;"",INDIRECT("'"&amp;$C$2&amp;"'!K95"),NA()),"")</f>
        <v/>
      </c>
    </row>
    <row r="145" customFormat="false" ht="15" hidden="false" customHeight="true" outlineLevel="0" collapsed="false">
      <c r="B145" s="107" t="str">
        <f aca="true">IFERROR(INDIRECT("'"&amp;$C$2&amp;"'!A96"),"")</f>
        <v/>
      </c>
      <c r="C145" s="108" t="n">
        <f aca="true">IFERROR(INDIRECT("'"&amp;$C$2&amp;"'!B96"),"")</f>
        <v>0</v>
      </c>
      <c r="D145" s="109" t="str">
        <f aca="true">IFERROR(IF(INDIRECT("'"&amp;$C$2&amp;"'!K96")&lt;&gt;"",INDIRECT("'"&amp;$C$2&amp;"'!P96"),NA()),"")</f>
        <v/>
      </c>
      <c r="E145" s="110" t="str">
        <f aca="true">IFERROR(IF(INDIRECT("'"&amp;$C$2&amp;"'!K96")&lt;&gt;"",(INDIRECT("'"&amp;$C$2&amp;"'!P96")-IFERROR(INDIRECT("'"&amp;$C$2&amp;"'!D2"),0))/IFERROR(INDIRECT("'"&amp;$C$2&amp;"'!D2"),1),NA()),"")</f>
        <v/>
      </c>
      <c r="F145" s="111" t="str">
        <f aca="true">IFERROR(IF(INDIRECT("'"&amp;$C$2&amp;"'!K96")&lt;&gt;"",INDIRECT("'"&amp;$C$2&amp;"'!K96"),NA()),"")</f>
        <v/>
      </c>
    </row>
    <row r="146" customFormat="false" ht="15" hidden="false" customHeight="true" outlineLevel="0" collapsed="false">
      <c r="B146" s="112" t="str">
        <f aca="true">IFERROR(INDIRECT("'"&amp;$C$2&amp;"'!A97"),"")</f>
        <v/>
      </c>
      <c r="C146" s="113" t="n">
        <f aca="true">IFERROR(INDIRECT("'"&amp;$C$2&amp;"'!B97"),"")</f>
        <v>0</v>
      </c>
      <c r="D146" s="114" t="str">
        <f aca="true">IFERROR(IF(INDIRECT("'"&amp;$C$2&amp;"'!K97")&lt;&gt;"",INDIRECT("'"&amp;$C$2&amp;"'!P97"),NA()),"")</f>
        <v/>
      </c>
      <c r="E146" s="115" t="str">
        <f aca="true">IFERROR(IF(INDIRECT("'"&amp;$C$2&amp;"'!K97")&lt;&gt;"",(INDIRECT("'"&amp;$C$2&amp;"'!P97")-IFERROR(INDIRECT("'"&amp;$C$2&amp;"'!D2"),0))/IFERROR(INDIRECT("'"&amp;$C$2&amp;"'!D2"),1),NA()),"")</f>
        <v/>
      </c>
      <c r="F146" s="116" t="str">
        <f aca="true">IFERROR(IF(INDIRECT("'"&amp;$C$2&amp;"'!K97")&lt;&gt;"",INDIRECT("'"&amp;$C$2&amp;"'!K97"),NA()),"")</f>
        <v/>
      </c>
    </row>
    <row r="147" customFormat="false" ht="15" hidden="false" customHeight="true" outlineLevel="0" collapsed="false">
      <c r="B147" s="107" t="str">
        <f aca="true">IFERROR(INDIRECT("'"&amp;$C$2&amp;"'!A98"),"")</f>
        <v/>
      </c>
      <c r="C147" s="108" t="n">
        <f aca="true">IFERROR(INDIRECT("'"&amp;$C$2&amp;"'!B98"),"")</f>
        <v>0</v>
      </c>
      <c r="D147" s="109" t="str">
        <f aca="true">IFERROR(IF(INDIRECT("'"&amp;$C$2&amp;"'!K98")&lt;&gt;"",INDIRECT("'"&amp;$C$2&amp;"'!P98"),NA()),"")</f>
        <v/>
      </c>
      <c r="E147" s="110" t="str">
        <f aca="true">IFERROR(IF(INDIRECT("'"&amp;$C$2&amp;"'!K98")&lt;&gt;"",(INDIRECT("'"&amp;$C$2&amp;"'!P98")-IFERROR(INDIRECT("'"&amp;$C$2&amp;"'!D2"),0))/IFERROR(INDIRECT("'"&amp;$C$2&amp;"'!D2"),1),NA()),"")</f>
        <v/>
      </c>
      <c r="F147" s="111" t="str">
        <f aca="true">IFERROR(IF(INDIRECT("'"&amp;$C$2&amp;"'!K98")&lt;&gt;"",INDIRECT("'"&amp;$C$2&amp;"'!K98"),NA()),"")</f>
        <v/>
      </c>
    </row>
    <row r="148" customFormat="false" ht="15" hidden="false" customHeight="true" outlineLevel="0" collapsed="false">
      <c r="B148" s="112" t="str">
        <f aca="true">IFERROR(INDIRECT("'"&amp;$C$2&amp;"'!A99"),"")</f>
        <v/>
      </c>
      <c r="C148" s="113" t="n">
        <f aca="true">IFERROR(INDIRECT("'"&amp;$C$2&amp;"'!B99"),"")</f>
        <v>0</v>
      </c>
      <c r="D148" s="114" t="str">
        <f aca="true">IFERROR(IF(INDIRECT("'"&amp;$C$2&amp;"'!K99")&lt;&gt;"",INDIRECT("'"&amp;$C$2&amp;"'!P99"),NA()),"")</f>
        <v/>
      </c>
      <c r="E148" s="115" t="str">
        <f aca="true">IFERROR(IF(INDIRECT("'"&amp;$C$2&amp;"'!K99")&lt;&gt;"",(INDIRECT("'"&amp;$C$2&amp;"'!P99")-IFERROR(INDIRECT("'"&amp;$C$2&amp;"'!D2"),0))/IFERROR(INDIRECT("'"&amp;$C$2&amp;"'!D2"),1),NA()),"")</f>
        <v/>
      </c>
      <c r="F148" s="116" t="str">
        <f aca="true">IFERROR(IF(INDIRECT("'"&amp;$C$2&amp;"'!K99")&lt;&gt;"",INDIRECT("'"&amp;$C$2&amp;"'!K99"),NA()),"")</f>
        <v/>
      </c>
    </row>
    <row r="149" customFormat="false" ht="15" hidden="false" customHeight="true" outlineLevel="0" collapsed="false">
      <c r="B149" s="107" t="str">
        <f aca="true">IFERROR(INDIRECT("'"&amp;$C$2&amp;"'!A100"),"")</f>
        <v/>
      </c>
      <c r="C149" s="108" t="n">
        <f aca="true">IFERROR(INDIRECT("'"&amp;$C$2&amp;"'!B100"),"")</f>
        <v>0</v>
      </c>
      <c r="D149" s="109" t="str">
        <f aca="true">IFERROR(IF(INDIRECT("'"&amp;$C$2&amp;"'!K100")&lt;&gt;"",INDIRECT("'"&amp;$C$2&amp;"'!P100"),NA()),"")</f>
        <v/>
      </c>
      <c r="E149" s="110" t="str">
        <f aca="true">IFERROR(IF(INDIRECT("'"&amp;$C$2&amp;"'!K100")&lt;&gt;"",(INDIRECT("'"&amp;$C$2&amp;"'!P100")-IFERROR(INDIRECT("'"&amp;$C$2&amp;"'!D2"),0))/IFERROR(INDIRECT("'"&amp;$C$2&amp;"'!D2"),1),NA()),"")</f>
        <v/>
      </c>
      <c r="F149" s="111" t="str">
        <f aca="true">IFERROR(IF(INDIRECT("'"&amp;$C$2&amp;"'!K100")&lt;&gt;"",INDIRECT("'"&amp;$C$2&amp;"'!K100"),NA()),"")</f>
        <v/>
      </c>
    </row>
    <row r="150" customFormat="false" ht="15" hidden="false" customHeight="true" outlineLevel="0" collapsed="false">
      <c r="B150" s="112" t="str">
        <f aca="true">IFERROR(INDIRECT("'"&amp;$C$2&amp;"'!A101"),"")</f>
        <v/>
      </c>
      <c r="C150" s="113" t="n">
        <f aca="true">IFERROR(INDIRECT("'"&amp;$C$2&amp;"'!B101"),"")</f>
        <v>0</v>
      </c>
      <c r="D150" s="114" t="str">
        <f aca="true">IFERROR(IF(INDIRECT("'"&amp;$C$2&amp;"'!K101")&lt;&gt;"",INDIRECT("'"&amp;$C$2&amp;"'!P101"),NA()),"")</f>
        <v/>
      </c>
      <c r="E150" s="115" t="str">
        <f aca="true">IFERROR(IF(INDIRECT("'"&amp;$C$2&amp;"'!K101")&lt;&gt;"",(INDIRECT("'"&amp;$C$2&amp;"'!P101")-IFERROR(INDIRECT("'"&amp;$C$2&amp;"'!D2"),0))/IFERROR(INDIRECT("'"&amp;$C$2&amp;"'!D2"),1),NA()),"")</f>
        <v/>
      </c>
      <c r="F150" s="116" t="str">
        <f aca="true">IFERROR(IF(INDIRECT("'"&amp;$C$2&amp;"'!K101")&lt;&gt;"",INDIRECT("'"&amp;$C$2&amp;"'!K101"),NA()),"")</f>
        <v/>
      </c>
    </row>
    <row r="151" customFormat="false" ht="15" hidden="false" customHeight="true" outlineLevel="0" collapsed="false">
      <c r="B151" s="107" t="str">
        <f aca="true">IFERROR(INDIRECT("'"&amp;$C$2&amp;"'!A102"),"")</f>
        <v/>
      </c>
      <c r="C151" s="108" t="n">
        <f aca="true">IFERROR(INDIRECT("'"&amp;$C$2&amp;"'!B102"),"")</f>
        <v>0</v>
      </c>
      <c r="D151" s="109" t="str">
        <f aca="true">IFERROR(IF(INDIRECT("'"&amp;$C$2&amp;"'!K102")&lt;&gt;"",INDIRECT("'"&amp;$C$2&amp;"'!P102"),NA()),"")</f>
        <v/>
      </c>
      <c r="E151" s="110" t="str">
        <f aca="true">IFERROR(IF(INDIRECT("'"&amp;$C$2&amp;"'!K102")&lt;&gt;"",(INDIRECT("'"&amp;$C$2&amp;"'!P102")-IFERROR(INDIRECT("'"&amp;$C$2&amp;"'!D2"),0))/IFERROR(INDIRECT("'"&amp;$C$2&amp;"'!D2"),1),NA()),"")</f>
        <v/>
      </c>
      <c r="F151" s="111" t="str">
        <f aca="true">IFERROR(IF(INDIRECT("'"&amp;$C$2&amp;"'!K102")&lt;&gt;"",INDIRECT("'"&amp;$C$2&amp;"'!K102"),NA()),"")</f>
        <v/>
      </c>
    </row>
    <row r="152" customFormat="false" ht="15" hidden="false" customHeight="true" outlineLevel="0" collapsed="false">
      <c r="B152" s="112" t="str">
        <f aca="true">IFERROR(INDIRECT("'"&amp;$C$2&amp;"'!A103"),"")</f>
        <v/>
      </c>
      <c r="C152" s="113" t="n">
        <f aca="true">IFERROR(INDIRECT("'"&amp;$C$2&amp;"'!B103"),"")</f>
        <v>0</v>
      </c>
      <c r="D152" s="114" t="str">
        <f aca="true">IFERROR(IF(INDIRECT("'"&amp;$C$2&amp;"'!K103")&lt;&gt;"",INDIRECT("'"&amp;$C$2&amp;"'!P103"),NA()),"")</f>
        <v/>
      </c>
      <c r="E152" s="115" t="str">
        <f aca="true">IFERROR(IF(INDIRECT("'"&amp;$C$2&amp;"'!K103")&lt;&gt;"",(INDIRECT("'"&amp;$C$2&amp;"'!P103")-IFERROR(INDIRECT("'"&amp;$C$2&amp;"'!D2"),0))/IFERROR(INDIRECT("'"&amp;$C$2&amp;"'!D2"),1),NA()),"")</f>
        <v/>
      </c>
      <c r="F152" s="116" t="str">
        <f aca="true">IFERROR(IF(INDIRECT("'"&amp;$C$2&amp;"'!K103")&lt;&gt;"",INDIRECT("'"&amp;$C$2&amp;"'!K103"),NA()),"")</f>
        <v/>
      </c>
    </row>
    <row r="155" customFormat="false" ht="6" hidden="false" customHeight="true" outlineLevel="0" collapsed="false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customFormat="false" ht="7.5" hidden="false" customHeight="true" outlineLevel="0" collapsed="false">
      <c r="B156" s="66" t="s">
        <v>113</v>
      </c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customFormat="false" ht="21.75" hidden="false" customHeight="true" outlineLevel="0" collapsed="false">
      <c r="B157" s="69" t="s">
        <v>114</v>
      </c>
      <c r="C157" s="69"/>
      <c r="E157" s="69" t="s">
        <v>115</v>
      </c>
      <c r="F157" s="69"/>
      <c r="H157" s="69" t="s">
        <v>116</v>
      </c>
      <c r="I157" s="69"/>
      <c r="K157" s="71" t="s">
        <v>117</v>
      </c>
      <c r="L157" s="71"/>
      <c r="N157" s="79" t="s">
        <v>118</v>
      </c>
      <c r="O157" s="79"/>
      <c r="Q157" s="69" t="s">
        <v>119</v>
      </c>
      <c r="R157" s="69"/>
      <c r="T157" s="69" t="s">
        <v>120</v>
      </c>
      <c r="U157" s="69"/>
    </row>
    <row r="158" customFormat="false" ht="21.75" hidden="false" customHeight="true" outlineLevel="0" collapsed="false">
      <c r="B158" s="117" t="n">
        <f aca="true">IFERROR(SUMPRODUCT((INDIRECT("'"&amp;$C$2&amp;"'!J4:J503")&lt;&gt;"")*(INDIRECT("'"&amp;$C$2&amp;"'!I4:I503"))),0)</f>
        <v>0</v>
      </c>
      <c r="C158" s="117"/>
      <c r="E158" s="117" t="n">
        <f aca="true">IFERROR(SUMPRODUCT((INDIRECT("'"&amp;$C$2&amp;"'!J4:J503")&lt;&gt;"")*(INDIRECT("'"&amp;$C$2&amp;"'!I4:I503")))/IFERROR(SUMPRODUCT((INDIRECT("'"&amp;$C$2&amp;"'!J4:J503")&lt;&gt;"")*1),1),0)</f>
        <v>0</v>
      </c>
      <c r="F158" s="117"/>
      <c r="H158" s="118" t="n">
        <f aca="true">IFERROR(SUMPRODUCT((INDIRECT("'"&amp;$C$2&amp;"'!J4:J503")="W")*(INDIRECT("'"&amp;$C$2&amp;"'!H4:H503")))/SUMPRODUCT((INDIRECT("'"&amp;$C$2&amp;"'!J4:J503")="W")*1),0)</f>
        <v>0</v>
      </c>
      <c r="I158" s="118"/>
      <c r="K158" s="119" t="n">
        <f aca="true">IFERROR(MIN(INDIRECT("'"&amp;$C$2&amp;"'!Q4:Q503")),0)</f>
        <v>0</v>
      </c>
      <c r="L158" s="119"/>
      <c r="N158" s="120" t="n">
        <f aca="true">IFERROR(ABS(SUMPRODUCT((INDIRECT("'"&amp;$C$2&amp;"'!K4:K503")&gt;0)*(INDIRECT("'"&amp;$C$2&amp;"'!K4:K503"))))/ABS(SUMPRODUCT((INDIRECT("'"&amp;$C$2&amp;"'!K4:K503")&lt;0)*(INDIRECT("'"&amp;$C$2&amp;"'!K4:K503")))),0)</f>
        <v>0</v>
      </c>
      <c r="O158" s="120"/>
      <c r="Q158" s="121" t="n">
        <f aca="true">IFERROR((IFERROR(SUMPRODUCT((INDIRECT("'"&amp;$C$2&amp;"'!M4:M503")&lt;&gt;"No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Win")),0)*IFERROR(SUMPRODUCT((INDIRECT("'"&amp;$C$2&amp;"'!K4:K503")&gt;0)*INDIRECT("'"&amp;$C$2&amp;"'!K4:K503"))/SUMPRODUCT((INDIRECT("'"&amp;$C$2&amp;"'!K4:K503")&gt;0)*1),0)/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0))-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*(INDIRECT("'"&amp;$C$2&amp;"'!M4:M503")="Loss")),0)*IFERROR(SUMPRODUCT((INDIRECT("'"&amp;$C$2&amp;"'!K4:K503")&lt;0)*ABS(INDIRECT("'"&amp;$C$2&amp;"'!K4:K503")))/SUMPRODUCT((INDIRECT("'"&amp;$C$2&amp;"'!K4:K503")&lt;0)*1),0)/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),0)),0)</f>
        <v>0</v>
      </c>
      <c r="R158" s="121"/>
      <c r="T158" s="118" t="n">
        <f aca="true">IFERROR(IFERROR(SUMPRODUCT((INDIRECT("'"&amp;$C$2&amp;"'!M4:M503")&lt;&gt;"No Trade")*IF($B$12="ALL",1,(INDIRECT("'"&amp;$C$2&amp;"'!M4:M503")=$B$12))*IF($E$12="ALL",1,(INDIRECT("'"&amp;$C$2&amp;"'!D4:D503")=$E$12))*IF($H$12="ALL",1,(INDIRECT("'"&amp;$C$2&amp;"'!C4:C503")=$H$12))*IF($K$12="ALL",1,(INDIRECT("'"&amp;$C$2&amp;"'!J4:J503")=$K$12))*(INDIRECT("'"&amp;$C$2&amp;"'!H4:H503")&gt;=$N$12)*(INDIRECT("'"&amp;$C$2&amp;"'!H4:H503")&lt;=$Q$12),INDIRECT("'"&amp;$C$2&amp;"'!K4:K503")),0)/ABS(IFERROR(MIN(INDIRECT("'"&amp;$C$2&amp;"'!Q4:Q503")),1)),0)</f>
        <v>0</v>
      </c>
      <c r="U158" s="118"/>
    </row>
  </sheetData>
  <mergeCells count="186">
    <mergeCell ref="A1:V1"/>
    <mergeCell ref="D2:F2"/>
    <mergeCell ref="J2:M2"/>
    <mergeCell ref="A3:V3"/>
    <mergeCell ref="B4:V4"/>
    <mergeCell ref="B5:C5"/>
    <mergeCell ref="E5:F5"/>
    <mergeCell ref="H5:I5"/>
    <mergeCell ref="K5:L5"/>
    <mergeCell ref="N5:O5"/>
    <mergeCell ref="Q5:R5"/>
    <mergeCell ref="T5:U5"/>
    <mergeCell ref="B6:C6"/>
    <mergeCell ref="E6:F6"/>
    <mergeCell ref="H6:I6"/>
    <mergeCell ref="K6:L6"/>
    <mergeCell ref="N6:O6"/>
    <mergeCell ref="Q6:R6"/>
    <mergeCell ref="T6:U6"/>
    <mergeCell ref="B7:C7"/>
    <mergeCell ref="E7:F7"/>
    <mergeCell ref="H7:I7"/>
    <mergeCell ref="K7:L7"/>
    <mergeCell ref="N7:O7"/>
    <mergeCell ref="Q7:R7"/>
    <mergeCell ref="T7:U7"/>
    <mergeCell ref="B8:C8"/>
    <mergeCell ref="E8:F8"/>
    <mergeCell ref="H8:I8"/>
    <mergeCell ref="K8:L8"/>
    <mergeCell ref="N8:O8"/>
    <mergeCell ref="Q8:R8"/>
    <mergeCell ref="T8:U8"/>
    <mergeCell ref="A9:V9"/>
    <mergeCell ref="B10:V10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A13:V13"/>
    <mergeCell ref="B14:V14"/>
    <mergeCell ref="B15:C15"/>
    <mergeCell ref="E15:F15"/>
    <mergeCell ref="H15:I15"/>
    <mergeCell ref="K15:L15"/>
    <mergeCell ref="N15:O15"/>
    <mergeCell ref="Q15:R15"/>
    <mergeCell ref="T15:U15"/>
    <mergeCell ref="B16:C16"/>
    <mergeCell ref="E16:F16"/>
    <mergeCell ref="H16:I16"/>
    <mergeCell ref="K16:L16"/>
    <mergeCell ref="N16:O16"/>
    <mergeCell ref="Q16:R16"/>
    <mergeCell ref="T16:U16"/>
    <mergeCell ref="B18:C18"/>
    <mergeCell ref="E18:F18"/>
    <mergeCell ref="H18:I18"/>
    <mergeCell ref="B19:C19"/>
    <mergeCell ref="E19:F19"/>
    <mergeCell ref="H19:I19"/>
    <mergeCell ref="A20:V20"/>
    <mergeCell ref="B21:V21"/>
    <mergeCell ref="B22:F22"/>
    <mergeCell ref="H22:L22"/>
    <mergeCell ref="N22:R22"/>
    <mergeCell ref="T22:X22"/>
    <mergeCell ref="A35:V35"/>
    <mergeCell ref="B36:V36"/>
    <mergeCell ref="B37:D37"/>
    <mergeCell ref="E37:G37"/>
    <mergeCell ref="H37:J37"/>
    <mergeCell ref="K37:M37"/>
    <mergeCell ref="N37:P37"/>
    <mergeCell ref="R37:T37"/>
    <mergeCell ref="U37:W37"/>
    <mergeCell ref="B38:D38"/>
    <mergeCell ref="E38:G38"/>
    <mergeCell ref="H38:J38"/>
    <mergeCell ref="K38:M38"/>
    <mergeCell ref="N38:P38"/>
    <mergeCell ref="R38:T38"/>
    <mergeCell ref="U38:W38"/>
    <mergeCell ref="B39:D39"/>
    <mergeCell ref="E39:G39"/>
    <mergeCell ref="H39:J39"/>
    <mergeCell ref="K39:M39"/>
    <mergeCell ref="N39:P39"/>
    <mergeCell ref="R39:T39"/>
    <mergeCell ref="U39:W39"/>
    <mergeCell ref="B40:D40"/>
    <mergeCell ref="E40:G40"/>
    <mergeCell ref="H40:J40"/>
    <mergeCell ref="K40:M40"/>
    <mergeCell ref="N40:P40"/>
    <mergeCell ref="R40:T40"/>
    <mergeCell ref="U40:W40"/>
    <mergeCell ref="B41:D41"/>
    <mergeCell ref="E41:G41"/>
    <mergeCell ref="H41:J41"/>
    <mergeCell ref="K41:M41"/>
    <mergeCell ref="N41:P41"/>
    <mergeCell ref="R41:T41"/>
    <mergeCell ref="U41:W41"/>
    <mergeCell ref="B42:D42"/>
    <mergeCell ref="E42:G42"/>
    <mergeCell ref="H42:J42"/>
    <mergeCell ref="K42:M42"/>
    <mergeCell ref="N42:P42"/>
    <mergeCell ref="R42:T42"/>
    <mergeCell ref="U42:W42"/>
    <mergeCell ref="B43:D43"/>
    <mergeCell ref="E43:G43"/>
    <mergeCell ref="H43:J43"/>
    <mergeCell ref="K43:M43"/>
    <mergeCell ref="N43:P43"/>
    <mergeCell ref="R43:T43"/>
    <mergeCell ref="U43:W43"/>
    <mergeCell ref="B44:D44"/>
    <mergeCell ref="E44:G44"/>
    <mergeCell ref="H44:J44"/>
    <mergeCell ref="K44:M44"/>
    <mergeCell ref="N44:P44"/>
    <mergeCell ref="R44:T44"/>
    <mergeCell ref="U44:W44"/>
    <mergeCell ref="B45:D45"/>
    <mergeCell ref="E45:G45"/>
    <mergeCell ref="H45:J45"/>
    <mergeCell ref="K45:M45"/>
    <mergeCell ref="N45:P45"/>
    <mergeCell ref="R45:T45"/>
    <mergeCell ref="U45:W45"/>
    <mergeCell ref="B46:D46"/>
    <mergeCell ref="E46:G46"/>
    <mergeCell ref="H46:J46"/>
    <mergeCell ref="K46:M46"/>
    <mergeCell ref="N46:P46"/>
    <mergeCell ref="R46:T46"/>
    <mergeCell ref="U46:W46"/>
    <mergeCell ref="B47:D47"/>
    <mergeCell ref="E47:G47"/>
    <mergeCell ref="H47:J47"/>
    <mergeCell ref="K47:M47"/>
    <mergeCell ref="N47:P47"/>
    <mergeCell ref="R47:T47"/>
    <mergeCell ref="U47:W47"/>
    <mergeCell ref="B48:D48"/>
    <mergeCell ref="E48:G48"/>
    <mergeCell ref="H48:J48"/>
    <mergeCell ref="K48:M48"/>
    <mergeCell ref="N48:P48"/>
    <mergeCell ref="R48:T48"/>
    <mergeCell ref="U48:W48"/>
    <mergeCell ref="B49:D49"/>
    <mergeCell ref="E49:G49"/>
    <mergeCell ref="H49:J49"/>
    <mergeCell ref="K49:M49"/>
    <mergeCell ref="N49:P49"/>
    <mergeCell ref="R49:T49"/>
    <mergeCell ref="U49:W49"/>
    <mergeCell ref="A50:V50"/>
    <mergeCell ref="B51:V51"/>
    <mergeCell ref="A155:V155"/>
    <mergeCell ref="B156:V156"/>
    <mergeCell ref="B157:C157"/>
    <mergeCell ref="E157:F157"/>
    <mergeCell ref="H157:I157"/>
    <mergeCell ref="K157:L157"/>
    <mergeCell ref="N157:O157"/>
    <mergeCell ref="Q157:R157"/>
    <mergeCell ref="T157:U157"/>
    <mergeCell ref="B158:C158"/>
    <mergeCell ref="E158:F158"/>
    <mergeCell ref="H158:I158"/>
    <mergeCell ref="K158:L158"/>
    <mergeCell ref="N158:O158"/>
    <mergeCell ref="Q158:R158"/>
    <mergeCell ref="T158:U158"/>
  </mergeCells>
  <conditionalFormatting sqref="E24:E27">
    <cfRule type="colorScale" priority="2">
      <colorScale>
        <cfvo type="num" val="0"/>
        <cfvo type="num" val="0.5"/>
        <cfvo type="num" val="1"/>
        <color rgb="FFE74C3C"/>
        <color rgb="FFF39C12"/>
        <color rgb="FF2ECC71"/>
      </colorScale>
    </cfRule>
  </conditionalFormatting>
  <conditionalFormatting sqref="K24:K26">
    <cfRule type="colorScale" priority="3">
      <colorScale>
        <cfvo type="num" val="0"/>
        <cfvo type="num" val="0.5"/>
        <cfvo type="num" val="1"/>
        <color rgb="FFE74C3C"/>
        <color rgb="FFF39C12"/>
        <color rgb="FF2ECC71"/>
      </colorScale>
    </cfRule>
  </conditionalFormatting>
  <conditionalFormatting sqref="Q24:Q26">
    <cfRule type="colorScale" priority="4">
      <colorScale>
        <cfvo type="num" val="0"/>
        <cfvo type="num" val="0.5"/>
        <cfvo type="num" val="1"/>
        <color rgb="FFE74C3C"/>
        <color rgb="FFF39C12"/>
        <color rgb="FF2ECC71"/>
      </colorScale>
    </cfRule>
  </conditionalFormatting>
  <conditionalFormatting sqref="W24:W28">
    <cfRule type="colorScale" priority="5">
      <colorScale>
        <cfvo type="num" val="0"/>
        <cfvo type="num" val="0.5"/>
        <cfvo type="num" val="1"/>
        <color rgb="FFE74C3C"/>
        <color rgb="FFF39C12"/>
        <color rgb="FF2ECC71"/>
      </colorScale>
    </cfRule>
  </conditionalFormatting>
  <conditionalFormatting sqref="R38:R49">
    <cfRule type="colorScale" priority="6">
      <colorScale>
        <cfvo type="num" val="0"/>
        <cfvo type="num" val="0.5"/>
        <cfvo type="num" val="1"/>
        <color rgb="FFE74C3C"/>
        <color rgb="FFF39C12"/>
        <color rgb="FF2ECC71"/>
      </colorScale>
    </cfRule>
  </conditionalFormatting>
  <conditionalFormatting sqref="F53:F152">
    <cfRule type="expression" priority="7" aboveAverage="0" equalAverage="0" bottom="0" percent="0" rank="0" text="" dxfId="3">
      <formula>F53&gt;0</formula>
    </cfRule>
    <cfRule type="expression" priority="8" aboveAverage="0" equalAverage="0" bottom="0" percent="0" rank="0" text="" dxfId="4">
      <formula>F53&lt;0</formula>
    </cfRule>
  </conditionalFormatting>
  <dataValidations count="5">
    <dataValidation allowBlank="false" errorStyle="stop" operator="between" showDropDown="false" showErrorMessage="false" showInputMessage="false" sqref="C2" type="list">
      <formula1>"🟡 Real Account,🔵 Phase 1,🟢 Phase 2"</formula1>
      <formula2>0</formula2>
    </dataValidation>
    <dataValidation allowBlank="false" errorStyle="stop" operator="between" showDropDown="false" showErrorMessage="false" showInputMessage="false" sqref="B12" type="list">
      <formula1>"ALL,Win,Loss,Partial,No Trade"</formula1>
      <formula2>0</formula2>
    </dataValidation>
    <dataValidation allowBlank="false" errorStyle="stop" operator="between" showDropDown="false" showErrorMessage="false" showInputMessage="false" sqref="E12" type="list">
      <formula1>"ALL,London,New York,Asia,London/NY Overlap"</formula1>
      <formula2>0</formula2>
    </dataValidation>
    <dataValidation allowBlank="false" errorStyle="stop" operator="between" showDropDown="false" showErrorMessage="false" showInputMessage="false" sqref="H12" type="list">
      <formula1>"ALL,BTC,ETH,BTC/USD,ETH/USD,Other"</formula1>
      <formula2>0</formula2>
    </dataValidation>
    <dataValidation allowBlank="false" errorStyle="stop" operator="between" showDropDown="false" showErrorMessage="false" showInputMessage="false" sqref="K12" type="list">
      <formula1>"ALL,W,L,P"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2026-04-08T13:25:52Z</dcterms:created>
  <dc:creator>openpyxl</dc:creator>
  <dc:description/>
  <dc:language>en-US</dc:language>
  <cp:lastModifiedBy/>
  <dcterms:modified xsi:type="dcterms:W3CDTF">2026-04-09T11:32:37Z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